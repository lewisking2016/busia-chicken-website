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counts\Documents\BCL SEPT 2025\Evans Desktop July 2025\BCL LTD\DAILY REPORTING SHEETS\"/>
    </mc:Choice>
  </mc:AlternateContent>
  <xr:revisionPtr revIDLastSave="0" documentId="13_ncr:1_{4A4555DA-6A83-4E61-8AE5-4B356EBC375F}" xr6:coauthVersionLast="47" xr6:coauthVersionMax="47" xr10:uidLastSave="{00000000-0000-0000-0000-000000000000}"/>
  <bookViews>
    <workbookView xWindow="-110" yWindow="-110" windowWidth="19420" windowHeight="10300" tabRatio="520" activeTab="1" xr2:uid="{00000000-000D-0000-FFFF-FFFF00000000}"/>
  </bookViews>
  <sheets>
    <sheet name="LONG HOUSE" sheetId="1" r:id="rId1"/>
    <sheet name="SHORT HOUSE 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30" i="1" l="1"/>
  <c r="R430" i="1"/>
  <c r="Q430" i="1"/>
  <c r="O430" i="1"/>
  <c r="N430" i="1"/>
  <c r="K430" i="1"/>
  <c r="G430" i="1"/>
  <c r="T426" i="2"/>
  <c r="R426" i="2"/>
  <c r="Q426" i="2"/>
  <c r="O426" i="2"/>
  <c r="N426" i="2"/>
  <c r="K426" i="2"/>
  <c r="I426" i="2"/>
  <c r="G426" i="2"/>
  <c r="E426" i="2"/>
  <c r="I430" i="1"/>
  <c r="E430" i="1"/>
  <c r="E429" i="1"/>
  <c r="T429" i="1"/>
  <c r="R429" i="1"/>
  <c r="Q429" i="1"/>
  <c r="O429" i="1"/>
  <c r="N429" i="1"/>
  <c r="K429" i="1"/>
  <c r="G429" i="1"/>
  <c r="I429" i="1"/>
  <c r="T425" i="2"/>
  <c r="R425" i="2"/>
  <c r="Q425" i="2"/>
  <c r="O425" i="2"/>
  <c r="N425" i="2"/>
  <c r="K425" i="2"/>
  <c r="I425" i="2"/>
  <c r="G425" i="2"/>
  <c r="E425" i="2"/>
  <c r="T424" i="2"/>
  <c r="R423" i="2"/>
  <c r="Q424" i="2"/>
  <c r="R424" i="2" s="1"/>
  <c r="O424" i="2"/>
  <c r="N424" i="2"/>
  <c r="K424" i="2"/>
  <c r="G424" i="2"/>
  <c r="I424" i="2"/>
  <c r="E424" i="2"/>
  <c r="T428" i="1"/>
  <c r="R428" i="1"/>
  <c r="Q428" i="1"/>
  <c r="O428" i="1"/>
  <c r="N428" i="1"/>
  <c r="K428" i="1"/>
  <c r="G428" i="1"/>
  <c r="I428" i="1"/>
  <c r="E428" i="1"/>
  <c r="T423" i="2"/>
  <c r="Q423" i="2"/>
  <c r="O423" i="2"/>
  <c r="N423" i="2"/>
  <c r="K423" i="2"/>
  <c r="I423" i="2"/>
  <c r="G423" i="2"/>
  <c r="E423" i="2"/>
  <c r="T427" i="1"/>
  <c r="R427" i="1"/>
  <c r="Q427" i="1"/>
  <c r="K427" i="1"/>
  <c r="N427" i="1" s="1"/>
  <c r="O427" i="1" s="1"/>
  <c r="I427" i="1"/>
  <c r="G427" i="1"/>
  <c r="E427" i="1"/>
  <c r="T422" i="2"/>
  <c r="R422" i="2"/>
  <c r="Q422" i="2"/>
  <c r="K422" i="2"/>
  <c r="N422" i="2" s="1"/>
  <c r="O422" i="2" s="1"/>
  <c r="G422" i="2"/>
  <c r="I422" i="2"/>
  <c r="E422" i="2"/>
  <c r="T426" i="1"/>
  <c r="R426" i="1"/>
  <c r="Q426" i="1"/>
  <c r="O426" i="1"/>
  <c r="N426" i="1"/>
  <c r="K426" i="1"/>
  <c r="G426" i="1"/>
  <c r="I426" i="1"/>
  <c r="E426" i="1"/>
  <c r="T421" i="2"/>
  <c r="R421" i="2"/>
  <c r="Q421" i="2"/>
  <c r="N420" i="2"/>
  <c r="K421" i="2"/>
  <c r="N421" i="2" s="1"/>
  <c r="O421" i="2" s="1"/>
  <c r="I421" i="2"/>
  <c r="G421" i="2"/>
  <c r="E421" i="2"/>
  <c r="E420" i="2"/>
  <c r="T425" i="1"/>
  <c r="R425" i="1"/>
  <c r="Q425" i="1"/>
  <c r="K425" i="1"/>
  <c r="N425" i="1" s="1"/>
  <c r="O425" i="1" s="1"/>
  <c r="I425" i="1"/>
  <c r="G425" i="1"/>
  <c r="E425" i="1"/>
  <c r="T420" i="2"/>
  <c r="R420" i="2"/>
  <c r="Q420" i="2"/>
  <c r="T424" i="1"/>
  <c r="R424" i="1"/>
  <c r="Q424" i="1"/>
  <c r="O420" i="2"/>
  <c r="K420" i="2"/>
  <c r="I420" i="2"/>
  <c r="G420" i="2"/>
  <c r="O424" i="1"/>
  <c r="N424" i="1"/>
  <c r="K424" i="1"/>
  <c r="G424" i="1"/>
  <c r="I424" i="1"/>
  <c r="E424" i="1"/>
  <c r="T423" i="1"/>
  <c r="R423" i="1"/>
  <c r="Q423" i="1"/>
  <c r="K423" i="1"/>
  <c r="N423" i="1" s="1"/>
  <c r="O423" i="1" s="1"/>
  <c r="I423" i="1"/>
  <c r="G423" i="1"/>
  <c r="E423" i="1"/>
  <c r="T419" i="2"/>
  <c r="R419" i="2"/>
  <c r="Q418" i="2"/>
  <c r="Q419" i="2"/>
  <c r="K419" i="2"/>
  <c r="N419" i="2" s="1"/>
  <c r="O419" i="2" s="1"/>
  <c r="I419" i="2"/>
  <c r="G419" i="2"/>
  <c r="E419" i="2"/>
  <c r="T418" i="2"/>
  <c r="R418" i="2"/>
  <c r="O418" i="2"/>
  <c r="N418" i="2"/>
  <c r="K418" i="2"/>
  <c r="I418" i="2"/>
  <c r="G418" i="2"/>
  <c r="E418" i="2"/>
  <c r="T422" i="1"/>
  <c r="R422" i="1"/>
  <c r="Q422" i="1"/>
  <c r="K422" i="1"/>
  <c r="N422" i="1" s="1"/>
  <c r="O422" i="1" s="1"/>
  <c r="I422" i="1"/>
  <c r="G422" i="1"/>
  <c r="E422" i="1"/>
  <c r="T417" i="2"/>
  <c r="Q417" i="2"/>
  <c r="R417" i="2" s="1"/>
  <c r="O417" i="2"/>
  <c r="N417" i="2"/>
  <c r="K417" i="2"/>
  <c r="G417" i="2"/>
  <c r="I417" i="2"/>
  <c r="E417" i="2"/>
  <c r="T421" i="1"/>
  <c r="R421" i="1"/>
  <c r="Q421" i="1"/>
  <c r="O421" i="1"/>
  <c r="N421" i="1"/>
  <c r="K421" i="1"/>
  <c r="G421" i="1"/>
  <c r="I421" i="1"/>
  <c r="E421" i="1"/>
  <c r="T416" i="2"/>
  <c r="Q416" i="2"/>
  <c r="R416" i="2" s="1"/>
  <c r="O416" i="2"/>
  <c r="N416" i="2"/>
  <c r="K416" i="2"/>
  <c r="G416" i="2"/>
  <c r="I416" i="2"/>
  <c r="E416" i="2"/>
  <c r="T420" i="1"/>
  <c r="R420" i="1"/>
  <c r="Q420" i="1"/>
  <c r="O420" i="1"/>
  <c r="N420" i="1"/>
  <c r="K420" i="1"/>
  <c r="G420" i="1"/>
  <c r="I420" i="1"/>
  <c r="E420" i="1"/>
  <c r="T415" i="2"/>
  <c r="Q415" i="2"/>
  <c r="R415" i="2" s="1"/>
  <c r="O415" i="2"/>
  <c r="N415" i="2"/>
  <c r="K415" i="2"/>
  <c r="G415" i="2"/>
  <c r="I415" i="2"/>
  <c r="E415" i="2"/>
  <c r="T419" i="1"/>
  <c r="R419" i="1"/>
  <c r="Q419" i="1"/>
  <c r="O419" i="1"/>
  <c r="N419" i="1"/>
  <c r="K419" i="1"/>
  <c r="G419" i="1"/>
  <c r="I419" i="1"/>
  <c r="E419" i="1"/>
  <c r="T414" i="2"/>
  <c r="Q414" i="2"/>
  <c r="R414" i="2" s="1"/>
  <c r="O414" i="2"/>
  <c r="N414" i="2"/>
  <c r="K414" i="2"/>
  <c r="I414" i="2"/>
  <c r="G414" i="2"/>
  <c r="E414" i="2"/>
  <c r="T418" i="1"/>
  <c r="R418" i="1"/>
  <c r="Q418" i="1"/>
  <c r="K418" i="1"/>
  <c r="N418" i="1" s="1"/>
  <c r="O418" i="1" s="1"/>
  <c r="I418" i="1"/>
  <c r="G418" i="1"/>
  <c r="E418" i="1"/>
  <c r="T417" i="1"/>
  <c r="R417" i="1"/>
  <c r="Q417" i="1"/>
  <c r="O417" i="1"/>
  <c r="N417" i="1"/>
  <c r="K417" i="1"/>
  <c r="G417" i="1"/>
  <c r="I417" i="1"/>
  <c r="E417" i="1"/>
  <c r="T413" i="2"/>
  <c r="Q413" i="2"/>
  <c r="R413" i="2" s="1"/>
  <c r="O413" i="2"/>
  <c r="N413" i="2"/>
  <c r="K413" i="2"/>
  <c r="G413" i="2"/>
  <c r="I413" i="2"/>
  <c r="E413" i="2"/>
  <c r="O412" i="2"/>
  <c r="O411" i="2"/>
  <c r="Q412" i="2"/>
  <c r="R412" i="2" s="1"/>
  <c r="T416" i="1"/>
  <c r="R416" i="1"/>
  <c r="Q416" i="1"/>
  <c r="O416" i="1"/>
  <c r="N416" i="1"/>
  <c r="K416" i="1"/>
  <c r="G416" i="1"/>
  <c r="I416" i="1"/>
  <c r="E416" i="1"/>
  <c r="T412" i="2"/>
  <c r="N412" i="2"/>
  <c r="K412" i="2"/>
  <c r="G412" i="2"/>
  <c r="I412" i="2"/>
  <c r="E412" i="2"/>
  <c r="T415" i="1"/>
  <c r="R415" i="1"/>
  <c r="Q415" i="1"/>
  <c r="O415" i="1"/>
  <c r="N415" i="1"/>
  <c r="K415" i="1"/>
  <c r="G415" i="1"/>
  <c r="I415" i="1"/>
  <c r="E415" i="1"/>
  <c r="T411" i="2"/>
  <c r="Q411" i="2"/>
  <c r="R411" i="2" s="1"/>
  <c r="N411" i="2"/>
  <c r="K411" i="2"/>
  <c r="G411" i="2"/>
  <c r="I411" i="2"/>
  <c r="E411" i="2"/>
  <c r="T410" i="2"/>
  <c r="Q410" i="2"/>
  <c r="R410" i="2" s="1"/>
  <c r="O410" i="2"/>
  <c r="N410" i="2"/>
  <c r="K410" i="2"/>
  <c r="G410" i="2"/>
  <c r="I410" i="2"/>
  <c r="E410" i="2"/>
  <c r="T414" i="1"/>
  <c r="R414" i="1"/>
  <c r="Q414" i="1"/>
  <c r="N414" i="1"/>
  <c r="O414" i="1" s="1"/>
  <c r="K414" i="1"/>
  <c r="I414" i="1"/>
  <c r="G414" i="1"/>
  <c r="E414" i="1"/>
  <c r="T413" i="1"/>
  <c r="R413" i="1"/>
  <c r="Q413" i="1"/>
  <c r="O413" i="1"/>
  <c r="N413" i="1"/>
  <c r="K413" i="1"/>
  <c r="G413" i="1"/>
  <c r="I413" i="1"/>
  <c r="E413" i="1"/>
  <c r="T409" i="2"/>
  <c r="Q409" i="2"/>
  <c r="R409" i="2" s="1"/>
  <c r="O409" i="2"/>
  <c r="N409" i="2"/>
  <c r="K409" i="2"/>
  <c r="G409" i="2"/>
  <c r="I409" i="2"/>
  <c r="E409" i="2"/>
  <c r="T412" i="1"/>
  <c r="R412" i="1"/>
  <c r="Q412" i="1"/>
  <c r="O412" i="1"/>
  <c r="N412" i="1"/>
  <c r="K412" i="1"/>
  <c r="I412" i="1"/>
  <c r="G412" i="1"/>
  <c r="E412" i="1"/>
  <c r="T408" i="2"/>
  <c r="T407" i="2"/>
  <c r="Q408" i="2"/>
  <c r="R408" i="2" s="1"/>
  <c r="O408" i="2"/>
  <c r="N408" i="2"/>
  <c r="K408" i="2"/>
  <c r="G408" i="2"/>
  <c r="I408" i="2"/>
  <c r="E408" i="2"/>
  <c r="K411" i="1"/>
  <c r="G411" i="1"/>
  <c r="I411" i="1"/>
  <c r="T410" i="1"/>
  <c r="T411" i="1"/>
  <c r="R410" i="1"/>
  <c r="R411" i="1"/>
  <c r="Q410" i="1"/>
  <c r="Q411" i="1"/>
  <c r="O410" i="1"/>
  <c r="N410" i="1"/>
  <c r="N411" i="1"/>
  <c r="O411" i="1" s="1"/>
  <c r="K410" i="1"/>
  <c r="G410" i="1"/>
  <c r="I410" i="1"/>
  <c r="E411" i="1" s="1"/>
  <c r="E410" i="1"/>
  <c r="T406" i="2"/>
  <c r="Q406" i="2"/>
  <c r="R406" i="2" s="1"/>
  <c r="Q407" i="2"/>
  <c r="R407" i="2" s="1"/>
  <c r="O406" i="2"/>
  <c r="N406" i="2"/>
  <c r="K406" i="2"/>
  <c r="K407" i="2"/>
  <c r="N407" i="2" s="1"/>
  <c r="O407" i="2" s="1"/>
  <c r="I406" i="2"/>
  <c r="E407" i="2" s="1"/>
  <c r="G406" i="2"/>
  <c r="E406" i="2"/>
  <c r="T405" i="2"/>
  <c r="R405" i="2"/>
  <c r="Q405" i="2"/>
  <c r="O405" i="2"/>
  <c r="N405" i="2"/>
  <c r="K405" i="2"/>
  <c r="I405" i="2"/>
  <c r="G405" i="2"/>
  <c r="T409" i="1"/>
  <c r="R409" i="1"/>
  <c r="Q409" i="1"/>
  <c r="O409" i="1"/>
  <c r="N409" i="1"/>
  <c r="K409" i="1"/>
  <c r="G409" i="1"/>
  <c r="I409" i="1"/>
  <c r="E409" i="1"/>
  <c r="T404" i="2"/>
  <c r="Q404" i="2"/>
  <c r="R404" i="2" s="1"/>
  <c r="K404" i="2"/>
  <c r="N404" i="2" s="1"/>
  <c r="T408" i="1"/>
  <c r="R408" i="1"/>
  <c r="Q408" i="1"/>
  <c r="O408" i="1"/>
  <c r="N408" i="1"/>
  <c r="K408" i="1"/>
  <c r="G408" i="1"/>
  <c r="I408" i="1"/>
  <c r="E408" i="1"/>
  <c r="T403" i="2"/>
  <c r="Q403" i="2"/>
  <c r="R403" i="2" s="1"/>
  <c r="K403" i="2"/>
  <c r="N403" i="2" s="1"/>
  <c r="T407" i="1"/>
  <c r="R406" i="1"/>
  <c r="R407" i="1"/>
  <c r="Q406" i="1"/>
  <c r="Q407" i="1"/>
  <c r="O407" i="1"/>
  <c r="N407" i="1"/>
  <c r="K407" i="1"/>
  <c r="G407" i="1"/>
  <c r="I407" i="1"/>
  <c r="E407" i="1"/>
  <c r="T403" i="1"/>
  <c r="T402" i="2"/>
  <c r="Q402" i="2"/>
  <c r="R402" i="2" s="1"/>
  <c r="K402" i="2"/>
  <c r="N402" i="2" s="1"/>
  <c r="T406" i="1"/>
  <c r="O406" i="1"/>
  <c r="N406" i="1"/>
  <c r="K406" i="1"/>
  <c r="G406" i="1"/>
  <c r="I406" i="1"/>
  <c r="E406" i="1"/>
  <c r="T405" i="1"/>
  <c r="R405" i="1"/>
  <c r="Q405" i="1"/>
  <c r="O405" i="1"/>
  <c r="O404" i="1"/>
  <c r="N405" i="1"/>
  <c r="K405" i="1"/>
  <c r="I405" i="1"/>
  <c r="G405" i="1"/>
  <c r="E405" i="1"/>
  <c r="T401" i="2"/>
  <c r="Q401" i="2"/>
  <c r="R401" i="2" s="1"/>
  <c r="K401" i="2"/>
  <c r="N401" i="2" s="1"/>
  <c r="T404" i="1"/>
  <c r="R403" i="1"/>
  <c r="R404" i="1"/>
  <c r="Q403" i="1"/>
  <c r="Q404" i="1"/>
  <c r="O403" i="1"/>
  <c r="N403" i="1"/>
  <c r="N404" i="1"/>
  <c r="K403" i="1"/>
  <c r="K404" i="1"/>
  <c r="I403" i="1"/>
  <c r="G403" i="1"/>
  <c r="E403" i="1"/>
  <c r="E404" i="1"/>
  <c r="T399" i="2"/>
  <c r="T400" i="2"/>
  <c r="R400" i="2"/>
  <c r="Q399" i="2"/>
  <c r="R399" i="2" s="1"/>
  <c r="Q400" i="2"/>
  <c r="K399" i="2"/>
  <c r="N399" i="2" s="1"/>
  <c r="K400" i="2"/>
  <c r="N400" i="2" s="1"/>
  <c r="E402" i="1"/>
  <c r="E401" i="1"/>
  <c r="O401" i="1" s="1"/>
  <c r="T398" i="2"/>
  <c r="Q398" i="2"/>
  <c r="R398" i="2" s="1"/>
  <c r="K398" i="2"/>
  <c r="N398" i="2" s="1"/>
  <c r="T402" i="1"/>
  <c r="R402" i="1"/>
  <c r="Q402" i="1"/>
  <c r="N402" i="1"/>
  <c r="K402" i="1"/>
  <c r="G402" i="1"/>
  <c r="T401" i="1"/>
  <c r="R401" i="1"/>
  <c r="Q401" i="1"/>
  <c r="N401" i="1"/>
  <c r="K401" i="1"/>
  <c r="I401" i="1"/>
  <c r="G401" i="1"/>
  <c r="T397" i="2"/>
  <c r="Q397" i="2"/>
  <c r="R397" i="2" s="1"/>
  <c r="K397" i="2"/>
  <c r="N397" i="2" s="1"/>
  <c r="T400" i="1"/>
  <c r="Q400" i="1"/>
  <c r="R400" i="1" s="1"/>
  <c r="K400" i="1"/>
  <c r="N400" i="1" s="1"/>
  <c r="O400" i="1" s="1"/>
  <c r="I400" i="1"/>
  <c r="G400" i="1"/>
  <c r="T396" i="2"/>
  <c r="Q396" i="2"/>
  <c r="R396" i="2" s="1"/>
  <c r="K396" i="2"/>
  <c r="N396" i="2" s="1"/>
  <c r="O396" i="2" s="1"/>
  <c r="I396" i="2"/>
  <c r="E397" i="2" s="1"/>
  <c r="G396" i="2"/>
  <c r="T396" i="1"/>
  <c r="R396" i="1"/>
  <c r="Q396" i="1"/>
  <c r="K396" i="1"/>
  <c r="N396" i="1" s="1"/>
  <c r="T393" i="2"/>
  <c r="Q393" i="2"/>
  <c r="R393" i="2" s="1"/>
  <c r="K393" i="2"/>
  <c r="N393" i="2" s="1"/>
  <c r="T395" i="1"/>
  <c r="R395" i="1"/>
  <c r="Q395" i="1"/>
  <c r="N395" i="1"/>
  <c r="K395" i="1"/>
  <c r="T392" i="2"/>
  <c r="Q392" i="2"/>
  <c r="R392" i="2" s="1"/>
  <c r="K392" i="2"/>
  <c r="N392" i="2" s="1"/>
  <c r="T390" i="2"/>
  <c r="T391" i="2"/>
  <c r="Q390" i="2"/>
  <c r="R390" i="2" s="1"/>
  <c r="Q391" i="2"/>
  <c r="R391" i="2" s="1"/>
  <c r="K391" i="2"/>
  <c r="N391" i="2" s="1"/>
  <c r="K390" i="2"/>
  <c r="N390" i="2" s="1"/>
  <c r="T393" i="1"/>
  <c r="T394" i="1"/>
  <c r="R393" i="1"/>
  <c r="R394" i="1"/>
  <c r="Q393" i="1"/>
  <c r="Q394" i="1"/>
  <c r="K393" i="1"/>
  <c r="K394" i="1"/>
  <c r="T392" i="1"/>
  <c r="R392" i="1"/>
  <c r="Q392" i="1"/>
  <c r="N392" i="1"/>
  <c r="K392" i="1"/>
  <c r="T389" i="2"/>
  <c r="Q389" i="2"/>
  <c r="R389" i="2" s="1"/>
  <c r="K389" i="2"/>
  <c r="N389" i="2" s="1"/>
  <c r="T388" i="2"/>
  <c r="Q388" i="2"/>
  <c r="R388" i="2" s="1"/>
  <c r="K388" i="2"/>
  <c r="N388" i="2" s="1"/>
  <c r="T391" i="1"/>
  <c r="R391" i="1"/>
  <c r="Q391" i="1"/>
  <c r="N391" i="1"/>
  <c r="K391" i="1"/>
  <c r="T390" i="1"/>
  <c r="Q390" i="1"/>
  <c r="K390" i="1"/>
  <c r="T387" i="2"/>
  <c r="Q387" i="2"/>
  <c r="K387" i="2"/>
  <c r="T386" i="2"/>
  <c r="Q386" i="2"/>
  <c r="K386" i="2"/>
  <c r="T389" i="1"/>
  <c r="Q389" i="1"/>
  <c r="K389" i="1"/>
  <c r="T388" i="1"/>
  <c r="Q388" i="1"/>
  <c r="T385" i="2"/>
  <c r="Q385" i="2"/>
  <c r="K385" i="2"/>
  <c r="K388" i="1"/>
  <c r="T387" i="1"/>
  <c r="Q387" i="1"/>
  <c r="K387" i="1"/>
  <c r="T384" i="2"/>
  <c r="Q384" i="2"/>
  <c r="K384" i="2"/>
  <c r="T386" i="1"/>
  <c r="Q386" i="1"/>
  <c r="K386" i="1"/>
  <c r="T383" i="2"/>
  <c r="T382" i="2"/>
  <c r="Q383" i="2"/>
  <c r="K383" i="2"/>
  <c r="T385" i="1"/>
  <c r="Q385" i="1"/>
  <c r="K385" i="1"/>
  <c r="Q382" i="2"/>
  <c r="K382" i="2"/>
  <c r="T384" i="1"/>
  <c r="Q384" i="1"/>
  <c r="K384" i="1"/>
  <c r="T381" i="2"/>
  <c r="Q381" i="2"/>
  <c r="K381" i="2"/>
  <c r="T383" i="1"/>
  <c r="Q383" i="1"/>
  <c r="K383" i="1"/>
  <c r="T380" i="2"/>
  <c r="Q380" i="2"/>
  <c r="K380" i="2"/>
  <c r="T382" i="1"/>
  <c r="Q382" i="1"/>
  <c r="K382" i="1"/>
  <c r="T379" i="2"/>
  <c r="Q379" i="2"/>
  <c r="K379" i="2"/>
  <c r="T378" i="2"/>
  <c r="Q378" i="2"/>
  <c r="K378" i="2"/>
  <c r="T381" i="1"/>
  <c r="Q381" i="1"/>
  <c r="K381" i="1"/>
  <c r="T376" i="2"/>
  <c r="T377" i="2"/>
  <c r="Q376" i="2"/>
  <c r="Q377" i="2"/>
  <c r="K376" i="2"/>
  <c r="K377" i="2"/>
  <c r="T380" i="1"/>
  <c r="T379" i="1"/>
  <c r="Q379" i="1"/>
  <c r="Q380" i="1"/>
  <c r="K379" i="1"/>
  <c r="K380" i="1"/>
  <c r="T378" i="1"/>
  <c r="Q378" i="1"/>
  <c r="K378" i="1"/>
  <c r="T375" i="2"/>
  <c r="Q375" i="2"/>
  <c r="K375" i="2"/>
  <c r="T377" i="1"/>
  <c r="Q377" i="1"/>
  <c r="K377" i="1"/>
  <c r="T374" i="2"/>
  <c r="Q374" i="2"/>
  <c r="K374" i="2"/>
  <c r="T376" i="1"/>
  <c r="Q376" i="1"/>
  <c r="K376" i="1"/>
  <c r="T373" i="2"/>
  <c r="Q373" i="2"/>
  <c r="K373" i="2"/>
  <c r="T372" i="2"/>
  <c r="Q372" i="2"/>
  <c r="K372" i="2"/>
  <c r="T375" i="1"/>
  <c r="Q375" i="1"/>
  <c r="K375" i="1"/>
  <c r="T374" i="1"/>
  <c r="Q374" i="1"/>
  <c r="T371" i="2"/>
  <c r="Q371" i="2"/>
  <c r="K374" i="1"/>
  <c r="K371" i="2"/>
  <c r="T369" i="2"/>
  <c r="T370" i="2"/>
  <c r="Q369" i="2"/>
  <c r="Q370" i="2"/>
  <c r="K368" i="2"/>
  <c r="K369" i="2"/>
  <c r="K370" i="2"/>
  <c r="T372" i="1"/>
  <c r="T373" i="1"/>
  <c r="Q372" i="1"/>
  <c r="Q373" i="1"/>
  <c r="K373" i="1"/>
  <c r="K372" i="1"/>
  <c r="T368" i="2"/>
  <c r="Q368" i="2"/>
  <c r="T371" i="1"/>
  <c r="Q371" i="1"/>
  <c r="K371" i="1"/>
  <c r="T367" i="2"/>
  <c r="Q367" i="2"/>
  <c r="T370" i="1"/>
  <c r="Q370" i="1"/>
  <c r="K370" i="1"/>
  <c r="K367" i="2"/>
  <c r="T366" i="2"/>
  <c r="Q366" i="2"/>
  <c r="K366" i="2"/>
  <c r="T369" i="1"/>
  <c r="Q369" i="1"/>
  <c r="K369" i="1"/>
  <c r="T368" i="1"/>
  <c r="Q368" i="1"/>
  <c r="K368" i="1"/>
  <c r="T365" i="2"/>
  <c r="Q365" i="2"/>
  <c r="K365" i="2"/>
  <c r="T364" i="2"/>
  <c r="Q364" i="2"/>
  <c r="R364" i="2" s="1"/>
  <c r="K364" i="2"/>
  <c r="N364" i="2" s="1"/>
  <c r="O364" i="2" s="1"/>
  <c r="I364" i="2"/>
  <c r="G364" i="2"/>
  <c r="T367" i="1"/>
  <c r="Q367" i="1"/>
  <c r="R367" i="1" s="1"/>
  <c r="K367" i="1"/>
  <c r="N367" i="1" s="1"/>
  <c r="O367" i="1" s="1"/>
  <c r="I367" i="1"/>
  <c r="G367" i="1"/>
  <c r="T360" i="2"/>
  <c r="T361" i="2"/>
  <c r="Q360" i="2"/>
  <c r="Q361" i="2"/>
  <c r="K361" i="2"/>
  <c r="T363" i="1"/>
  <c r="Q363" i="1"/>
  <c r="K363" i="1"/>
  <c r="T362" i="1"/>
  <c r="Q362" i="1"/>
  <c r="K362" i="1"/>
  <c r="K360" i="2"/>
  <c r="T359" i="2"/>
  <c r="Q359" i="2"/>
  <c r="K359" i="2"/>
  <c r="T361" i="1"/>
  <c r="Q361" i="1"/>
  <c r="K361" i="1"/>
  <c r="T359" i="1"/>
  <c r="T360" i="1"/>
  <c r="Q359" i="1"/>
  <c r="Q360" i="1"/>
  <c r="R360" i="1" s="1"/>
  <c r="K359" i="1"/>
  <c r="K360" i="1"/>
  <c r="T357" i="2"/>
  <c r="T358" i="2"/>
  <c r="Q357" i="2"/>
  <c r="Q358" i="2"/>
  <c r="K357" i="2"/>
  <c r="K358" i="2"/>
  <c r="T357" i="1"/>
  <c r="T358" i="1"/>
  <c r="Q358" i="1"/>
  <c r="K358" i="1"/>
  <c r="T356" i="2"/>
  <c r="Q356" i="2"/>
  <c r="K356" i="2"/>
  <c r="T356" i="1"/>
  <c r="Q357" i="1"/>
  <c r="K357" i="1"/>
  <c r="T355" i="2"/>
  <c r="Q355" i="2"/>
  <c r="K355" i="2"/>
  <c r="F329" i="2"/>
  <c r="F296" i="2"/>
  <c r="F263" i="2"/>
  <c r="F232" i="2"/>
  <c r="F198" i="2"/>
  <c r="F164" i="2"/>
  <c r="F131" i="2"/>
  <c r="F97" i="2"/>
  <c r="F64" i="2"/>
  <c r="F30" i="2"/>
  <c r="F330" i="1"/>
  <c r="F297" i="1"/>
  <c r="F263" i="1"/>
  <c r="F232" i="1"/>
  <c r="F198" i="1"/>
  <c r="F164" i="1"/>
  <c r="F131" i="1"/>
  <c r="F97" i="1"/>
  <c r="F64" i="1"/>
  <c r="F30" i="1"/>
  <c r="T355" i="1"/>
  <c r="Q355" i="1"/>
  <c r="Q356" i="1"/>
  <c r="K355" i="1"/>
  <c r="N355" i="1" s="1"/>
  <c r="K356" i="1"/>
  <c r="T353" i="2"/>
  <c r="T354" i="2"/>
  <c r="Q353" i="2"/>
  <c r="Q354" i="2"/>
  <c r="R354" i="2" s="1"/>
  <c r="K353" i="2"/>
  <c r="N353" i="2" s="1"/>
  <c r="K354" i="2"/>
  <c r="N354" i="2" s="1"/>
  <c r="T352" i="2"/>
  <c r="Q352" i="2"/>
  <c r="K352" i="2"/>
  <c r="T353" i="1"/>
  <c r="T354" i="1"/>
  <c r="Q354" i="1"/>
  <c r="R354" i="1" s="1"/>
  <c r="K354" i="1"/>
  <c r="Q353" i="1"/>
  <c r="K353" i="1"/>
  <c r="T351" i="2"/>
  <c r="Q351" i="2"/>
  <c r="K351" i="2"/>
  <c r="N351" i="2" s="1"/>
  <c r="T350" i="2"/>
  <c r="Q350" i="2"/>
  <c r="K350" i="2"/>
  <c r="T352" i="1"/>
  <c r="Q352" i="1"/>
  <c r="K352" i="1"/>
  <c r="T351" i="1"/>
  <c r="Q351" i="1"/>
  <c r="K351" i="1"/>
  <c r="T349" i="2"/>
  <c r="Q349" i="2"/>
  <c r="K349" i="2"/>
  <c r="N349" i="2" s="1"/>
  <c r="T348" i="2"/>
  <c r="Q348" i="2"/>
  <c r="K348" i="2"/>
  <c r="T350" i="1"/>
  <c r="Q350" i="1"/>
  <c r="K350" i="1"/>
  <c r="T346" i="2"/>
  <c r="T347" i="2"/>
  <c r="Q346" i="2"/>
  <c r="Q347" i="2"/>
  <c r="K346" i="2"/>
  <c r="K347" i="2"/>
  <c r="T348" i="1"/>
  <c r="T349" i="1"/>
  <c r="Q349" i="1"/>
  <c r="Q348" i="1"/>
  <c r="Q347" i="1"/>
  <c r="K348" i="1"/>
  <c r="N348" i="1" s="1"/>
  <c r="K349" i="1"/>
  <c r="N349" i="1" s="1"/>
  <c r="T347" i="1"/>
  <c r="K347" i="1"/>
  <c r="T345" i="2"/>
  <c r="Q345" i="2"/>
  <c r="K345" i="2"/>
  <c r="T344" i="2"/>
  <c r="Q344" i="2"/>
  <c r="K344" i="2"/>
  <c r="T346" i="1"/>
  <c r="Q346" i="1"/>
  <c r="K346" i="1"/>
  <c r="T343" i="2"/>
  <c r="Q343" i="2"/>
  <c r="T345" i="1"/>
  <c r="Q345" i="1"/>
  <c r="K345" i="1"/>
  <c r="K343" i="2"/>
  <c r="T344" i="1"/>
  <c r="Q344" i="1"/>
  <c r="K344" i="1"/>
  <c r="N344" i="1" s="1"/>
  <c r="T342" i="2"/>
  <c r="Q342" i="2"/>
  <c r="K342" i="2"/>
  <c r="G407" i="2" l="1"/>
  <c r="I407" i="2"/>
  <c r="G404" i="1"/>
  <c r="I404" i="1"/>
  <c r="G397" i="2"/>
  <c r="O397" i="2"/>
  <c r="I397" i="2"/>
  <c r="E398" i="2" s="1"/>
  <c r="O402" i="1"/>
  <c r="I402" i="1"/>
  <c r="N394" i="1"/>
  <c r="N393" i="1"/>
  <c r="R386" i="2"/>
  <c r="N386" i="2"/>
  <c r="N389" i="1"/>
  <c r="R383" i="2"/>
  <c r="N383" i="2"/>
  <c r="N385" i="1"/>
  <c r="R382" i="2"/>
  <c r="R384" i="1"/>
  <c r="R382" i="1"/>
  <c r="R380" i="1"/>
  <c r="R374" i="2"/>
  <c r="N388" i="1"/>
  <c r="R386" i="1"/>
  <c r="R381" i="2"/>
  <c r="N383" i="1"/>
  <c r="R380" i="2"/>
  <c r="N390" i="1"/>
  <c r="N387" i="2"/>
  <c r="N384" i="2"/>
  <c r="N382" i="1"/>
  <c r="R379" i="1"/>
  <c r="R388" i="1"/>
  <c r="R385" i="2"/>
  <c r="N386" i="1"/>
  <c r="R385" i="1"/>
  <c r="N382" i="2"/>
  <c r="R383" i="1"/>
  <c r="R381" i="1"/>
  <c r="R378" i="1"/>
  <c r="N356" i="1"/>
  <c r="R390" i="1"/>
  <c r="R387" i="2"/>
  <c r="R389" i="1"/>
  <c r="R387" i="1"/>
  <c r="N385" i="2"/>
  <c r="N387" i="1"/>
  <c r="R384" i="2"/>
  <c r="N381" i="2"/>
  <c r="N380" i="2"/>
  <c r="N381" i="1"/>
  <c r="N384" i="1"/>
  <c r="R369" i="2"/>
  <c r="N366" i="2"/>
  <c r="N378" i="2"/>
  <c r="R372" i="2"/>
  <c r="N371" i="2"/>
  <c r="R371" i="2"/>
  <c r="N370" i="2"/>
  <c r="R379" i="2"/>
  <c r="N379" i="2"/>
  <c r="R376" i="2"/>
  <c r="R375" i="2"/>
  <c r="N374" i="2"/>
  <c r="R373" i="2"/>
  <c r="N373" i="2"/>
  <c r="R368" i="2"/>
  <c r="N367" i="2"/>
  <c r="R366" i="2"/>
  <c r="R377" i="2"/>
  <c r="N372" i="2"/>
  <c r="R370" i="2"/>
  <c r="R378" i="2"/>
  <c r="N377" i="2"/>
  <c r="N380" i="1"/>
  <c r="N376" i="2"/>
  <c r="N379" i="1"/>
  <c r="N378" i="1"/>
  <c r="R377" i="1"/>
  <c r="N377" i="1"/>
  <c r="R372" i="1"/>
  <c r="R373" i="1"/>
  <c r="N372" i="1"/>
  <c r="R371" i="1"/>
  <c r="R370" i="1"/>
  <c r="N370" i="1"/>
  <c r="R369" i="1"/>
  <c r="N369" i="1"/>
  <c r="R376" i="1"/>
  <c r="N376" i="1"/>
  <c r="R375" i="1"/>
  <c r="N375" i="1"/>
  <c r="R374" i="1"/>
  <c r="N374" i="1"/>
  <c r="N373" i="1"/>
  <c r="N375" i="2"/>
  <c r="N369" i="2"/>
  <c r="N371" i="1"/>
  <c r="N368" i="2"/>
  <c r="R367" i="2"/>
  <c r="N359" i="1"/>
  <c r="N360" i="1"/>
  <c r="R357" i="2"/>
  <c r="R358" i="2"/>
  <c r="N357" i="2"/>
  <c r="N358" i="2"/>
  <c r="R358" i="1"/>
  <c r="N358" i="1"/>
  <c r="N357" i="1"/>
  <c r="R356" i="2"/>
  <c r="N356" i="2"/>
  <c r="R357" i="1"/>
  <c r="R355" i="2"/>
  <c r="R353" i="2"/>
  <c r="R352" i="2"/>
  <c r="N352" i="2"/>
  <c r="N354" i="1"/>
  <c r="R353" i="1"/>
  <c r="N353" i="1"/>
  <c r="R351" i="2"/>
  <c r="R350" i="2"/>
  <c r="N350" i="2"/>
  <c r="R352" i="1"/>
  <c r="N352" i="1"/>
  <c r="R351" i="1"/>
  <c r="N351" i="1"/>
  <c r="R349" i="2"/>
  <c r="R348" i="2"/>
  <c r="R342" i="2"/>
  <c r="N342" i="2"/>
  <c r="R355" i="1"/>
  <c r="N348" i="2"/>
  <c r="R350" i="1"/>
  <c r="N350" i="1"/>
  <c r="R346" i="2"/>
  <c r="R347" i="2"/>
  <c r="N346" i="2"/>
  <c r="N347" i="2"/>
  <c r="R347" i="1"/>
  <c r="R348" i="1"/>
  <c r="R349" i="1"/>
  <c r="N347" i="1"/>
  <c r="R345" i="2"/>
  <c r="N345" i="2"/>
  <c r="R344" i="2"/>
  <c r="N344" i="2"/>
  <c r="R346" i="1"/>
  <c r="N346" i="1"/>
  <c r="R343" i="2"/>
  <c r="R345" i="1"/>
  <c r="N345" i="1"/>
  <c r="N343" i="2"/>
  <c r="R344" i="1"/>
  <c r="R356" i="1"/>
  <c r="E368" i="1"/>
  <c r="G368" i="1" s="1"/>
  <c r="R368" i="1"/>
  <c r="N368" i="1"/>
  <c r="R365" i="2"/>
  <c r="N365" i="2"/>
  <c r="E365" i="2"/>
  <c r="R361" i="2"/>
  <c r="N363" i="1"/>
  <c r="R362" i="1"/>
  <c r="N362" i="1"/>
  <c r="N360" i="2"/>
  <c r="R359" i="2"/>
  <c r="N359" i="2"/>
  <c r="R361" i="1"/>
  <c r="N361" i="1"/>
  <c r="R359" i="1"/>
  <c r="N355" i="2"/>
  <c r="R360" i="2"/>
  <c r="N361" i="2"/>
  <c r="R363" i="1"/>
  <c r="T341" i="2"/>
  <c r="Q341" i="2"/>
  <c r="K341" i="2"/>
  <c r="T343" i="1"/>
  <c r="Q343" i="1"/>
  <c r="R343" i="1" s="1"/>
  <c r="K343" i="1"/>
  <c r="T341" i="1"/>
  <c r="T342" i="1"/>
  <c r="Q341" i="1"/>
  <c r="Q342" i="1"/>
  <c r="K342" i="1"/>
  <c r="N342" i="1" s="1"/>
  <c r="K341" i="1"/>
  <c r="N341" i="1" s="1"/>
  <c r="T339" i="2"/>
  <c r="T340" i="2"/>
  <c r="Q339" i="2"/>
  <c r="Q340" i="2"/>
  <c r="K339" i="2"/>
  <c r="K340" i="2"/>
  <c r="T340" i="1"/>
  <c r="Q340" i="1"/>
  <c r="K340" i="1"/>
  <c r="T338" i="2"/>
  <c r="Q338" i="2"/>
  <c r="K338" i="2"/>
  <c r="T339" i="1"/>
  <c r="Q339" i="1"/>
  <c r="K339" i="1"/>
  <c r="T337" i="2"/>
  <c r="Q337" i="2"/>
  <c r="K337" i="2"/>
  <c r="T338" i="1"/>
  <c r="Q338" i="1"/>
  <c r="T336" i="2"/>
  <c r="Q336" i="2"/>
  <c r="K336" i="2"/>
  <c r="K338" i="1"/>
  <c r="T337" i="1"/>
  <c r="Q337" i="1"/>
  <c r="K337" i="1"/>
  <c r="N337" i="1" s="1"/>
  <c r="T335" i="2"/>
  <c r="Q335" i="2"/>
  <c r="K335" i="2"/>
  <c r="T336" i="1"/>
  <c r="Q336" i="1"/>
  <c r="K336" i="1"/>
  <c r="T334" i="2"/>
  <c r="Q334" i="2"/>
  <c r="K334" i="2"/>
  <c r="T335" i="1"/>
  <c r="Q335" i="1"/>
  <c r="K335" i="1"/>
  <c r="T333" i="2"/>
  <c r="Q333" i="2"/>
  <c r="K333" i="2"/>
  <c r="N333" i="2" s="1"/>
  <c r="T334" i="1"/>
  <c r="Q334" i="1"/>
  <c r="K334" i="1"/>
  <c r="T332" i="2"/>
  <c r="Q332" i="2"/>
  <c r="K332" i="2"/>
  <c r="N332" i="2" s="1"/>
  <c r="T333" i="1"/>
  <c r="Q333" i="1"/>
  <c r="R333" i="1" s="1"/>
  <c r="K333" i="1"/>
  <c r="N333" i="1" s="1"/>
  <c r="O333" i="1" s="1"/>
  <c r="I333" i="1"/>
  <c r="E334" i="1" s="1"/>
  <c r="G333" i="1"/>
  <c r="T331" i="2"/>
  <c r="Q331" i="2"/>
  <c r="R331" i="2" s="1"/>
  <c r="K331" i="2"/>
  <c r="N331" i="2" s="1"/>
  <c r="O331" i="2" s="1"/>
  <c r="I331" i="2"/>
  <c r="E332" i="2" s="1"/>
  <c r="G331" i="2"/>
  <c r="T328" i="2"/>
  <c r="Q328" i="2"/>
  <c r="K328" i="2"/>
  <c r="N328" i="2" s="1"/>
  <c r="T329" i="1"/>
  <c r="Q329" i="1"/>
  <c r="K329" i="1"/>
  <c r="T327" i="2"/>
  <c r="Q327" i="2"/>
  <c r="K327" i="2"/>
  <c r="N327" i="2" s="1"/>
  <c r="T328" i="1"/>
  <c r="Q328" i="1"/>
  <c r="K328" i="1"/>
  <c r="T326" i="2"/>
  <c r="Q326" i="2"/>
  <c r="K326" i="2"/>
  <c r="T327" i="1"/>
  <c r="Q327" i="1"/>
  <c r="K327" i="1"/>
  <c r="T325" i="2"/>
  <c r="Q325" i="2"/>
  <c r="K325" i="2"/>
  <c r="T326" i="1"/>
  <c r="Q326" i="1"/>
  <c r="K326" i="1"/>
  <c r="T323" i="2"/>
  <c r="T324" i="2"/>
  <c r="Q323" i="2"/>
  <c r="Q324" i="2"/>
  <c r="K323" i="2"/>
  <c r="K324" i="2"/>
  <c r="T325" i="1"/>
  <c r="Q325" i="1"/>
  <c r="K325" i="1"/>
  <c r="T324" i="1"/>
  <c r="Q324" i="1"/>
  <c r="K324" i="1"/>
  <c r="N324" i="1" s="1"/>
  <c r="T323" i="1"/>
  <c r="Q323" i="1"/>
  <c r="K323" i="1"/>
  <c r="T322" i="2"/>
  <c r="Q322" i="2"/>
  <c r="R322" i="2" s="1"/>
  <c r="K322" i="2"/>
  <c r="T322" i="1"/>
  <c r="Q321" i="1"/>
  <c r="R321" i="1" s="1"/>
  <c r="Q322" i="1"/>
  <c r="K322" i="1"/>
  <c r="T320" i="2"/>
  <c r="T321" i="2"/>
  <c r="Q321" i="2"/>
  <c r="K321" i="2"/>
  <c r="T321" i="1"/>
  <c r="K321" i="1"/>
  <c r="Q320" i="2"/>
  <c r="K320" i="2"/>
  <c r="T319" i="2"/>
  <c r="Q319" i="2"/>
  <c r="K319" i="2"/>
  <c r="N319" i="2" s="1"/>
  <c r="T320" i="1"/>
  <c r="Q320" i="1"/>
  <c r="K320" i="1"/>
  <c r="N320" i="1" s="1"/>
  <c r="T319" i="1"/>
  <c r="Q319" i="1"/>
  <c r="K319" i="1"/>
  <c r="T318" i="2"/>
  <c r="Q318" i="2"/>
  <c r="K318" i="2"/>
  <c r="T317" i="2"/>
  <c r="Q317" i="2"/>
  <c r="K317" i="2"/>
  <c r="T318" i="1"/>
  <c r="Q318" i="1"/>
  <c r="K318" i="1"/>
  <c r="G398" i="2" l="1"/>
  <c r="I398" i="2"/>
  <c r="E399" i="2" s="1"/>
  <c r="O398" i="2"/>
  <c r="I368" i="1"/>
  <c r="E369" i="1" s="1"/>
  <c r="O368" i="1"/>
  <c r="N335" i="1"/>
  <c r="N325" i="1"/>
  <c r="O369" i="1"/>
  <c r="G369" i="1"/>
  <c r="I369" i="1"/>
  <c r="E370" i="1" s="1"/>
  <c r="I365" i="2"/>
  <c r="E366" i="2" s="1"/>
  <c r="G365" i="2"/>
  <c r="R335" i="2"/>
  <c r="R334" i="2"/>
  <c r="O365" i="2"/>
  <c r="R341" i="2"/>
  <c r="N341" i="2"/>
  <c r="N343" i="1"/>
  <c r="R341" i="1"/>
  <c r="R342" i="1"/>
  <c r="R339" i="2"/>
  <c r="R340" i="2"/>
  <c r="N340" i="2"/>
  <c r="N339" i="2"/>
  <c r="R340" i="1"/>
  <c r="N340" i="1"/>
  <c r="R339" i="1"/>
  <c r="N339" i="1"/>
  <c r="R338" i="1"/>
  <c r="R335" i="1"/>
  <c r="R333" i="2"/>
  <c r="R334" i="1"/>
  <c r="N334" i="1"/>
  <c r="O334" i="1" s="1"/>
  <c r="R332" i="2"/>
  <c r="R328" i="2"/>
  <c r="R329" i="1"/>
  <c r="N318" i="1"/>
  <c r="N329" i="1"/>
  <c r="R327" i="2"/>
  <c r="R328" i="1"/>
  <c r="N328" i="1"/>
  <c r="R326" i="2"/>
  <c r="N326" i="2"/>
  <c r="R326" i="1"/>
  <c r="R327" i="1"/>
  <c r="N327" i="1"/>
  <c r="R325" i="2"/>
  <c r="N325" i="2"/>
  <c r="N326" i="1"/>
  <c r="R323" i="2"/>
  <c r="R324" i="2"/>
  <c r="N323" i="2"/>
  <c r="N324" i="2"/>
  <c r="R325" i="1"/>
  <c r="R320" i="1"/>
  <c r="R319" i="1"/>
  <c r="N319" i="1"/>
  <c r="R318" i="2"/>
  <c r="R317" i="2"/>
  <c r="R324" i="1"/>
  <c r="R323" i="1"/>
  <c r="N323" i="1"/>
  <c r="N322" i="2"/>
  <c r="R322" i="1"/>
  <c r="N322" i="1"/>
  <c r="R321" i="2"/>
  <c r="N320" i="2"/>
  <c r="N321" i="2"/>
  <c r="N321" i="1"/>
  <c r="R320" i="2"/>
  <c r="R319" i="2"/>
  <c r="N318" i="2"/>
  <c r="N317" i="2"/>
  <c r="R318" i="1"/>
  <c r="R338" i="2"/>
  <c r="N338" i="2"/>
  <c r="R337" i="2"/>
  <c r="N337" i="2"/>
  <c r="R336" i="2"/>
  <c r="N336" i="2"/>
  <c r="N338" i="1"/>
  <c r="R337" i="1"/>
  <c r="N335" i="2"/>
  <c r="R336" i="1"/>
  <c r="N336" i="1"/>
  <c r="N334" i="2"/>
  <c r="G334" i="1"/>
  <c r="I334" i="1"/>
  <c r="E335" i="1" s="1"/>
  <c r="G332" i="2"/>
  <c r="I332" i="2"/>
  <c r="E333" i="2" s="1"/>
  <c r="O332" i="2"/>
  <c r="T317" i="1"/>
  <c r="Q317" i="1"/>
  <c r="K317" i="1"/>
  <c r="T316" i="2"/>
  <c r="Q316" i="2"/>
  <c r="K316" i="2"/>
  <c r="T316" i="1"/>
  <c r="Q316" i="1"/>
  <c r="K316" i="1"/>
  <c r="T315" i="2"/>
  <c r="Q315" i="2"/>
  <c r="R315" i="2" s="1"/>
  <c r="K315" i="2"/>
  <c r="N315" i="2" s="1"/>
  <c r="T314" i="2"/>
  <c r="Q314" i="2"/>
  <c r="R314" i="2" s="1"/>
  <c r="K313" i="2"/>
  <c r="N313" i="2" s="1"/>
  <c r="K314" i="2"/>
  <c r="N314" i="2" s="1"/>
  <c r="T315" i="1"/>
  <c r="Q315" i="1"/>
  <c r="K315" i="1"/>
  <c r="N315" i="1" s="1"/>
  <c r="T313" i="2"/>
  <c r="Q313" i="2"/>
  <c r="R313" i="2" s="1"/>
  <c r="T314" i="1"/>
  <c r="Q314" i="1"/>
  <c r="K314" i="1"/>
  <c r="N314" i="1" s="1"/>
  <c r="T312" i="2"/>
  <c r="Q312" i="2"/>
  <c r="R312" i="2" s="1"/>
  <c r="K311" i="2"/>
  <c r="N311" i="2" s="1"/>
  <c r="K312" i="2"/>
  <c r="N312" i="2" s="1"/>
  <c r="T313" i="1"/>
  <c r="Q313" i="1"/>
  <c r="K313" i="1"/>
  <c r="N313" i="1" s="1"/>
  <c r="T311" i="2"/>
  <c r="Q311" i="2"/>
  <c r="R311" i="2" s="1"/>
  <c r="T312" i="1"/>
  <c r="Q312" i="1"/>
  <c r="K312" i="1"/>
  <c r="T311" i="1"/>
  <c r="Q311" i="1"/>
  <c r="R311" i="1" s="1"/>
  <c r="K311" i="1"/>
  <c r="N311" i="1" s="1"/>
  <c r="T310" i="2"/>
  <c r="Q310" i="2"/>
  <c r="R310" i="2" s="1"/>
  <c r="K310" i="2"/>
  <c r="N310" i="2" s="1"/>
  <c r="T310" i="1"/>
  <c r="Q310" i="1"/>
  <c r="K310" i="1"/>
  <c r="N310" i="1" s="1"/>
  <c r="T309" i="2"/>
  <c r="Q309" i="2"/>
  <c r="R309" i="2" s="1"/>
  <c r="K309" i="2"/>
  <c r="T308" i="2"/>
  <c r="Q308" i="2"/>
  <c r="R308" i="2" s="1"/>
  <c r="K308" i="2"/>
  <c r="N308" i="2" s="1"/>
  <c r="T309" i="1"/>
  <c r="Q309" i="1"/>
  <c r="R309" i="1" s="1"/>
  <c r="K309" i="1"/>
  <c r="N309" i="1" s="1"/>
  <c r="T307" i="2"/>
  <c r="Q307" i="2"/>
  <c r="R307" i="2" s="1"/>
  <c r="K307" i="2"/>
  <c r="N307" i="2" s="1"/>
  <c r="T308" i="1"/>
  <c r="Q308" i="1"/>
  <c r="R308" i="1" s="1"/>
  <c r="K308" i="1"/>
  <c r="N308" i="1" s="1"/>
  <c r="T306" i="2"/>
  <c r="Q306" i="2"/>
  <c r="R306" i="2" s="1"/>
  <c r="K306" i="2"/>
  <c r="T307" i="1"/>
  <c r="Q307" i="1"/>
  <c r="R307" i="1" s="1"/>
  <c r="K307" i="1"/>
  <c r="N307" i="1" s="1"/>
  <c r="T306" i="1"/>
  <c r="Q306" i="1"/>
  <c r="K306" i="1"/>
  <c r="N306" i="1" s="1"/>
  <c r="T305" i="2"/>
  <c r="Q305" i="2"/>
  <c r="R305" i="2" s="1"/>
  <c r="K305" i="2"/>
  <c r="N305" i="2" s="1"/>
  <c r="K304" i="2"/>
  <c r="N304" i="2" s="1"/>
  <c r="T305" i="1"/>
  <c r="Q305" i="1"/>
  <c r="R305" i="1" s="1"/>
  <c r="K305" i="1"/>
  <c r="T304" i="2"/>
  <c r="Q304" i="2"/>
  <c r="R304" i="2" s="1"/>
  <c r="T303" i="1"/>
  <c r="T304" i="1"/>
  <c r="Q303" i="1"/>
  <c r="R303" i="1" s="1"/>
  <c r="Q304" i="1"/>
  <c r="R304" i="1" s="1"/>
  <c r="K304" i="1"/>
  <c r="N304" i="1" s="1"/>
  <c r="T302" i="2"/>
  <c r="T303" i="2"/>
  <c r="Q302" i="2"/>
  <c r="R302" i="2" s="1"/>
  <c r="Q303" i="2"/>
  <c r="R303" i="2" s="1"/>
  <c r="K303" i="2"/>
  <c r="N303" i="2" s="1"/>
  <c r="K302" i="2"/>
  <c r="N302" i="2" s="1"/>
  <c r="K303" i="1"/>
  <c r="N303" i="1" s="1"/>
  <c r="T301" i="2"/>
  <c r="Q301" i="2"/>
  <c r="R301" i="2" s="1"/>
  <c r="T302" i="1"/>
  <c r="Q302" i="1"/>
  <c r="R302" i="1" s="1"/>
  <c r="K302" i="1"/>
  <c r="N302" i="1" s="1"/>
  <c r="K301" i="2"/>
  <c r="T300" i="2"/>
  <c r="Q300" i="2"/>
  <c r="R300" i="2" s="1"/>
  <c r="K300" i="2"/>
  <c r="N300" i="2" s="1"/>
  <c r="T301" i="1"/>
  <c r="Q301" i="1"/>
  <c r="R301" i="1" s="1"/>
  <c r="K301" i="1"/>
  <c r="T300" i="1"/>
  <c r="Q300" i="1"/>
  <c r="R300" i="1" s="1"/>
  <c r="K300" i="1"/>
  <c r="N300" i="1" s="1"/>
  <c r="O300" i="1" s="1"/>
  <c r="I300" i="1"/>
  <c r="E301" i="1" s="1"/>
  <c r="G300" i="1"/>
  <c r="T299" i="2"/>
  <c r="Q299" i="2"/>
  <c r="R299" i="2" s="1"/>
  <c r="K299" i="2"/>
  <c r="N299" i="2" s="1"/>
  <c r="O299" i="2" s="1"/>
  <c r="I299" i="2"/>
  <c r="E300" i="2" s="1"/>
  <c r="I300" i="2" s="1"/>
  <c r="E301" i="2" s="1"/>
  <c r="G299" i="2"/>
  <c r="T296" i="1"/>
  <c r="Q296" i="1"/>
  <c r="R296" i="1" s="1"/>
  <c r="T295" i="2"/>
  <c r="Q295" i="2"/>
  <c r="I399" i="2" l="1"/>
  <c r="E400" i="2" s="1"/>
  <c r="G399" i="2"/>
  <c r="O399" i="2"/>
  <c r="R295" i="2"/>
  <c r="O366" i="2"/>
  <c r="G366" i="2"/>
  <c r="I366" i="2"/>
  <c r="E367" i="2" s="1"/>
  <c r="O335" i="1"/>
  <c r="R310" i="1"/>
  <c r="G370" i="1"/>
  <c r="O370" i="1"/>
  <c r="I370" i="1"/>
  <c r="E371" i="1" s="1"/>
  <c r="G335" i="1"/>
  <c r="I335" i="1"/>
  <c r="E336" i="1" s="1"/>
  <c r="G333" i="2"/>
  <c r="I333" i="2"/>
  <c r="E334" i="2" s="1"/>
  <c r="O333" i="2"/>
  <c r="R316" i="2"/>
  <c r="N305" i="1"/>
  <c r="R317" i="1"/>
  <c r="N317" i="1"/>
  <c r="N316" i="2"/>
  <c r="R306" i="1"/>
  <c r="R316" i="1"/>
  <c r="N316" i="1"/>
  <c r="R315" i="1"/>
  <c r="R312" i="1"/>
  <c r="N309" i="2"/>
  <c r="N306" i="2"/>
  <c r="N301" i="2"/>
  <c r="N301" i="1"/>
  <c r="R314" i="1"/>
  <c r="N312" i="1"/>
  <c r="R313" i="1"/>
  <c r="I301" i="2"/>
  <c r="E302" i="2" s="1"/>
  <c r="G302" i="2" s="1"/>
  <c r="G301" i="2"/>
  <c r="G300" i="2"/>
  <c r="O300" i="2"/>
  <c r="I301" i="1"/>
  <c r="E302" i="1" s="1"/>
  <c r="G301" i="1"/>
  <c r="O301" i="1"/>
  <c r="K295" i="2"/>
  <c r="N295" i="2" s="1"/>
  <c r="K296" i="1"/>
  <c r="T295" i="1"/>
  <c r="Q295" i="1"/>
  <c r="R295" i="1" s="1"/>
  <c r="K295" i="1"/>
  <c r="N295" i="1" s="1"/>
  <c r="T294" i="2"/>
  <c r="Q294" i="2"/>
  <c r="R294" i="2" s="1"/>
  <c r="K294" i="2"/>
  <c r="N294" i="2" s="1"/>
  <c r="T293" i="1"/>
  <c r="T294" i="1"/>
  <c r="Q293" i="1"/>
  <c r="Q294" i="1"/>
  <c r="R294" i="1" s="1"/>
  <c r="K293" i="1"/>
  <c r="K294" i="1"/>
  <c r="T292" i="2"/>
  <c r="T293" i="2"/>
  <c r="Q292" i="2"/>
  <c r="Q293" i="2"/>
  <c r="R293" i="2" s="1"/>
  <c r="K293" i="2"/>
  <c r="N293" i="2" s="1"/>
  <c r="K292" i="2"/>
  <c r="N292" i="2" s="1"/>
  <c r="T292" i="1"/>
  <c r="Q292" i="1"/>
  <c r="K292" i="1"/>
  <c r="N292" i="1" s="1"/>
  <c r="T291" i="2"/>
  <c r="Q291" i="2"/>
  <c r="R291" i="2" s="1"/>
  <c r="K291" i="2"/>
  <c r="N291" i="2" s="1"/>
  <c r="T291" i="1"/>
  <c r="Q291" i="1"/>
  <c r="K291" i="1"/>
  <c r="N291" i="1" s="1"/>
  <c r="T290" i="2"/>
  <c r="Q290" i="2"/>
  <c r="R290" i="2" s="1"/>
  <c r="K290" i="2"/>
  <c r="N290" i="2" s="1"/>
  <c r="T289" i="2"/>
  <c r="Q289" i="2"/>
  <c r="R289" i="2" s="1"/>
  <c r="K289" i="2"/>
  <c r="N289" i="2" s="1"/>
  <c r="T290" i="1"/>
  <c r="Q290" i="1"/>
  <c r="K290" i="1"/>
  <c r="T288" i="2"/>
  <c r="Q288" i="2"/>
  <c r="R288" i="2" s="1"/>
  <c r="K288" i="2"/>
  <c r="N288" i="2" s="1"/>
  <c r="T289" i="1"/>
  <c r="Q289" i="1"/>
  <c r="K289" i="1"/>
  <c r="T288" i="1"/>
  <c r="Q288" i="1"/>
  <c r="R288" i="1" s="1"/>
  <c r="K288" i="1"/>
  <c r="N288" i="1" s="1"/>
  <c r="T287" i="2"/>
  <c r="Q287" i="2"/>
  <c r="R287" i="2" s="1"/>
  <c r="K287" i="2"/>
  <c r="N287" i="2" s="1"/>
  <c r="T287" i="1"/>
  <c r="Q287" i="1"/>
  <c r="R287" i="1" s="1"/>
  <c r="K287" i="1"/>
  <c r="N287" i="1" s="1"/>
  <c r="T286" i="2"/>
  <c r="Q286" i="2"/>
  <c r="R286" i="2" s="1"/>
  <c r="K286" i="2"/>
  <c r="N286" i="2" s="1"/>
  <c r="T285" i="2"/>
  <c r="Q285" i="2"/>
  <c r="R285" i="2" s="1"/>
  <c r="K285" i="2"/>
  <c r="N285" i="2" s="1"/>
  <c r="T286" i="1"/>
  <c r="Q286" i="1"/>
  <c r="R286" i="1" s="1"/>
  <c r="K286" i="1"/>
  <c r="N286" i="1" s="1"/>
  <c r="T285" i="1"/>
  <c r="Q285" i="1"/>
  <c r="K285" i="1"/>
  <c r="T284" i="2"/>
  <c r="Q284" i="2"/>
  <c r="R284" i="2" s="1"/>
  <c r="K284" i="2"/>
  <c r="N284" i="2" s="1"/>
  <c r="T283" i="2"/>
  <c r="Q283" i="2"/>
  <c r="R283" i="2" s="1"/>
  <c r="K283" i="2"/>
  <c r="N283" i="2" s="1"/>
  <c r="T284" i="1"/>
  <c r="Q284" i="1"/>
  <c r="K284" i="1"/>
  <c r="N284" i="1" s="1"/>
  <c r="T283" i="1"/>
  <c r="Q283" i="1"/>
  <c r="K283" i="1"/>
  <c r="N283" i="1" s="1"/>
  <c r="T282" i="2"/>
  <c r="Q282" i="2"/>
  <c r="R282" i="2" s="1"/>
  <c r="K282" i="2"/>
  <c r="N282" i="2" s="1"/>
  <c r="T281" i="2"/>
  <c r="Q281" i="2"/>
  <c r="K281" i="2"/>
  <c r="N281" i="2" s="1"/>
  <c r="T282" i="1"/>
  <c r="Q282" i="1"/>
  <c r="K282" i="1"/>
  <c r="N282" i="1" s="1"/>
  <c r="T281" i="1"/>
  <c r="Q281" i="1"/>
  <c r="R281" i="1" s="1"/>
  <c r="K281" i="1"/>
  <c r="T280" i="2"/>
  <c r="Q280" i="2"/>
  <c r="R280" i="2" s="1"/>
  <c r="K280" i="2"/>
  <c r="N280" i="2" s="1"/>
  <c r="T280" i="1"/>
  <c r="Q280" i="1"/>
  <c r="R280" i="1" s="1"/>
  <c r="K280" i="1"/>
  <c r="T279" i="2"/>
  <c r="Q279" i="2"/>
  <c r="R279" i="2" s="1"/>
  <c r="K279" i="2"/>
  <c r="N279" i="2" s="1"/>
  <c r="T279" i="1"/>
  <c r="Q279" i="1"/>
  <c r="R279" i="1" s="1"/>
  <c r="K279" i="1"/>
  <c r="T278" i="2"/>
  <c r="Q278" i="2"/>
  <c r="R278" i="2" s="1"/>
  <c r="K278" i="2"/>
  <c r="N278" i="2" s="1"/>
  <c r="I400" i="2" l="1"/>
  <c r="E401" i="2" s="1"/>
  <c r="G400" i="2"/>
  <c r="O400" i="2"/>
  <c r="O301" i="2"/>
  <c r="G367" i="2"/>
  <c r="O367" i="2"/>
  <c r="I367" i="2"/>
  <c r="E368" i="2" s="1"/>
  <c r="R284" i="1"/>
  <c r="O371" i="1"/>
  <c r="I371" i="1"/>
  <c r="E372" i="1" s="1"/>
  <c r="G371" i="1"/>
  <c r="I336" i="1"/>
  <c r="E337" i="1" s="1"/>
  <c r="G336" i="1"/>
  <c r="O336" i="1"/>
  <c r="O334" i="2"/>
  <c r="I334" i="2"/>
  <c r="E335" i="2" s="1"/>
  <c r="G334" i="2"/>
  <c r="R293" i="1"/>
  <c r="R292" i="1"/>
  <c r="N293" i="1"/>
  <c r="N296" i="1"/>
  <c r="N294" i="1"/>
  <c r="R292" i="2"/>
  <c r="R291" i="1"/>
  <c r="R290" i="1"/>
  <c r="N290" i="1"/>
  <c r="R289" i="1"/>
  <c r="N289" i="1"/>
  <c r="R285" i="1"/>
  <c r="N285" i="1"/>
  <c r="R282" i="1"/>
  <c r="N280" i="1"/>
  <c r="R283" i="1"/>
  <c r="R281" i="2"/>
  <c r="N281" i="1"/>
  <c r="N279" i="1"/>
  <c r="I302" i="2"/>
  <c r="E303" i="2" s="1"/>
  <c r="O303" i="2" s="1"/>
  <c r="O302" i="2"/>
  <c r="I302" i="1"/>
  <c r="E303" i="1" s="1"/>
  <c r="G303" i="1" s="1"/>
  <c r="O302" i="1"/>
  <c r="G302" i="1"/>
  <c r="T277" i="1"/>
  <c r="T278" i="1"/>
  <c r="Q277" i="1"/>
  <c r="R277" i="1" s="1"/>
  <c r="Q278" i="1"/>
  <c r="R278" i="1" s="1"/>
  <c r="K277" i="1"/>
  <c r="K278" i="1"/>
  <c r="T276" i="2"/>
  <c r="T277" i="2"/>
  <c r="Q276" i="2"/>
  <c r="R276" i="2" s="1"/>
  <c r="Q277" i="2"/>
  <c r="R277" i="2" s="1"/>
  <c r="K276" i="2"/>
  <c r="N276" i="2" s="1"/>
  <c r="K277" i="2"/>
  <c r="N277" i="2" s="1"/>
  <c r="T275" i="2"/>
  <c r="Q275" i="2"/>
  <c r="R275" i="2" s="1"/>
  <c r="K275" i="2"/>
  <c r="N275" i="2" s="1"/>
  <c r="T276" i="1"/>
  <c r="Q276" i="1"/>
  <c r="R276" i="1" s="1"/>
  <c r="K276" i="1"/>
  <c r="N276" i="1" s="1"/>
  <c r="T275" i="1"/>
  <c r="Q275" i="1"/>
  <c r="R275" i="1" s="1"/>
  <c r="K275" i="1"/>
  <c r="N275" i="1" s="1"/>
  <c r="T274" i="2"/>
  <c r="Q274" i="2"/>
  <c r="R274" i="2" s="1"/>
  <c r="K274" i="2"/>
  <c r="N274" i="2" s="1"/>
  <c r="T273" i="2"/>
  <c r="Q273" i="2"/>
  <c r="R273" i="2" s="1"/>
  <c r="K273" i="2"/>
  <c r="N273" i="2" s="1"/>
  <c r="T274" i="1"/>
  <c r="Q274" i="1"/>
  <c r="R274" i="1" s="1"/>
  <c r="K274" i="1"/>
  <c r="N274" i="1" s="1"/>
  <c r="T271" i="2"/>
  <c r="T272" i="2"/>
  <c r="Q271" i="2"/>
  <c r="R271" i="2" s="1"/>
  <c r="Q272" i="2"/>
  <c r="R272" i="2" s="1"/>
  <c r="K271" i="2"/>
  <c r="N271" i="2" s="1"/>
  <c r="K272" i="2"/>
  <c r="N272" i="2" s="1"/>
  <c r="T272" i="1"/>
  <c r="T273" i="1"/>
  <c r="Q272" i="1"/>
  <c r="R272" i="1" s="1"/>
  <c r="Q273" i="1"/>
  <c r="R273" i="1" s="1"/>
  <c r="K272" i="1"/>
  <c r="N272" i="1" s="1"/>
  <c r="K273" i="1"/>
  <c r="N273" i="1" s="1"/>
  <c r="T270" i="2"/>
  <c r="Q270" i="2"/>
  <c r="R270" i="2" s="1"/>
  <c r="K270" i="2"/>
  <c r="N270" i="2" s="1"/>
  <c r="T271" i="1"/>
  <c r="Q271" i="1"/>
  <c r="R271" i="1" s="1"/>
  <c r="K271" i="1"/>
  <c r="N271" i="1" s="1"/>
  <c r="I401" i="2" l="1"/>
  <c r="E402" i="2" s="1"/>
  <c r="G401" i="2"/>
  <c r="O401" i="2"/>
  <c r="O368" i="2"/>
  <c r="G368" i="2"/>
  <c r="I368" i="2"/>
  <c r="E369" i="2" s="1"/>
  <c r="O372" i="1"/>
  <c r="I372" i="1"/>
  <c r="E373" i="1" s="1"/>
  <c r="G372" i="1"/>
  <c r="O337" i="1"/>
  <c r="G337" i="1"/>
  <c r="I337" i="1"/>
  <c r="E338" i="1" s="1"/>
  <c r="O335" i="2"/>
  <c r="G335" i="2"/>
  <c r="I335" i="2"/>
  <c r="E336" i="2" s="1"/>
  <c r="N277" i="1"/>
  <c r="N278" i="1"/>
  <c r="G303" i="2"/>
  <c r="I303" i="2"/>
  <c r="E304" i="2" s="1"/>
  <c r="I303" i="1"/>
  <c r="E304" i="1" s="1"/>
  <c r="O303" i="1"/>
  <c r="T270" i="1"/>
  <c r="Q270" i="1"/>
  <c r="R270" i="1" s="1"/>
  <c r="K270" i="1"/>
  <c r="N270" i="1" s="1"/>
  <c r="T269" i="2"/>
  <c r="Q269" i="2"/>
  <c r="R269" i="2" s="1"/>
  <c r="K269" i="2"/>
  <c r="N269" i="2" s="1"/>
  <c r="T269" i="1"/>
  <c r="Q269" i="1"/>
  <c r="R269" i="1" s="1"/>
  <c r="K269" i="1"/>
  <c r="N269" i="1" s="1"/>
  <c r="K268" i="1"/>
  <c r="N268" i="1" s="1"/>
  <c r="T268" i="2"/>
  <c r="Q268" i="2"/>
  <c r="R268" i="2" s="1"/>
  <c r="K268" i="2"/>
  <c r="N268" i="2" s="1"/>
  <c r="T268" i="1"/>
  <c r="Q268" i="1"/>
  <c r="R268" i="1" s="1"/>
  <c r="T267" i="2"/>
  <c r="Q267" i="2"/>
  <c r="R267" i="2" s="1"/>
  <c r="K267" i="2"/>
  <c r="N267" i="2" s="1"/>
  <c r="T267" i="1"/>
  <c r="Q267" i="1"/>
  <c r="R267" i="1" s="1"/>
  <c r="K267" i="1"/>
  <c r="N267" i="1" s="1"/>
  <c r="T266" i="2"/>
  <c r="Q266" i="2"/>
  <c r="R266" i="2" s="1"/>
  <c r="K266" i="2"/>
  <c r="N266" i="2" s="1"/>
  <c r="T266" i="1"/>
  <c r="Q266" i="1"/>
  <c r="R266" i="1" s="1"/>
  <c r="K266" i="1"/>
  <c r="N266" i="1" s="1"/>
  <c r="O266" i="1" s="1"/>
  <c r="I266" i="1"/>
  <c r="E267" i="1" s="1"/>
  <c r="I267" i="1" s="1"/>
  <c r="E268" i="1" s="1"/>
  <c r="G266" i="1"/>
  <c r="T265" i="2"/>
  <c r="Q265" i="2"/>
  <c r="R265" i="2" s="1"/>
  <c r="K265" i="2"/>
  <c r="N265" i="2" s="1"/>
  <c r="O265" i="2" s="1"/>
  <c r="I265" i="2"/>
  <c r="E266" i="2" s="1"/>
  <c r="I266" i="2" s="1"/>
  <c r="E267" i="2" s="1"/>
  <c r="G265" i="2"/>
  <c r="O402" i="2" l="1"/>
  <c r="G402" i="2"/>
  <c r="I402" i="2"/>
  <c r="E403" i="2" s="1"/>
  <c r="I369" i="2"/>
  <c r="E370" i="2" s="1"/>
  <c r="G369" i="2"/>
  <c r="O369" i="2"/>
  <c r="G373" i="1"/>
  <c r="I373" i="1"/>
  <c r="E374" i="1" s="1"/>
  <c r="O373" i="1"/>
  <c r="O338" i="1"/>
  <c r="I338" i="1"/>
  <c r="E339" i="1" s="1"/>
  <c r="G338" i="1"/>
  <c r="O336" i="2"/>
  <c r="G336" i="2"/>
  <c r="I336" i="2"/>
  <c r="E337" i="2" s="1"/>
  <c r="O266" i="2"/>
  <c r="G304" i="2"/>
  <c r="I304" i="2"/>
  <c r="E305" i="2" s="1"/>
  <c r="O304" i="2"/>
  <c r="I304" i="1"/>
  <c r="E305" i="1" s="1"/>
  <c r="O304" i="1"/>
  <c r="O267" i="1"/>
  <c r="G304" i="1"/>
  <c r="G267" i="2"/>
  <c r="I267" i="2"/>
  <c r="E268" i="2" s="1"/>
  <c r="I268" i="2" s="1"/>
  <c r="E269" i="2" s="1"/>
  <c r="I269" i="2" s="1"/>
  <c r="E270" i="2" s="1"/>
  <c r="O267" i="2"/>
  <c r="G266" i="2"/>
  <c r="O268" i="1"/>
  <c r="I268" i="1"/>
  <c r="E269" i="1" s="1"/>
  <c r="G268" i="1"/>
  <c r="G267" i="1"/>
  <c r="T262" i="1"/>
  <c r="Q262" i="1"/>
  <c r="R262" i="1" s="1"/>
  <c r="K262" i="1"/>
  <c r="N262" i="1" s="1"/>
  <c r="T262" i="2"/>
  <c r="Q262" i="2"/>
  <c r="R262" i="2" s="1"/>
  <c r="K262" i="2"/>
  <c r="N262" i="2" s="1"/>
  <c r="T261" i="1"/>
  <c r="Q261" i="1"/>
  <c r="R261" i="1" s="1"/>
  <c r="K261" i="1"/>
  <c r="N261" i="1" s="1"/>
  <c r="T261" i="2"/>
  <c r="Q261" i="2"/>
  <c r="R261" i="2" s="1"/>
  <c r="K261" i="2"/>
  <c r="N261" i="2" s="1"/>
  <c r="T260" i="2"/>
  <c r="Q260" i="2"/>
  <c r="R260" i="2" s="1"/>
  <c r="K260" i="2"/>
  <c r="N260" i="2" s="1"/>
  <c r="T260" i="1"/>
  <c r="Q260" i="1"/>
  <c r="R260" i="1" s="1"/>
  <c r="K260" i="1"/>
  <c r="N260" i="1" s="1"/>
  <c r="T259" i="2"/>
  <c r="Q259" i="2"/>
  <c r="R259" i="2" s="1"/>
  <c r="K259" i="2"/>
  <c r="N259" i="2" s="1"/>
  <c r="T259" i="1"/>
  <c r="Q259" i="1"/>
  <c r="R259" i="1" s="1"/>
  <c r="K259" i="1"/>
  <c r="N259" i="1" s="1"/>
  <c r="I403" i="2" l="1"/>
  <c r="E404" i="2" s="1"/>
  <c r="G403" i="2"/>
  <c r="O403" i="2"/>
  <c r="G370" i="2"/>
  <c r="I370" i="2"/>
  <c r="E371" i="2" s="1"/>
  <c r="O370" i="2"/>
  <c r="O374" i="1"/>
  <c r="G374" i="1"/>
  <c r="I374" i="1"/>
  <c r="E375" i="1" s="1"/>
  <c r="G339" i="1"/>
  <c r="I339" i="1"/>
  <c r="E340" i="1" s="1"/>
  <c r="O339" i="1"/>
  <c r="G337" i="2"/>
  <c r="O337" i="2"/>
  <c r="I337" i="2"/>
  <c r="E338" i="2" s="1"/>
  <c r="G268" i="2"/>
  <c r="O268" i="2"/>
  <c r="G269" i="2"/>
  <c r="O269" i="2"/>
  <c r="I305" i="2"/>
  <c r="E306" i="2" s="1"/>
  <c r="G305" i="2"/>
  <c r="O305" i="2"/>
  <c r="I305" i="1"/>
  <c r="E306" i="1" s="1"/>
  <c r="G305" i="1"/>
  <c r="O305" i="1"/>
  <c r="I270" i="2"/>
  <c r="E271" i="2" s="1"/>
  <c r="G270" i="2"/>
  <c r="O270" i="2"/>
  <c r="G269" i="1"/>
  <c r="I269" i="1"/>
  <c r="E270" i="1" s="1"/>
  <c r="O269" i="1"/>
  <c r="T258" i="1"/>
  <c r="Q258" i="1"/>
  <c r="R258" i="1" s="1"/>
  <c r="K258" i="1"/>
  <c r="N258" i="1" s="1"/>
  <c r="T258" i="2"/>
  <c r="Q258" i="2"/>
  <c r="R258" i="2" s="1"/>
  <c r="K258" i="2"/>
  <c r="N258" i="2" s="1"/>
  <c r="T257" i="2"/>
  <c r="Q257" i="2"/>
  <c r="R257" i="2" s="1"/>
  <c r="K257" i="2"/>
  <c r="N257" i="2" s="1"/>
  <c r="T257" i="1"/>
  <c r="Q257" i="1"/>
  <c r="R257" i="1" s="1"/>
  <c r="K257" i="1"/>
  <c r="T255" i="2"/>
  <c r="T256" i="2"/>
  <c r="Q256" i="2"/>
  <c r="R256" i="2" s="1"/>
  <c r="Q255" i="2"/>
  <c r="R255" i="2" s="1"/>
  <c r="K255" i="2"/>
  <c r="N255" i="2" s="1"/>
  <c r="K256" i="2"/>
  <c r="N256" i="2" s="1"/>
  <c r="T255" i="1"/>
  <c r="T256" i="1"/>
  <c r="Q255" i="1"/>
  <c r="R255" i="1" s="1"/>
  <c r="Q256" i="1"/>
  <c r="R256" i="1" s="1"/>
  <c r="K254" i="1"/>
  <c r="N254" i="1" s="1"/>
  <c r="K255" i="1"/>
  <c r="N255" i="1" s="1"/>
  <c r="K256" i="1"/>
  <c r="N256" i="1" s="1"/>
  <c r="T254" i="1"/>
  <c r="Q254" i="1"/>
  <c r="R254" i="1" s="1"/>
  <c r="T254" i="2"/>
  <c r="Q253" i="2"/>
  <c r="R253" i="2" s="1"/>
  <c r="Q254" i="2"/>
  <c r="R254" i="2" s="1"/>
  <c r="K254" i="2"/>
  <c r="N254" i="2" s="1"/>
  <c r="T252" i="2"/>
  <c r="T253" i="2"/>
  <c r="Q252" i="2"/>
  <c r="R252" i="2" s="1"/>
  <c r="K253" i="2"/>
  <c r="N253" i="2" s="1"/>
  <c r="I404" i="2" l="1"/>
  <c r="E405" i="2" s="1"/>
  <c r="O404" i="2"/>
  <c r="G404" i="2"/>
  <c r="I371" i="2"/>
  <c r="E372" i="2" s="1"/>
  <c r="G371" i="2"/>
  <c r="O371" i="2"/>
  <c r="O375" i="1"/>
  <c r="I375" i="1"/>
  <c r="E376" i="1" s="1"/>
  <c r="G375" i="1"/>
  <c r="O340" i="1"/>
  <c r="G340" i="1"/>
  <c r="I340" i="1"/>
  <c r="E341" i="1" s="1"/>
  <c r="G338" i="2"/>
  <c r="O338" i="2"/>
  <c r="I338" i="2"/>
  <c r="E339" i="2" s="1"/>
  <c r="N257" i="1"/>
  <c r="O306" i="2"/>
  <c r="I306" i="2"/>
  <c r="E307" i="2" s="1"/>
  <c r="G306" i="2"/>
  <c r="G306" i="1"/>
  <c r="I306" i="1"/>
  <c r="E307" i="1" s="1"/>
  <c r="O306" i="1"/>
  <c r="O271" i="2"/>
  <c r="I271" i="2"/>
  <c r="E272" i="2" s="1"/>
  <c r="G271" i="2"/>
  <c r="I270" i="1"/>
  <c r="E271" i="1" s="1"/>
  <c r="O270" i="1"/>
  <c r="G270" i="1"/>
  <c r="T253" i="1"/>
  <c r="Q253" i="1"/>
  <c r="R253" i="1" s="1"/>
  <c r="K253" i="1"/>
  <c r="N253" i="1" s="1"/>
  <c r="O372" i="2" l="1"/>
  <c r="I372" i="2"/>
  <c r="E373" i="2" s="1"/>
  <c r="G372" i="2"/>
  <c r="O376" i="1"/>
  <c r="I376" i="1"/>
  <c r="E377" i="1" s="1"/>
  <c r="G376" i="1"/>
  <c r="I341" i="1"/>
  <c r="E342" i="1" s="1"/>
  <c r="O341" i="1"/>
  <c r="G341" i="1"/>
  <c r="I339" i="2"/>
  <c r="E340" i="2" s="1"/>
  <c r="G339" i="2"/>
  <c r="O339" i="2"/>
  <c r="I307" i="2"/>
  <c r="E308" i="2" s="1"/>
  <c r="G307" i="2"/>
  <c r="O307" i="2"/>
  <c r="I307" i="1"/>
  <c r="E308" i="1" s="1"/>
  <c r="G307" i="1"/>
  <c r="O307" i="1"/>
  <c r="O272" i="2"/>
  <c r="I272" i="2"/>
  <c r="E273" i="2" s="1"/>
  <c r="G272" i="2"/>
  <c r="I271" i="1"/>
  <c r="E272" i="1" s="1"/>
  <c r="G271" i="1"/>
  <c r="O271" i="1"/>
  <c r="T252" i="1"/>
  <c r="Q252" i="1"/>
  <c r="R252" i="1" s="1"/>
  <c r="K252" i="1"/>
  <c r="K252" i="2"/>
  <c r="N252" i="2" s="1"/>
  <c r="T251" i="1"/>
  <c r="Q251" i="1"/>
  <c r="R251" i="1" s="1"/>
  <c r="K251" i="1"/>
  <c r="N251" i="1" s="1"/>
  <c r="T251" i="2"/>
  <c r="Q251" i="2"/>
  <c r="R251" i="2" s="1"/>
  <c r="K251" i="2"/>
  <c r="N251" i="2" s="1"/>
  <c r="T250" i="1"/>
  <c r="Q250" i="1"/>
  <c r="R250" i="1" s="1"/>
  <c r="K250" i="1"/>
  <c r="N250" i="1" s="1"/>
  <c r="T250" i="2"/>
  <c r="Q250" i="2"/>
  <c r="R250" i="2" s="1"/>
  <c r="K250" i="2"/>
  <c r="N250" i="2" s="1"/>
  <c r="T249" i="2"/>
  <c r="Q249" i="2"/>
  <c r="R249" i="2" s="1"/>
  <c r="K249" i="2"/>
  <c r="N249" i="2" s="1"/>
  <c r="T249" i="1"/>
  <c r="Q249" i="1"/>
  <c r="R249" i="1" s="1"/>
  <c r="K249" i="1"/>
  <c r="N249" i="1" s="1"/>
  <c r="T248" i="2"/>
  <c r="Q248" i="2"/>
  <c r="R248" i="2" s="1"/>
  <c r="K248" i="2"/>
  <c r="N248" i="2" s="1"/>
  <c r="T248" i="1"/>
  <c r="Q248" i="1"/>
  <c r="R248" i="1" s="1"/>
  <c r="K248" i="1"/>
  <c r="N248" i="1" s="1"/>
  <c r="T247" i="1"/>
  <c r="Q247" i="1"/>
  <c r="R247" i="1" s="1"/>
  <c r="K247" i="1"/>
  <c r="N247" i="1" s="1"/>
  <c r="T247" i="2"/>
  <c r="Q247" i="2"/>
  <c r="R247" i="2" s="1"/>
  <c r="K247" i="2"/>
  <c r="N247" i="2" s="1"/>
  <c r="T246" i="1"/>
  <c r="T245" i="1"/>
  <c r="Q245" i="1"/>
  <c r="R245" i="1" s="1"/>
  <c r="Q246" i="1"/>
  <c r="R246" i="1" s="1"/>
  <c r="K246" i="1"/>
  <c r="N246" i="1" s="1"/>
  <c r="K245" i="1"/>
  <c r="T245" i="2"/>
  <c r="T246" i="2"/>
  <c r="Q245" i="2"/>
  <c r="R245" i="2" s="1"/>
  <c r="Q246" i="2"/>
  <c r="R246" i="2" s="1"/>
  <c r="K245" i="2"/>
  <c r="N245" i="2" s="1"/>
  <c r="K246" i="2"/>
  <c r="N246" i="2" s="1"/>
  <c r="T244" i="1"/>
  <c r="Q244" i="1"/>
  <c r="R244" i="1" s="1"/>
  <c r="K244" i="1"/>
  <c r="N244" i="1" s="1"/>
  <c r="T244" i="2"/>
  <c r="Q244" i="2"/>
  <c r="R244" i="2" s="1"/>
  <c r="K244" i="2"/>
  <c r="N244" i="2" s="1"/>
  <c r="T243" i="1"/>
  <c r="Q243" i="1"/>
  <c r="R243" i="1" s="1"/>
  <c r="K243" i="1"/>
  <c r="N243" i="1" s="1"/>
  <c r="T243" i="2"/>
  <c r="Q243" i="2"/>
  <c r="R243" i="2" s="1"/>
  <c r="K243" i="2"/>
  <c r="N243" i="2" s="1"/>
  <c r="T242" i="2"/>
  <c r="Q242" i="2"/>
  <c r="R242" i="2" s="1"/>
  <c r="K242" i="2"/>
  <c r="N242" i="2" s="1"/>
  <c r="T242" i="1"/>
  <c r="Q242" i="1"/>
  <c r="R242" i="1" s="1"/>
  <c r="K242" i="1"/>
  <c r="N242" i="1" s="1"/>
  <c r="T241" i="2"/>
  <c r="Q241" i="2"/>
  <c r="R241" i="2" s="1"/>
  <c r="K241" i="2"/>
  <c r="N241" i="2" s="1"/>
  <c r="Q241" i="1"/>
  <c r="R241" i="1" s="1"/>
  <c r="T241" i="1"/>
  <c r="Q240" i="1"/>
  <c r="K241" i="1"/>
  <c r="N241" i="1" s="1"/>
  <c r="O373" i="2" l="1"/>
  <c r="I373" i="2"/>
  <c r="E374" i="2" s="1"/>
  <c r="G373" i="2"/>
  <c r="O377" i="1"/>
  <c r="I377" i="1"/>
  <c r="E378" i="1" s="1"/>
  <c r="O378" i="1" s="1"/>
  <c r="G377" i="1"/>
  <c r="N252" i="1"/>
  <c r="O342" i="1"/>
  <c r="G342" i="1"/>
  <c r="I342" i="1"/>
  <c r="E343" i="1" s="1"/>
  <c r="O340" i="2"/>
  <c r="I340" i="2"/>
  <c r="E341" i="2" s="1"/>
  <c r="G340" i="2"/>
  <c r="N245" i="1"/>
  <c r="O308" i="2"/>
  <c r="G308" i="2"/>
  <c r="I308" i="2"/>
  <c r="E309" i="2" s="1"/>
  <c r="G308" i="1"/>
  <c r="I308" i="1"/>
  <c r="E309" i="1" s="1"/>
  <c r="O308" i="1"/>
  <c r="I273" i="2"/>
  <c r="E274" i="2" s="1"/>
  <c r="O273" i="2"/>
  <c r="G273" i="2"/>
  <c r="O272" i="1"/>
  <c r="I272" i="1"/>
  <c r="E273" i="1" s="1"/>
  <c r="G272" i="1"/>
  <c r="T240" i="1"/>
  <c r="R240" i="1"/>
  <c r="K240" i="1"/>
  <c r="N240" i="1" s="1"/>
  <c r="T240" i="2"/>
  <c r="Q240" i="2"/>
  <c r="R240" i="2" s="1"/>
  <c r="K240" i="2"/>
  <c r="N240" i="2" s="1"/>
  <c r="T239" i="2"/>
  <c r="Q239" i="2"/>
  <c r="R239" i="2" s="1"/>
  <c r="K239" i="2"/>
  <c r="N239" i="2" s="1"/>
  <c r="T239" i="1"/>
  <c r="Q239" i="1"/>
  <c r="R239" i="1" s="1"/>
  <c r="K239" i="1"/>
  <c r="N239" i="1" s="1"/>
  <c r="T238" i="2"/>
  <c r="Q238" i="2"/>
  <c r="R238" i="2" s="1"/>
  <c r="K238" i="2"/>
  <c r="N238" i="2" s="1"/>
  <c r="T238" i="1"/>
  <c r="Q238" i="1"/>
  <c r="R238" i="1" s="1"/>
  <c r="K238" i="1"/>
  <c r="N238" i="1" s="1"/>
  <c r="T236" i="1"/>
  <c r="T237" i="1"/>
  <c r="Q236" i="1"/>
  <c r="R236" i="1" s="1"/>
  <c r="Q237" i="1"/>
  <c r="R237" i="1" s="1"/>
  <c r="K236" i="1"/>
  <c r="N236" i="1" s="1"/>
  <c r="K237" i="1"/>
  <c r="N237" i="1" s="1"/>
  <c r="T236" i="2"/>
  <c r="T237" i="2"/>
  <c r="Q236" i="2"/>
  <c r="R236" i="2" s="1"/>
  <c r="Q237" i="2"/>
  <c r="R237" i="2" s="1"/>
  <c r="K236" i="2"/>
  <c r="N236" i="2" s="1"/>
  <c r="K237" i="2"/>
  <c r="N237" i="2" s="1"/>
  <c r="T235" i="1"/>
  <c r="Q235" i="1"/>
  <c r="R235" i="1" s="1"/>
  <c r="K235" i="1"/>
  <c r="N235" i="1" s="1"/>
  <c r="O235" i="1" s="1"/>
  <c r="I235" i="1"/>
  <c r="E236" i="1" s="1"/>
  <c r="G236" i="1" s="1"/>
  <c r="G235" i="1"/>
  <c r="T235" i="2"/>
  <c r="Q235" i="2"/>
  <c r="R235" i="2" s="1"/>
  <c r="K235" i="2"/>
  <c r="N235" i="2" s="1"/>
  <c r="O235" i="2" s="1"/>
  <c r="I235" i="2"/>
  <c r="E236" i="2" s="1"/>
  <c r="G236" i="2" s="1"/>
  <c r="G235" i="2"/>
  <c r="K231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O374" i="2" l="1"/>
  <c r="I374" i="2"/>
  <c r="E375" i="2" s="1"/>
  <c r="G374" i="2"/>
  <c r="G378" i="1"/>
  <c r="I378" i="1"/>
  <c r="E379" i="1" s="1"/>
  <c r="O379" i="1" s="1"/>
  <c r="O343" i="1"/>
  <c r="G343" i="1"/>
  <c r="I343" i="1"/>
  <c r="E344" i="1" s="1"/>
  <c r="G341" i="2"/>
  <c r="I341" i="2"/>
  <c r="E342" i="2" s="1"/>
  <c r="O341" i="2"/>
  <c r="O309" i="2"/>
  <c r="G309" i="2"/>
  <c r="I309" i="2"/>
  <c r="E310" i="2" s="1"/>
  <c r="I236" i="1"/>
  <c r="E237" i="1" s="1"/>
  <c r="G237" i="1" s="1"/>
  <c r="G309" i="1"/>
  <c r="I309" i="1"/>
  <c r="E310" i="1" s="1"/>
  <c r="O309" i="1"/>
  <c r="I236" i="2"/>
  <c r="E237" i="2" s="1"/>
  <c r="I237" i="2" s="1"/>
  <c r="E238" i="2" s="1"/>
  <c r="G238" i="2" s="1"/>
  <c r="O274" i="2"/>
  <c r="I274" i="2"/>
  <c r="E275" i="2" s="1"/>
  <c r="G274" i="2"/>
  <c r="O273" i="1"/>
  <c r="G273" i="1"/>
  <c r="I273" i="1"/>
  <c r="E274" i="1" s="1"/>
  <c r="O236" i="1"/>
  <c r="O236" i="2"/>
  <c r="T231" i="2"/>
  <c r="Q231" i="2"/>
  <c r="R231" i="2" s="1"/>
  <c r="N231" i="2"/>
  <c r="T231" i="1"/>
  <c r="Q231" i="1"/>
  <c r="R231" i="1" s="1"/>
  <c r="K231" i="1"/>
  <c r="N231" i="1" s="1"/>
  <c r="O237" i="1" l="1"/>
  <c r="O375" i="2"/>
  <c r="G375" i="2"/>
  <c r="I375" i="2"/>
  <c r="E376" i="2" s="1"/>
  <c r="G379" i="1"/>
  <c r="I379" i="1"/>
  <c r="E380" i="1" s="1"/>
  <c r="O380" i="1" s="1"/>
  <c r="I237" i="1"/>
  <c r="E238" i="1" s="1"/>
  <c r="G238" i="1" s="1"/>
  <c r="I344" i="1"/>
  <c r="E345" i="1" s="1"/>
  <c r="O344" i="1"/>
  <c r="G344" i="1"/>
  <c r="G342" i="2"/>
  <c r="I342" i="2"/>
  <c r="E343" i="2" s="1"/>
  <c r="O342" i="2"/>
  <c r="I310" i="2"/>
  <c r="E311" i="2" s="1"/>
  <c r="O310" i="2"/>
  <c r="G310" i="2"/>
  <c r="G274" i="1"/>
  <c r="I274" i="1"/>
  <c r="E275" i="1" s="1"/>
  <c r="O274" i="1"/>
  <c r="I310" i="1"/>
  <c r="E311" i="1" s="1"/>
  <c r="G310" i="1"/>
  <c r="O310" i="1"/>
  <c r="O238" i="2"/>
  <c r="O237" i="2"/>
  <c r="I238" i="2"/>
  <c r="E239" i="2" s="1"/>
  <c r="O239" i="2" s="1"/>
  <c r="G237" i="2"/>
  <c r="I275" i="2"/>
  <c r="E276" i="2" s="1"/>
  <c r="G275" i="2"/>
  <c r="O275" i="2"/>
  <c r="O376" i="2" l="1"/>
  <c r="G376" i="2"/>
  <c r="I376" i="2"/>
  <c r="E377" i="2" s="1"/>
  <c r="G380" i="1"/>
  <c r="I380" i="1"/>
  <c r="E381" i="1" s="1"/>
  <c r="O238" i="1"/>
  <c r="I238" i="1"/>
  <c r="E239" i="1" s="1"/>
  <c r="O239" i="1" s="1"/>
  <c r="O345" i="1"/>
  <c r="I345" i="1"/>
  <c r="E346" i="1" s="1"/>
  <c r="G345" i="1"/>
  <c r="I343" i="2"/>
  <c r="E344" i="2" s="1"/>
  <c r="G343" i="2"/>
  <c r="O343" i="2"/>
  <c r="I239" i="2"/>
  <c r="E240" i="2" s="1"/>
  <c r="O240" i="2" s="1"/>
  <c r="I311" i="2"/>
  <c r="E312" i="2" s="1"/>
  <c r="G311" i="2"/>
  <c r="O311" i="2"/>
  <c r="G311" i="1"/>
  <c r="I311" i="1"/>
  <c r="E312" i="1" s="1"/>
  <c r="O311" i="1"/>
  <c r="I275" i="1"/>
  <c r="E276" i="1" s="1"/>
  <c r="G275" i="1"/>
  <c r="O275" i="1"/>
  <c r="G239" i="2"/>
  <c r="O276" i="2"/>
  <c r="I276" i="2"/>
  <c r="G276" i="2"/>
  <c r="T230" i="2"/>
  <c r="Q230" i="2"/>
  <c r="R230" i="2" s="1"/>
  <c r="N230" i="2"/>
  <c r="T230" i="1"/>
  <c r="Q230" i="1"/>
  <c r="R230" i="1" s="1"/>
  <c r="K230" i="1"/>
  <c r="N230" i="1" s="1"/>
  <c r="O381" i="1" l="1"/>
  <c r="G381" i="1"/>
  <c r="I381" i="1"/>
  <c r="E382" i="1" s="1"/>
  <c r="I377" i="2"/>
  <c r="E378" i="2" s="1"/>
  <c r="G377" i="2"/>
  <c r="O377" i="2"/>
  <c r="G239" i="1"/>
  <c r="I239" i="1"/>
  <c r="E240" i="1" s="1"/>
  <c r="I240" i="1" s="1"/>
  <c r="E241" i="1" s="1"/>
  <c r="I346" i="1"/>
  <c r="E347" i="1" s="1"/>
  <c r="G346" i="1"/>
  <c r="O346" i="1"/>
  <c r="I344" i="2"/>
  <c r="E345" i="2" s="1"/>
  <c r="G344" i="2"/>
  <c r="O344" i="2"/>
  <c r="G312" i="1"/>
  <c r="I312" i="1"/>
  <c r="E313" i="1" s="1"/>
  <c r="O312" i="1"/>
  <c r="I240" i="2"/>
  <c r="E241" i="2" s="1"/>
  <c r="G240" i="2"/>
  <c r="I312" i="2"/>
  <c r="E313" i="2" s="1"/>
  <c r="G312" i="2"/>
  <c r="O312" i="2"/>
  <c r="I276" i="1"/>
  <c r="E277" i="1" s="1"/>
  <c r="G276" i="1"/>
  <c r="O276" i="1"/>
  <c r="E277" i="2"/>
  <c r="T229" i="1"/>
  <c r="Q229" i="1"/>
  <c r="R229" i="1" s="1"/>
  <c r="K229" i="1"/>
  <c r="N229" i="1" s="1"/>
  <c r="T229" i="2"/>
  <c r="Q229" i="2"/>
  <c r="R229" i="2" s="1"/>
  <c r="N229" i="2"/>
  <c r="T228" i="2"/>
  <c r="Q228" i="2"/>
  <c r="R228" i="2" s="1"/>
  <c r="N228" i="2"/>
  <c r="T228" i="1"/>
  <c r="Q228" i="1"/>
  <c r="K228" i="1"/>
  <c r="N228" i="1" s="1"/>
  <c r="T227" i="1"/>
  <c r="Q227" i="1"/>
  <c r="R227" i="1" s="1"/>
  <c r="K227" i="1"/>
  <c r="N227" i="1" s="1"/>
  <c r="T227" i="2"/>
  <c r="Q227" i="2"/>
  <c r="R227" i="2" s="1"/>
  <c r="N227" i="2"/>
  <c r="T226" i="2"/>
  <c r="Q226" i="2"/>
  <c r="R226" i="2" s="1"/>
  <c r="N226" i="2"/>
  <c r="T226" i="1"/>
  <c r="Q226" i="1"/>
  <c r="R226" i="1" s="1"/>
  <c r="K226" i="1"/>
  <c r="N226" i="1" s="1"/>
  <c r="T225" i="2"/>
  <c r="Q225" i="2"/>
  <c r="R225" i="2" s="1"/>
  <c r="N225" i="2"/>
  <c r="T224" i="1"/>
  <c r="T225" i="1"/>
  <c r="Q225" i="1"/>
  <c r="R225" i="1" s="1"/>
  <c r="K225" i="1"/>
  <c r="N225" i="1" s="1"/>
  <c r="T224" i="2"/>
  <c r="Q224" i="2"/>
  <c r="R224" i="2" s="1"/>
  <c r="N224" i="2"/>
  <c r="Q224" i="1"/>
  <c r="R224" i="1" s="1"/>
  <c r="K224" i="1"/>
  <c r="N224" i="1" s="1"/>
  <c r="T223" i="1"/>
  <c r="Q223" i="1"/>
  <c r="R223" i="1" s="1"/>
  <c r="K223" i="1"/>
  <c r="N223" i="1" s="1"/>
  <c r="T223" i="2"/>
  <c r="Q223" i="2"/>
  <c r="R223" i="2" s="1"/>
  <c r="N223" i="2"/>
  <c r="T222" i="1"/>
  <c r="Q222" i="1"/>
  <c r="R222" i="1" s="1"/>
  <c r="K222" i="1"/>
  <c r="N222" i="1" s="1"/>
  <c r="T222" i="2"/>
  <c r="Q222" i="2"/>
  <c r="R222" i="2" s="1"/>
  <c r="N222" i="2"/>
  <c r="T221" i="2"/>
  <c r="Q221" i="2"/>
  <c r="R221" i="2" s="1"/>
  <c r="N221" i="2"/>
  <c r="T221" i="1"/>
  <c r="Q220" i="1"/>
  <c r="R220" i="1" s="1"/>
  <c r="Q221" i="1"/>
  <c r="R221" i="1" s="1"/>
  <c r="K221" i="1"/>
  <c r="N221" i="1" s="1"/>
  <c r="T220" i="2"/>
  <c r="Q220" i="2"/>
  <c r="R220" i="2" s="1"/>
  <c r="N220" i="2"/>
  <c r="T220" i="1"/>
  <c r="K220" i="1"/>
  <c r="N220" i="1" s="1"/>
  <c r="O382" i="1" l="1"/>
  <c r="I382" i="1"/>
  <c r="E383" i="1" s="1"/>
  <c r="G382" i="1"/>
  <c r="R228" i="1"/>
  <c r="I241" i="2"/>
  <c r="E242" i="2" s="1"/>
  <c r="G241" i="2"/>
  <c r="O241" i="2"/>
  <c r="I378" i="2"/>
  <c r="E379" i="2" s="1"/>
  <c r="G378" i="2"/>
  <c r="O378" i="2"/>
  <c r="O240" i="1"/>
  <c r="G240" i="1"/>
  <c r="G241" i="1"/>
  <c r="I241" i="1"/>
  <c r="E242" i="1" s="1"/>
  <c r="O241" i="1"/>
  <c r="I347" i="1"/>
  <c r="E348" i="1" s="1"/>
  <c r="G347" i="1"/>
  <c r="O347" i="1"/>
  <c r="O345" i="2"/>
  <c r="I345" i="2"/>
  <c r="E346" i="2" s="1"/>
  <c r="G345" i="2"/>
  <c r="G313" i="1"/>
  <c r="I313" i="1"/>
  <c r="E314" i="1" s="1"/>
  <c r="O313" i="1"/>
  <c r="I313" i="2"/>
  <c r="E314" i="2" s="1"/>
  <c r="G313" i="2"/>
  <c r="O313" i="2"/>
  <c r="G277" i="1"/>
  <c r="I277" i="1"/>
  <c r="E278" i="1" s="1"/>
  <c r="O277" i="1"/>
  <c r="I277" i="2"/>
  <c r="E278" i="2" s="1"/>
  <c r="O277" i="2"/>
  <c r="G277" i="2"/>
  <c r="G242" i="2"/>
  <c r="I242" i="2"/>
  <c r="E243" i="2" s="1"/>
  <c r="O242" i="2"/>
  <c r="T218" i="1"/>
  <c r="T219" i="1"/>
  <c r="Q218" i="1"/>
  <c r="R218" i="1" s="1"/>
  <c r="Q219" i="1"/>
  <c r="R219" i="1" s="1"/>
  <c r="K219" i="1"/>
  <c r="N219" i="1" s="1"/>
  <c r="T219" i="2"/>
  <c r="Q219" i="2"/>
  <c r="R219" i="2" s="1"/>
  <c r="N219" i="2"/>
  <c r="K218" i="1"/>
  <c r="N218" i="1" s="1"/>
  <c r="T218" i="2"/>
  <c r="Q218" i="2"/>
  <c r="R218" i="2" s="1"/>
  <c r="N218" i="2"/>
  <c r="T217" i="2"/>
  <c r="Q217" i="2"/>
  <c r="R217" i="2" s="1"/>
  <c r="N217" i="2"/>
  <c r="T217" i="1"/>
  <c r="Q217" i="1"/>
  <c r="R217" i="1" s="1"/>
  <c r="K217" i="1"/>
  <c r="N217" i="1" s="1"/>
  <c r="T216" i="1"/>
  <c r="Q216" i="1"/>
  <c r="R216" i="1" s="1"/>
  <c r="K216" i="1"/>
  <c r="N216" i="1" s="1"/>
  <c r="T216" i="2"/>
  <c r="Q216" i="2"/>
  <c r="R216" i="2" s="1"/>
  <c r="K216" i="2"/>
  <c r="N216" i="2" s="1"/>
  <c r="T215" i="2"/>
  <c r="Q215" i="2"/>
  <c r="R215" i="2" s="1"/>
  <c r="K215" i="2"/>
  <c r="T215" i="1"/>
  <c r="Q215" i="1"/>
  <c r="R215" i="1" s="1"/>
  <c r="K215" i="1"/>
  <c r="N215" i="1" s="1"/>
  <c r="T214" i="2"/>
  <c r="Q214" i="2"/>
  <c r="R214" i="2" s="1"/>
  <c r="K214" i="2"/>
  <c r="N214" i="2" s="1"/>
  <c r="T214" i="1"/>
  <c r="Q214" i="1"/>
  <c r="R214" i="1" s="1"/>
  <c r="K214" i="1"/>
  <c r="N214" i="1" s="1"/>
  <c r="T213" i="1"/>
  <c r="Q213" i="1"/>
  <c r="R213" i="1" s="1"/>
  <c r="K213" i="1"/>
  <c r="T213" i="2"/>
  <c r="Q213" i="2"/>
  <c r="R213" i="2" s="1"/>
  <c r="K212" i="2"/>
  <c r="N212" i="2" s="1"/>
  <c r="K213" i="2"/>
  <c r="N213" i="2" s="1"/>
  <c r="T212" i="1"/>
  <c r="Q212" i="1"/>
  <c r="R212" i="1" s="1"/>
  <c r="K212" i="1"/>
  <c r="N212" i="1" s="1"/>
  <c r="T212" i="2"/>
  <c r="Q212" i="2"/>
  <c r="R212" i="2" s="1"/>
  <c r="T211" i="1"/>
  <c r="Q211" i="1"/>
  <c r="R211" i="1" s="1"/>
  <c r="K211" i="1"/>
  <c r="N211" i="1" s="1"/>
  <c r="T211" i="2"/>
  <c r="Q211" i="2"/>
  <c r="R211" i="2" s="1"/>
  <c r="K211" i="2"/>
  <c r="N211" i="2" s="1"/>
  <c r="T210" i="2"/>
  <c r="Q210" i="2"/>
  <c r="R210" i="2" s="1"/>
  <c r="K210" i="2"/>
  <c r="N210" i="2" s="1"/>
  <c r="T210" i="1"/>
  <c r="Q210" i="1"/>
  <c r="R210" i="1" s="1"/>
  <c r="K210" i="1"/>
  <c r="N210" i="1" s="1"/>
  <c r="T209" i="2"/>
  <c r="Q209" i="2"/>
  <c r="R209" i="2" s="1"/>
  <c r="K209" i="2"/>
  <c r="N209" i="2" s="1"/>
  <c r="T209" i="1"/>
  <c r="Q209" i="1"/>
  <c r="R209" i="1" s="1"/>
  <c r="K209" i="1"/>
  <c r="N209" i="1" s="1"/>
  <c r="T208" i="1"/>
  <c r="Q208" i="1"/>
  <c r="R208" i="1" s="1"/>
  <c r="K208" i="1"/>
  <c r="N208" i="1" s="1"/>
  <c r="T208" i="2"/>
  <c r="Q208" i="2"/>
  <c r="R208" i="2" s="1"/>
  <c r="K208" i="2"/>
  <c r="N208" i="2" s="1"/>
  <c r="T207" i="1"/>
  <c r="Q207" i="1"/>
  <c r="R207" i="1" s="1"/>
  <c r="K207" i="1"/>
  <c r="N207" i="1" s="1"/>
  <c r="T207" i="2"/>
  <c r="Q207" i="2"/>
  <c r="R207" i="2" s="1"/>
  <c r="K207" i="2"/>
  <c r="N207" i="2" s="1"/>
  <c r="T206" i="2"/>
  <c r="Q206" i="2"/>
  <c r="R206" i="2" s="1"/>
  <c r="K206" i="2"/>
  <c r="N206" i="2" s="1"/>
  <c r="T206" i="1"/>
  <c r="Q206" i="1"/>
  <c r="R206" i="1" s="1"/>
  <c r="K206" i="1"/>
  <c r="N206" i="1" s="1"/>
  <c r="T205" i="1"/>
  <c r="Q205" i="1"/>
  <c r="K205" i="1"/>
  <c r="N205" i="1" s="1"/>
  <c r="T205" i="2"/>
  <c r="Q205" i="2"/>
  <c r="R205" i="2" s="1"/>
  <c r="K205" i="2"/>
  <c r="N205" i="2" s="1"/>
  <c r="T204" i="2"/>
  <c r="Q204" i="2"/>
  <c r="R204" i="2" s="1"/>
  <c r="T204" i="1"/>
  <c r="Q204" i="1"/>
  <c r="R204" i="1" s="1"/>
  <c r="K204" i="2"/>
  <c r="N204" i="2" s="1"/>
  <c r="K204" i="1"/>
  <c r="N204" i="1" s="1"/>
  <c r="T203" i="1"/>
  <c r="Q203" i="1"/>
  <c r="R203" i="1" s="1"/>
  <c r="T203" i="2"/>
  <c r="Q203" i="2"/>
  <c r="R203" i="2" s="1"/>
  <c r="K203" i="1"/>
  <c r="N203" i="1" s="1"/>
  <c r="K203" i="2"/>
  <c r="N203" i="2" s="1"/>
  <c r="T193" i="2"/>
  <c r="T194" i="2"/>
  <c r="T195" i="2"/>
  <c r="T196" i="2"/>
  <c r="T197" i="2"/>
  <c r="O383" i="1" l="1"/>
  <c r="G383" i="1"/>
  <c r="I383" i="1"/>
  <c r="E384" i="1" s="1"/>
  <c r="I379" i="2"/>
  <c r="E380" i="2" s="1"/>
  <c r="O380" i="2" s="1"/>
  <c r="G379" i="2"/>
  <c r="O379" i="2"/>
  <c r="G242" i="1"/>
  <c r="I242" i="1"/>
  <c r="E243" i="1" s="1"/>
  <c r="O242" i="1"/>
  <c r="G348" i="1"/>
  <c r="I348" i="1"/>
  <c r="E349" i="1" s="1"/>
  <c r="O348" i="1"/>
  <c r="O346" i="2"/>
  <c r="I346" i="2"/>
  <c r="E347" i="2" s="1"/>
  <c r="G346" i="2"/>
  <c r="R205" i="1"/>
  <c r="N213" i="1"/>
  <c r="G314" i="1"/>
  <c r="I314" i="1"/>
  <c r="E315" i="1" s="1"/>
  <c r="O314" i="1"/>
  <c r="I314" i="2"/>
  <c r="E315" i="2" s="1"/>
  <c r="O315" i="2" s="1"/>
  <c r="G314" i="2"/>
  <c r="O314" i="2"/>
  <c r="I278" i="1"/>
  <c r="E279" i="1" s="1"/>
  <c r="G278" i="1"/>
  <c r="O278" i="1"/>
  <c r="O278" i="2"/>
  <c r="I278" i="2"/>
  <c r="E279" i="2" s="1"/>
  <c r="G278" i="2"/>
  <c r="I243" i="2"/>
  <c r="E244" i="2" s="1"/>
  <c r="G243" i="2"/>
  <c r="O243" i="2"/>
  <c r="N215" i="2"/>
  <c r="T202" i="1"/>
  <c r="Q202" i="1"/>
  <c r="R202" i="1" s="1"/>
  <c r="K202" i="1"/>
  <c r="N202" i="1" s="1"/>
  <c r="T202" i="2"/>
  <c r="Q202" i="2"/>
  <c r="R202" i="2" s="1"/>
  <c r="K202" i="2"/>
  <c r="T201" i="2"/>
  <c r="Q201" i="2"/>
  <c r="R201" i="2" s="1"/>
  <c r="K201" i="2"/>
  <c r="N201" i="2" s="1"/>
  <c r="O201" i="2" s="1"/>
  <c r="I201" i="2"/>
  <c r="E202" i="2" s="1"/>
  <c r="G202" i="2" s="1"/>
  <c r="G201" i="2"/>
  <c r="T201" i="1"/>
  <c r="Q201" i="1"/>
  <c r="R201" i="1" s="1"/>
  <c r="K201" i="1"/>
  <c r="N201" i="1" s="1"/>
  <c r="O201" i="1" s="1"/>
  <c r="I201" i="1"/>
  <c r="E202" i="1" s="1"/>
  <c r="I202" i="1" s="1"/>
  <c r="E203" i="1" s="1"/>
  <c r="I203" i="1" s="1"/>
  <c r="E204" i="1" s="1"/>
  <c r="G201" i="1"/>
  <c r="O384" i="1" l="1"/>
  <c r="I384" i="1"/>
  <c r="E385" i="1" s="1"/>
  <c r="G384" i="1"/>
  <c r="I380" i="2"/>
  <c r="E381" i="2" s="1"/>
  <c r="G380" i="2"/>
  <c r="I243" i="1"/>
  <c r="E244" i="1" s="1"/>
  <c r="G243" i="1"/>
  <c r="O243" i="1"/>
  <c r="G349" i="1"/>
  <c r="I349" i="1"/>
  <c r="E350" i="1" s="1"/>
  <c r="O349" i="1"/>
  <c r="O347" i="2"/>
  <c r="I347" i="2"/>
  <c r="E348" i="2" s="1"/>
  <c r="G347" i="2"/>
  <c r="O202" i="1"/>
  <c r="G315" i="1"/>
  <c r="I315" i="1"/>
  <c r="E316" i="1" s="1"/>
  <c r="O315" i="1"/>
  <c r="I315" i="2"/>
  <c r="E316" i="2" s="1"/>
  <c r="G315" i="2"/>
  <c r="G202" i="1"/>
  <c r="I279" i="1"/>
  <c r="E280" i="1" s="1"/>
  <c r="G279" i="1"/>
  <c r="O279" i="1"/>
  <c r="I202" i="2"/>
  <c r="E203" i="2" s="1"/>
  <c r="I203" i="2" s="1"/>
  <c r="E204" i="2" s="1"/>
  <c r="O204" i="2" s="1"/>
  <c r="G279" i="2"/>
  <c r="I279" i="2"/>
  <c r="E280" i="2" s="1"/>
  <c r="O279" i="2"/>
  <c r="I204" i="1"/>
  <c r="E205" i="1" s="1"/>
  <c r="G204" i="1"/>
  <c r="G203" i="1"/>
  <c r="O203" i="1"/>
  <c r="O204" i="1"/>
  <c r="I244" i="1"/>
  <c r="E245" i="1" s="1"/>
  <c r="O244" i="1"/>
  <c r="I244" i="2"/>
  <c r="E245" i="2" s="1"/>
  <c r="G244" i="2"/>
  <c r="O244" i="2"/>
  <c r="N202" i="2"/>
  <c r="O202" i="2" s="1"/>
  <c r="T197" i="1"/>
  <c r="Q197" i="1"/>
  <c r="R197" i="1" s="1"/>
  <c r="K197" i="1"/>
  <c r="N197" i="1" s="1"/>
  <c r="Q197" i="2"/>
  <c r="R197" i="2" s="1"/>
  <c r="K197" i="2"/>
  <c r="N197" i="2" s="1"/>
  <c r="T195" i="1"/>
  <c r="T196" i="1"/>
  <c r="Q195" i="1"/>
  <c r="R195" i="1" s="1"/>
  <c r="Q196" i="1"/>
  <c r="K195" i="1"/>
  <c r="N195" i="1" s="1"/>
  <c r="K196" i="1"/>
  <c r="N196" i="1" s="1"/>
  <c r="Q196" i="2"/>
  <c r="R196" i="2" s="1"/>
  <c r="K196" i="2"/>
  <c r="N196" i="2" s="1"/>
  <c r="Q195" i="2"/>
  <c r="R195" i="2" s="1"/>
  <c r="K195" i="2"/>
  <c r="N195" i="2" s="1"/>
  <c r="T194" i="1"/>
  <c r="Q194" i="1"/>
  <c r="R194" i="1" s="1"/>
  <c r="K194" i="1"/>
  <c r="N194" i="1" s="1"/>
  <c r="Q194" i="2"/>
  <c r="R194" i="2" s="1"/>
  <c r="K194" i="2"/>
  <c r="N194" i="2" s="1"/>
  <c r="T193" i="1"/>
  <c r="Q193" i="1"/>
  <c r="R193" i="1" s="1"/>
  <c r="K193" i="1"/>
  <c r="Q193" i="2"/>
  <c r="R193" i="2" s="1"/>
  <c r="K193" i="2"/>
  <c r="N193" i="2" s="1"/>
  <c r="T191" i="1"/>
  <c r="T192" i="1"/>
  <c r="Q191" i="1"/>
  <c r="R191" i="1" s="1"/>
  <c r="Q192" i="1"/>
  <c r="R192" i="1" s="1"/>
  <c r="K191" i="1"/>
  <c r="N191" i="1" s="1"/>
  <c r="K192" i="1"/>
  <c r="N192" i="1" s="1"/>
  <c r="T191" i="2"/>
  <c r="T192" i="2"/>
  <c r="Q191" i="2"/>
  <c r="R191" i="2" s="1"/>
  <c r="Q192" i="2"/>
  <c r="R192" i="2" s="1"/>
  <c r="K191" i="2"/>
  <c r="N191" i="2" s="1"/>
  <c r="K192" i="2"/>
  <c r="N192" i="2" s="1"/>
  <c r="T190" i="1"/>
  <c r="T189" i="1"/>
  <c r="Q190" i="1"/>
  <c r="R190" i="1" s="1"/>
  <c r="K190" i="1"/>
  <c r="N190" i="1" s="1"/>
  <c r="T190" i="2"/>
  <c r="Q190" i="2"/>
  <c r="R190" i="2" s="1"/>
  <c r="K190" i="2"/>
  <c r="N190" i="2" s="1"/>
  <c r="T189" i="2"/>
  <c r="Q189" i="2"/>
  <c r="R189" i="2" s="1"/>
  <c r="K189" i="2"/>
  <c r="N189" i="2" s="1"/>
  <c r="Q189" i="1"/>
  <c r="K189" i="1"/>
  <c r="N189" i="1" s="1"/>
  <c r="T188" i="1"/>
  <c r="Q188" i="1"/>
  <c r="R188" i="1" s="1"/>
  <c r="K188" i="1"/>
  <c r="N188" i="1" s="1"/>
  <c r="T188" i="2"/>
  <c r="Q188" i="2"/>
  <c r="R188" i="2" s="1"/>
  <c r="K188" i="2"/>
  <c r="N188" i="2" s="1"/>
  <c r="T187" i="1"/>
  <c r="Q187" i="1"/>
  <c r="R187" i="1" s="1"/>
  <c r="K187" i="1"/>
  <c r="N187" i="1" s="1"/>
  <c r="T187" i="2"/>
  <c r="Q187" i="2"/>
  <c r="R187" i="2" s="1"/>
  <c r="K187" i="2"/>
  <c r="N187" i="2" s="1"/>
  <c r="T186" i="2"/>
  <c r="Q186" i="2"/>
  <c r="R186" i="2" s="1"/>
  <c r="K186" i="2"/>
  <c r="N186" i="2" s="1"/>
  <c r="T186" i="1"/>
  <c r="Q185" i="1"/>
  <c r="R185" i="1" s="1"/>
  <c r="Q186" i="1"/>
  <c r="R186" i="1" s="1"/>
  <c r="K186" i="1"/>
  <c r="N186" i="1" s="1"/>
  <c r="T185" i="2"/>
  <c r="Q185" i="2"/>
  <c r="R185" i="2" s="1"/>
  <c r="K185" i="2"/>
  <c r="N185" i="2" s="1"/>
  <c r="T185" i="1"/>
  <c r="K185" i="1"/>
  <c r="N185" i="1" s="1"/>
  <c r="T184" i="2"/>
  <c r="Q184" i="2"/>
  <c r="R184" i="2" s="1"/>
  <c r="Q183" i="2"/>
  <c r="R183" i="2" s="1"/>
  <c r="K184" i="2"/>
  <c r="N184" i="2" s="1"/>
  <c r="T184" i="1"/>
  <c r="Q184" i="1"/>
  <c r="R184" i="1" s="1"/>
  <c r="K184" i="1"/>
  <c r="N184" i="1" s="1"/>
  <c r="T183" i="2"/>
  <c r="K183" i="2"/>
  <c r="N183" i="2" s="1"/>
  <c r="T183" i="1"/>
  <c r="Q183" i="1"/>
  <c r="R183" i="1" s="1"/>
  <c r="K183" i="1"/>
  <c r="N183" i="1" s="1"/>
  <c r="T182" i="2"/>
  <c r="Q182" i="2"/>
  <c r="R182" i="2" s="1"/>
  <c r="K182" i="2"/>
  <c r="N182" i="2" s="1"/>
  <c r="T182" i="1"/>
  <c r="Q182" i="1"/>
  <c r="R182" i="1" s="1"/>
  <c r="K182" i="1"/>
  <c r="N182" i="1" s="1"/>
  <c r="T181" i="1"/>
  <c r="Q181" i="1"/>
  <c r="R181" i="1" s="1"/>
  <c r="K181" i="1"/>
  <c r="N181" i="1" s="1"/>
  <c r="T181" i="2"/>
  <c r="Q181" i="2"/>
  <c r="R181" i="2" s="1"/>
  <c r="K181" i="2"/>
  <c r="N181" i="2" s="1"/>
  <c r="T179" i="1"/>
  <c r="T180" i="1"/>
  <c r="Q179" i="1"/>
  <c r="R179" i="1" s="1"/>
  <c r="Q180" i="1"/>
  <c r="K180" i="1"/>
  <c r="N180" i="1" s="1"/>
  <c r="T179" i="2"/>
  <c r="T180" i="2"/>
  <c r="Q179" i="2"/>
  <c r="R179" i="2" s="1"/>
  <c r="Q180" i="2"/>
  <c r="R180" i="2" s="1"/>
  <c r="K180" i="2"/>
  <c r="N180" i="2" s="1"/>
  <c r="K179" i="1"/>
  <c r="N179" i="1" s="1"/>
  <c r="K179" i="2"/>
  <c r="N179" i="2" s="1"/>
  <c r="T177" i="2"/>
  <c r="T178" i="2"/>
  <c r="Q177" i="2"/>
  <c r="R177" i="2" s="1"/>
  <c r="Q178" i="2"/>
  <c r="K178" i="2"/>
  <c r="N178" i="2" s="1"/>
  <c r="T178" i="1"/>
  <c r="Q178" i="1"/>
  <c r="R178" i="1" s="1"/>
  <c r="K178" i="1"/>
  <c r="N178" i="1" s="1"/>
  <c r="T177" i="1"/>
  <c r="Q177" i="1"/>
  <c r="R177" i="1" s="1"/>
  <c r="K177" i="1"/>
  <c r="N177" i="1" s="1"/>
  <c r="K177" i="2"/>
  <c r="N177" i="2" s="1"/>
  <c r="T176" i="1"/>
  <c r="Q176" i="1"/>
  <c r="R176" i="1" s="1"/>
  <c r="K176" i="1"/>
  <c r="N176" i="1" s="1"/>
  <c r="T176" i="2"/>
  <c r="Q176" i="2"/>
  <c r="R176" i="2" s="1"/>
  <c r="K176" i="2"/>
  <c r="N176" i="2" s="1"/>
  <c r="T175" i="2"/>
  <c r="Q175" i="2"/>
  <c r="R175" i="2" s="1"/>
  <c r="K175" i="2"/>
  <c r="N175" i="2" s="1"/>
  <c r="T174" i="1"/>
  <c r="T175" i="1"/>
  <c r="Q175" i="1"/>
  <c r="R175" i="1" s="1"/>
  <c r="K175" i="1"/>
  <c r="N175" i="1" s="1"/>
  <c r="Q174" i="1"/>
  <c r="R174" i="1" s="1"/>
  <c r="K173" i="1"/>
  <c r="N173" i="1" s="1"/>
  <c r="K174" i="1"/>
  <c r="N174" i="1" s="1"/>
  <c r="T174" i="2"/>
  <c r="Q174" i="2"/>
  <c r="R174" i="2" s="1"/>
  <c r="K174" i="2"/>
  <c r="N174" i="2" s="1"/>
  <c r="T173" i="2"/>
  <c r="Q173" i="2"/>
  <c r="R173" i="2" s="1"/>
  <c r="K173" i="2"/>
  <c r="N173" i="2" s="1"/>
  <c r="T173" i="1"/>
  <c r="Q173" i="1"/>
  <c r="R173" i="1" s="1"/>
  <c r="T172" i="2"/>
  <c r="Q172" i="2"/>
  <c r="R172" i="2" s="1"/>
  <c r="K172" i="2"/>
  <c r="N172" i="2" s="1"/>
  <c r="T172" i="1"/>
  <c r="Q172" i="1"/>
  <c r="R172" i="1" s="1"/>
  <c r="K172" i="1"/>
  <c r="N172" i="1" s="1"/>
  <c r="T171" i="2"/>
  <c r="Q171" i="2"/>
  <c r="R171" i="2" s="1"/>
  <c r="K171" i="2"/>
  <c r="N171" i="2" s="1"/>
  <c r="T171" i="1"/>
  <c r="Q171" i="1"/>
  <c r="R171" i="1" s="1"/>
  <c r="K171" i="1"/>
  <c r="N171" i="1" s="1"/>
  <c r="T170" i="1"/>
  <c r="Q170" i="1"/>
  <c r="R170" i="1" s="1"/>
  <c r="K170" i="1"/>
  <c r="N170" i="1" s="1"/>
  <c r="T170" i="2"/>
  <c r="Q170" i="2"/>
  <c r="R170" i="2" s="1"/>
  <c r="K170" i="2"/>
  <c r="N170" i="2" s="1"/>
  <c r="T169" i="2"/>
  <c r="Q169" i="2"/>
  <c r="R169" i="2" s="1"/>
  <c r="K169" i="2"/>
  <c r="N169" i="2" s="1"/>
  <c r="T169" i="1"/>
  <c r="Q169" i="1"/>
  <c r="R169" i="1" s="1"/>
  <c r="K169" i="1"/>
  <c r="N169" i="1" s="1"/>
  <c r="O385" i="1" l="1"/>
  <c r="G385" i="1"/>
  <c r="I385" i="1"/>
  <c r="E386" i="1" s="1"/>
  <c r="O381" i="2"/>
  <c r="I381" i="2"/>
  <c r="E382" i="2" s="1"/>
  <c r="G381" i="2"/>
  <c r="G244" i="1"/>
  <c r="O350" i="1"/>
  <c r="I350" i="1"/>
  <c r="E351" i="1" s="1"/>
  <c r="G350" i="1"/>
  <c r="I348" i="2"/>
  <c r="E349" i="2" s="1"/>
  <c r="O348" i="2"/>
  <c r="G348" i="2"/>
  <c r="R189" i="1"/>
  <c r="N193" i="1"/>
  <c r="R178" i="2"/>
  <c r="R196" i="1"/>
  <c r="R180" i="1"/>
  <c r="O316" i="2"/>
  <c r="I316" i="2"/>
  <c r="E317" i="2" s="1"/>
  <c r="G316" i="2"/>
  <c r="G316" i="1"/>
  <c r="O316" i="1"/>
  <c r="I316" i="1"/>
  <c r="E317" i="1" s="1"/>
  <c r="I204" i="2"/>
  <c r="E205" i="2" s="1"/>
  <c r="G205" i="2" s="1"/>
  <c r="G204" i="2"/>
  <c r="O203" i="2"/>
  <c r="G203" i="2"/>
  <c r="G280" i="1"/>
  <c r="I280" i="1"/>
  <c r="E281" i="1" s="1"/>
  <c r="O280" i="1"/>
  <c r="I280" i="2"/>
  <c r="E281" i="2" s="1"/>
  <c r="G280" i="2"/>
  <c r="O280" i="2"/>
  <c r="I205" i="1"/>
  <c r="E206" i="1" s="1"/>
  <c r="G205" i="1"/>
  <c r="O205" i="1"/>
  <c r="I245" i="1"/>
  <c r="E246" i="1" s="1"/>
  <c r="O245" i="1"/>
  <c r="G245" i="1"/>
  <c r="I205" i="2"/>
  <c r="E206" i="2" s="1"/>
  <c r="O205" i="2"/>
  <c r="I245" i="2"/>
  <c r="E246" i="2" s="1"/>
  <c r="G245" i="2"/>
  <c r="O245" i="2"/>
  <c r="T168" i="1"/>
  <c r="Q168" i="1"/>
  <c r="R168" i="1" s="1"/>
  <c r="K168" i="1"/>
  <c r="N168" i="1" s="1"/>
  <c r="T168" i="2"/>
  <c r="Q168" i="2"/>
  <c r="R168" i="2" s="1"/>
  <c r="K168" i="2"/>
  <c r="N168" i="2" s="1"/>
  <c r="T167" i="2"/>
  <c r="Q167" i="2"/>
  <c r="R167" i="2" s="1"/>
  <c r="K167" i="2"/>
  <c r="N167" i="2" s="1"/>
  <c r="O167" i="2" s="1"/>
  <c r="I167" i="2"/>
  <c r="E168" i="2" s="1"/>
  <c r="I168" i="2" s="1"/>
  <c r="E169" i="2" s="1"/>
  <c r="G167" i="2"/>
  <c r="T167" i="1"/>
  <c r="Q167" i="1"/>
  <c r="R167" i="1" s="1"/>
  <c r="K167" i="1"/>
  <c r="N167" i="1" s="1"/>
  <c r="O167" i="1" s="1"/>
  <c r="I167" i="1"/>
  <c r="E168" i="1" s="1"/>
  <c r="G168" i="1" s="1"/>
  <c r="G167" i="1"/>
  <c r="T163" i="1"/>
  <c r="Q163" i="1"/>
  <c r="R163" i="1" s="1"/>
  <c r="K163" i="1"/>
  <c r="N163" i="1" s="1"/>
  <c r="T163" i="2"/>
  <c r="Q163" i="2"/>
  <c r="R163" i="2" s="1"/>
  <c r="K163" i="2"/>
  <c r="N163" i="2" s="1"/>
  <c r="T161" i="2"/>
  <c r="T162" i="2"/>
  <c r="Q162" i="2"/>
  <c r="R162" i="2" s="1"/>
  <c r="K162" i="2"/>
  <c r="N162" i="2" s="1"/>
  <c r="T162" i="1"/>
  <c r="Q162" i="1"/>
  <c r="R162" i="1" s="1"/>
  <c r="K162" i="1"/>
  <c r="N162" i="1" s="1"/>
  <c r="T161" i="1"/>
  <c r="Q161" i="1"/>
  <c r="R161" i="1" s="1"/>
  <c r="K161" i="1"/>
  <c r="N161" i="1" s="1"/>
  <c r="Q161" i="2"/>
  <c r="R161" i="2" s="1"/>
  <c r="K161" i="2"/>
  <c r="N161" i="2" s="1"/>
  <c r="T159" i="1"/>
  <c r="T160" i="1"/>
  <c r="Q160" i="1"/>
  <c r="R160" i="1" s="1"/>
  <c r="K160" i="1"/>
  <c r="N160" i="1" s="1"/>
  <c r="T160" i="2"/>
  <c r="Q160" i="2"/>
  <c r="R160" i="2" s="1"/>
  <c r="K160" i="2"/>
  <c r="N160" i="2" s="1"/>
  <c r="T158" i="1"/>
  <c r="Q159" i="1"/>
  <c r="R159" i="1" s="1"/>
  <c r="K159" i="1"/>
  <c r="N159" i="1" s="1"/>
  <c r="T159" i="2"/>
  <c r="Q159" i="2"/>
  <c r="R159" i="2" s="1"/>
  <c r="K158" i="2"/>
  <c r="N158" i="2" s="1"/>
  <c r="K159" i="2"/>
  <c r="N159" i="2" s="1"/>
  <c r="Q158" i="1"/>
  <c r="R158" i="1" s="1"/>
  <c r="K158" i="1"/>
  <c r="N158" i="1" s="1"/>
  <c r="T158" i="2"/>
  <c r="Q158" i="2"/>
  <c r="R158" i="2" s="1"/>
  <c r="T157" i="2"/>
  <c r="Q157" i="2"/>
  <c r="R157" i="2" s="1"/>
  <c r="K157" i="2"/>
  <c r="N157" i="2" s="1"/>
  <c r="T157" i="1"/>
  <c r="Q157" i="1"/>
  <c r="R157" i="1" s="1"/>
  <c r="K157" i="1"/>
  <c r="N157" i="1" s="1"/>
  <c r="T155" i="2"/>
  <c r="T156" i="2"/>
  <c r="Q155" i="2"/>
  <c r="R155" i="2" s="1"/>
  <c r="Q156" i="2"/>
  <c r="R156" i="2" s="1"/>
  <c r="K155" i="2"/>
  <c r="N155" i="2" s="1"/>
  <c r="K156" i="2"/>
  <c r="N156" i="2" s="1"/>
  <c r="T156" i="1"/>
  <c r="Q156" i="1"/>
  <c r="R156" i="1" s="1"/>
  <c r="K156" i="1"/>
  <c r="N156" i="1" s="1"/>
  <c r="T155" i="1"/>
  <c r="Q155" i="1"/>
  <c r="R155" i="1" s="1"/>
  <c r="K155" i="1"/>
  <c r="N155" i="1" s="1"/>
  <c r="T154" i="2"/>
  <c r="Q154" i="2"/>
  <c r="R154" i="2" s="1"/>
  <c r="K154" i="2"/>
  <c r="N154" i="2" s="1"/>
  <c r="T154" i="1"/>
  <c r="Q154" i="1"/>
  <c r="R154" i="1" s="1"/>
  <c r="K154" i="1"/>
  <c r="N154" i="1" s="1"/>
  <c r="T153" i="1"/>
  <c r="Q153" i="1"/>
  <c r="R153" i="1" s="1"/>
  <c r="K153" i="1"/>
  <c r="N153" i="1" s="1"/>
  <c r="T153" i="2"/>
  <c r="Q153" i="2"/>
  <c r="R153" i="2" s="1"/>
  <c r="K153" i="2"/>
  <c r="N153" i="2" s="1"/>
  <c r="T151" i="2"/>
  <c r="T152" i="2"/>
  <c r="Q151" i="2"/>
  <c r="R151" i="2" s="1"/>
  <c r="Q152" i="2"/>
  <c r="R152" i="2" s="1"/>
  <c r="K152" i="2"/>
  <c r="N152" i="2" s="1"/>
  <c r="K151" i="2"/>
  <c r="N151" i="2" s="1"/>
  <c r="T152" i="1"/>
  <c r="Q152" i="1"/>
  <c r="R152" i="1" s="1"/>
  <c r="K152" i="1"/>
  <c r="N152" i="1" s="1"/>
  <c r="T150" i="1"/>
  <c r="T151" i="1"/>
  <c r="Q151" i="1"/>
  <c r="R151" i="1" s="1"/>
  <c r="K151" i="1"/>
  <c r="N151" i="1" s="1"/>
  <c r="Q150" i="1"/>
  <c r="R150" i="1" s="1"/>
  <c r="K150" i="1"/>
  <c r="N150" i="1" s="1"/>
  <c r="T150" i="2"/>
  <c r="Q150" i="2"/>
  <c r="R150" i="2" s="1"/>
  <c r="K150" i="2"/>
  <c r="N150" i="2" s="1"/>
  <c r="T149" i="1"/>
  <c r="Q149" i="1"/>
  <c r="R149" i="1" s="1"/>
  <c r="K149" i="1"/>
  <c r="N149" i="1" s="1"/>
  <c r="T149" i="2"/>
  <c r="Q149" i="2"/>
  <c r="R149" i="2" s="1"/>
  <c r="K149" i="2"/>
  <c r="N149" i="2" s="1"/>
  <c r="T147" i="2"/>
  <c r="T148" i="2"/>
  <c r="Q148" i="2"/>
  <c r="R148" i="2" s="1"/>
  <c r="K148" i="2"/>
  <c r="N148" i="2" s="1"/>
  <c r="T147" i="1"/>
  <c r="T148" i="1"/>
  <c r="Q148" i="1"/>
  <c r="R148" i="1" s="1"/>
  <c r="K148" i="1"/>
  <c r="N148" i="1" s="1"/>
  <c r="Q147" i="2"/>
  <c r="R147" i="2" s="1"/>
  <c r="K147" i="2"/>
  <c r="N147" i="2" s="1"/>
  <c r="Q147" i="1"/>
  <c r="R147" i="1" s="1"/>
  <c r="K147" i="1"/>
  <c r="N147" i="1" s="1"/>
  <c r="T146" i="2"/>
  <c r="Q146" i="2"/>
  <c r="R146" i="2" s="1"/>
  <c r="K146" i="2"/>
  <c r="N146" i="2" s="1"/>
  <c r="T146" i="1"/>
  <c r="Q146" i="1"/>
  <c r="R146" i="1" s="1"/>
  <c r="K146" i="1"/>
  <c r="N146" i="1" s="1"/>
  <c r="T145" i="1"/>
  <c r="Q145" i="1"/>
  <c r="R145" i="1" s="1"/>
  <c r="K145" i="1"/>
  <c r="N145" i="1" s="1"/>
  <c r="T145" i="2"/>
  <c r="Q145" i="2"/>
  <c r="R145" i="2" s="1"/>
  <c r="K144" i="2"/>
  <c r="N144" i="2" s="1"/>
  <c r="K145" i="2"/>
  <c r="N145" i="2" s="1"/>
  <c r="T144" i="2"/>
  <c r="Q144" i="2"/>
  <c r="R144" i="2" s="1"/>
  <c r="T144" i="1"/>
  <c r="Q144" i="1"/>
  <c r="R144" i="1" s="1"/>
  <c r="K144" i="1"/>
  <c r="N144" i="1" s="1"/>
  <c r="T143" i="2"/>
  <c r="Q143" i="2"/>
  <c r="R143" i="2" s="1"/>
  <c r="K143" i="2"/>
  <c r="N143" i="2" s="1"/>
  <c r="T143" i="1"/>
  <c r="Q143" i="1"/>
  <c r="R143" i="1" s="1"/>
  <c r="K143" i="1"/>
  <c r="N143" i="1" s="1"/>
  <c r="T142" i="1"/>
  <c r="Q142" i="1"/>
  <c r="R142" i="1" s="1"/>
  <c r="K142" i="1"/>
  <c r="N142" i="1" s="1"/>
  <c r="T142" i="2"/>
  <c r="Q142" i="2"/>
  <c r="R142" i="2" s="1"/>
  <c r="K142" i="2"/>
  <c r="N142" i="2" s="1"/>
  <c r="T141" i="2"/>
  <c r="Q141" i="2"/>
  <c r="R141" i="2" s="1"/>
  <c r="K141" i="2"/>
  <c r="N141" i="2" s="1"/>
  <c r="T141" i="1"/>
  <c r="Q141" i="1"/>
  <c r="R141" i="1" s="1"/>
  <c r="K141" i="1"/>
  <c r="N141" i="1" s="1"/>
  <c r="T140" i="2"/>
  <c r="Q140" i="2"/>
  <c r="R140" i="2" s="1"/>
  <c r="K140" i="2"/>
  <c r="N140" i="2" s="1"/>
  <c r="T140" i="1"/>
  <c r="Q140" i="1"/>
  <c r="R140" i="1" s="1"/>
  <c r="K140" i="1"/>
  <c r="N140" i="1" s="1"/>
  <c r="T138" i="2"/>
  <c r="T139" i="2"/>
  <c r="Q137" i="2"/>
  <c r="R137" i="2" s="1"/>
  <c r="Q138" i="2"/>
  <c r="R138" i="2" s="1"/>
  <c r="Q139" i="2"/>
  <c r="R139" i="2" s="1"/>
  <c r="K138" i="2"/>
  <c r="N138" i="2" s="1"/>
  <c r="K139" i="2"/>
  <c r="N139" i="2" s="1"/>
  <c r="T137" i="1"/>
  <c r="T138" i="1"/>
  <c r="T139" i="1"/>
  <c r="Q139" i="1"/>
  <c r="R139" i="1" s="1"/>
  <c r="K138" i="1"/>
  <c r="N138" i="1" s="1"/>
  <c r="K139" i="1"/>
  <c r="N139" i="1" s="1"/>
  <c r="T137" i="2"/>
  <c r="Q138" i="1"/>
  <c r="R138" i="1" s="1"/>
  <c r="Q137" i="1"/>
  <c r="R137" i="1" s="1"/>
  <c r="K137" i="1"/>
  <c r="N137" i="1" s="1"/>
  <c r="K137" i="2"/>
  <c r="N137" i="2" s="1"/>
  <c r="T136" i="1"/>
  <c r="Q136" i="1"/>
  <c r="R136" i="1" s="1"/>
  <c r="K136" i="1"/>
  <c r="N136" i="1" s="1"/>
  <c r="T136" i="2"/>
  <c r="Q136" i="2"/>
  <c r="R136" i="2" s="1"/>
  <c r="K136" i="2"/>
  <c r="N136" i="2" s="1"/>
  <c r="T135" i="1"/>
  <c r="Q135" i="1"/>
  <c r="R135" i="1" s="1"/>
  <c r="K135" i="1"/>
  <c r="N135" i="1" s="1"/>
  <c r="T134" i="1"/>
  <c r="Q134" i="1"/>
  <c r="R134" i="1" s="1"/>
  <c r="K134" i="1"/>
  <c r="N134" i="1" s="1"/>
  <c r="O134" i="1" s="1"/>
  <c r="I134" i="1"/>
  <c r="E135" i="1" s="1"/>
  <c r="G134" i="1"/>
  <c r="T135" i="2"/>
  <c r="Q135" i="2"/>
  <c r="R135" i="2" s="1"/>
  <c r="K135" i="2"/>
  <c r="N135" i="2" s="1"/>
  <c r="T134" i="2"/>
  <c r="Q134" i="2"/>
  <c r="R134" i="2" s="1"/>
  <c r="K134" i="2"/>
  <c r="N134" i="2" s="1"/>
  <c r="O134" i="2" s="1"/>
  <c r="I134" i="2"/>
  <c r="E135" i="2" s="1"/>
  <c r="G134" i="2"/>
  <c r="T130" i="1"/>
  <c r="Q130" i="1"/>
  <c r="R130" i="1" s="1"/>
  <c r="K130" i="1"/>
  <c r="N130" i="1" s="1"/>
  <c r="T130" i="2"/>
  <c r="Q130" i="2"/>
  <c r="R130" i="2" s="1"/>
  <c r="K130" i="2"/>
  <c r="N130" i="2" s="1"/>
  <c r="T129" i="1"/>
  <c r="Q129" i="1"/>
  <c r="R129" i="1" s="1"/>
  <c r="K129" i="1"/>
  <c r="N129" i="1" s="1"/>
  <c r="T129" i="2"/>
  <c r="Q129" i="2"/>
  <c r="R129" i="2" s="1"/>
  <c r="K129" i="2"/>
  <c r="N129" i="2" s="1"/>
  <c r="T128" i="1"/>
  <c r="Q128" i="1"/>
  <c r="R128" i="1" s="1"/>
  <c r="K128" i="1"/>
  <c r="N128" i="1" s="1"/>
  <c r="T128" i="2"/>
  <c r="Q128" i="2"/>
  <c r="R128" i="2" s="1"/>
  <c r="K128" i="2"/>
  <c r="N128" i="2" s="1"/>
  <c r="O386" i="1" l="1"/>
  <c r="I386" i="1"/>
  <c r="E387" i="1" s="1"/>
  <c r="G386" i="1"/>
  <c r="O382" i="2"/>
  <c r="I382" i="2"/>
  <c r="E383" i="2" s="1"/>
  <c r="G382" i="2"/>
  <c r="O351" i="1"/>
  <c r="I351" i="1"/>
  <c r="E352" i="1" s="1"/>
  <c r="G351" i="1"/>
  <c r="G349" i="2"/>
  <c r="I349" i="2"/>
  <c r="E350" i="2" s="1"/>
  <c r="O349" i="2"/>
  <c r="O317" i="2"/>
  <c r="G317" i="2"/>
  <c r="I317" i="2"/>
  <c r="E318" i="2" s="1"/>
  <c r="O169" i="2"/>
  <c r="G168" i="2"/>
  <c r="O317" i="1"/>
  <c r="I317" i="1"/>
  <c r="E318" i="1" s="1"/>
  <c r="G317" i="1"/>
  <c r="I281" i="1"/>
  <c r="E282" i="1" s="1"/>
  <c r="G281" i="1"/>
  <c r="O281" i="1"/>
  <c r="I281" i="2"/>
  <c r="E282" i="2" s="1"/>
  <c r="G281" i="2"/>
  <c r="O281" i="2"/>
  <c r="G206" i="1"/>
  <c r="I206" i="1"/>
  <c r="E207" i="1" s="1"/>
  <c r="O206" i="1"/>
  <c r="I246" i="1"/>
  <c r="E247" i="1" s="1"/>
  <c r="G246" i="1"/>
  <c r="O246" i="1"/>
  <c r="O168" i="2"/>
  <c r="O246" i="2"/>
  <c r="G246" i="2"/>
  <c r="I246" i="2"/>
  <c r="E247" i="2" s="1"/>
  <c r="I206" i="2"/>
  <c r="E207" i="2" s="1"/>
  <c r="G206" i="2"/>
  <c r="O206" i="2"/>
  <c r="O168" i="1"/>
  <c r="I168" i="1"/>
  <c r="E169" i="1" s="1"/>
  <c r="G169" i="2"/>
  <c r="I169" i="2"/>
  <c r="E170" i="2" s="1"/>
  <c r="G135" i="1"/>
  <c r="I135" i="1"/>
  <c r="E136" i="1" s="1"/>
  <c r="O135" i="1"/>
  <c r="O135" i="2"/>
  <c r="I135" i="2"/>
  <c r="E136" i="2" s="1"/>
  <c r="O136" i="2" s="1"/>
  <c r="G135" i="2"/>
  <c r="T127" i="2"/>
  <c r="Q127" i="2"/>
  <c r="R127" i="2" s="1"/>
  <c r="K127" i="2"/>
  <c r="N127" i="2" s="1"/>
  <c r="T127" i="1"/>
  <c r="Q127" i="1"/>
  <c r="R127" i="1" s="1"/>
  <c r="K127" i="1"/>
  <c r="T126" i="1"/>
  <c r="Q126" i="1"/>
  <c r="R126" i="1" s="1"/>
  <c r="K126" i="1"/>
  <c r="N126" i="1" s="1"/>
  <c r="T126" i="2"/>
  <c r="Q126" i="2"/>
  <c r="R126" i="2" s="1"/>
  <c r="K126" i="2"/>
  <c r="N126" i="2" s="1"/>
  <c r="T124" i="1"/>
  <c r="T125" i="1"/>
  <c r="Q124" i="1"/>
  <c r="R124" i="1" s="1"/>
  <c r="Q125" i="1"/>
  <c r="R125" i="1" s="1"/>
  <c r="K124" i="1"/>
  <c r="N124" i="1" s="1"/>
  <c r="K125" i="1"/>
  <c r="N125" i="1" s="1"/>
  <c r="T124" i="2"/>
  <c r="T125" i="2"/>
  <c r="Q124" i="2"/>
  <c r="R124" i="2" s="1"/>
  <c r="Q125" i="2"/>
  <c r="R125" i="2" s="1"/>
  <c r="K124" i="2"/>
  <c r="N124" i="2" s="1"/>
  <c r="K125" i="2"/>
  <c r="N125" i="2" s="1"/>
  <c r="T123" i="2"/>
  <c r="Q123" i="2"/>
  <c r="R123" i="2" s="1"/>
  <c r="K123" i="2"/>
  <c r="N123" i="2" s="1"/>
  <c r="T123" i="1"/>
  <c r="Q123" i="1"/>
  <c r="R123" i="1" s="1"/>
  <c r="K123" i="1"/>
  <c r="N123" i="1" s="1"/>
  <c r="K122" i="1"/>
  <c r="O387" i="1" l="1"/>
  <c r="I387" i="1"/>
  <c r="E388" i="1" s="1"/>
  <c r="G387" i="1"/>
  <c r="O383" i="2"/>
  <c r="I383" i="2"/>
  <c r="E384" i="2" s="1"/>
  <c r="G383" i="2"/>
  <c r="O352" i="1"/>
  <c r="G352" i="1"/>
  <c r="I352" i="1"/>
  <c r="E353" i="1" s="1"/>
  <c r="O350" i="2"/>
  <c r="G350" i="2"/>
  <c r="I350" i="2"/>
  <c r="E351" i="2" s="1"/>
  <c r="O318" i="2"/>
  <c r="I318" i="2"/>
  <c r="E319" i="2" s="1"/>
  <c r="G318" i="2"/>
  <c r="G318" i="1"/>
  <c r="O318" i="1"/>
  <c r="I318" i="1"/>
  <c r="E319" i="1" s="1"/>
  <c r="G282" i="1"/>
  <c r="I282" i="1"/>
  <c r="E283" i="1" s="1"/>
  <c r="O282" i="1"/>
  <c r="G282" i="2"/>
  <c r="I282" i="2"/>
  <c r="E283" i="2" s="1"/>
  <c r="O282" i="2"/>
  <c r="G207" i="1"/>
  <c r="I207" i="1"/>
  <c r="E208" i="1" s="1"/>
  <c r="O207" i="1"/>
  <c r="G247" i="1"/>
  <c r="I247" i="1"/>
  <c r="E248" i="1" s="1"/>
  <c r="O247" i="1"/>
  <c r="I207" i="2"/>
  <c r="E208" i="2" s="1"/>
  <c r="G207" i="2"/>
  <c r="O207" i="2"/>
  <c r="I247" i="2"/>
  <c r="E248" i="2" s="1"/>
  <c r="G247" i="2"/>
  <c r="O247" i="2"/>
  <c r="G169" i="1"/>
  <c r="I169" i="1"/>
  <c r="E170" i="1" s="1"/>
  <c r="O169" i="1"/>
  <c r="G170" i="2"/>
  <c r="I170" i="2"/>
  <c r="E171" i="2" s="1"/>
  <c r="O170" i="2"/>
  <c r="I136" i="2"/>
  <c r="E137" i="2" s="1"/>
  <c r="G136" i="2"/>
  <c r="N127" i="1"/>
  <c r="I136" i="1"/>
  <c r="E137" i="1" s="1"/>
  <c r="G136" i="1"/>
  <c r="O136" i="1"/>
  <c r="T122" i="2"/>
  <c r="Q122" i="2"/>
  <c r="R122" i="2" s="1"/>
  <c r="K122" i="2"/>
  <c r="N122" i="2" s="1"/>
  <c r="T122" i="1"/>
  <c r="Q122" i="1"/>
  <c r="R122" i="1" s="1"/>
  <c r="N122" i="1"/>
  <c r="T121" i="1"/>
  <c r="Q121" i="1"/>
  <c r="R121" i="1" s="1"/>
  <c r="K121" i="1"/>
  <c r="N121" i="1" s="1"/>
  <c r="T121" i="2"/>
  <c r="Q121" i="2"/>
  <c r="R121" i="2" s="1"/>
  <c r="K121" i="2"/>
  <c r="N121" i="2" s="1"/>
  <c r="T120" i="1"/>
  <c r="Q120" i="1"/>
  <c r="R120" i="1" s="1"/>
  <c r="K120" i="1"/>
  <c r="N120" i="1" s="1"/>
  <c r="T120" i="2"/>
  <c r="Q120" i="2"/>
  <c r="R120" i="2" s="1"/>
  <c r="K120" i="2"/>
  <c r="N120" i="2" s="1"/>
  <c r="T117" i="2"/>
  <c r="T118" i="2"/>
  <c r="T119" i="2"/>
  <c r="Q117" i="2"/>
  <c r="R117" i="2" s="1"/>
  <c r="Q118" i="2"/>
  <c r="R118" i="2" s="1"/>
  <c r="Q119" i="2"/>
  <c r="R119" i="2" s="1"/>
  <c r="K117" i="2"/>
  <c r="N117" i="2" s="1"/>
  <c r="K118" i="2"/>
  <c r="N118" i="2" s="1"/>
  <c r="K119" i="2"/>
  <c r="N119" i="2" s="1"/>
  <c r="T117" i="1"/>
  <c r="T118" i="1"/>
  <c r="T119" i="1"/>
  <c r="Q117" i="1"/>
  <c r="R117" i="1" s="1"/>
  <c r="Q118" i="1"/>
  <c r="R118" i="1" s="1"/>
  <c r="Q119" i="1"/>
  <c r="R119" i="1" s="1"/>
  <c r="K117" i="1"/>
  <c r="N117" i="1" s="1"/>
  <c r="K118" i="1"/>
  <c r="N118" i="1" s="1"/>
  <c r="K119" i="1"/>
  <c r="N119" i="1" s="1"/>
  <c r="T115" i="2"/>
  <c r="T116" i="2"/>
  <c r="Q116" i="2"/>
  <c r="R116" i="2" s="1"/>
  <c r="K116" i="2"/>
  <c r="N116" i="2" s="1"/>
  <c r="O388" i="1" l="1"/>
  <c r="G388" i="1"/>
  <c r="I388" i="1"/>
  <c r="E389" i="1" s="1"/>
  <c r="O384" i="2"/>
  <c r="G384" i="2"/>
  <c r="I384" i="2"/>
  <c r="E385" i="2" s="1"/>
  <c r="O353" i="1"/>
  <c r="I353" i="1"/>
  <c r="E354" i="1" s="1"/>
  <c r="G353" i="1"/>
  <c r="G351" i="2"/>
  <c r="I351" i="2"/>
  <c r="E352" i="2" s="1"/>
  <c r="O351" i="2"/>
  <c r="G319" i="2"/>
  <c r="I319" i="2"/>
  <c r="E320" i="2" s="1"/>
  <c r="O319" i="2"/>
  <c r="I319" i="1"/>
  <c r="E320" i="1" s="1"/>
  <c r="G319" i="1"/>
  <c r="O319" i="1"/>
  <c r="I283" i="1"/>
  <c r="E284" i="1" s="1"/>
  <c r="G283" i="1"/>
  <c r="O283" i="1"/>
  <c r="G283" i="2"/>
  <c r="I283" i="2"/>
  <c r="E284" i="2" s="1"/>
  <c r="O283" i="2"/>
  <c r="I208" i="1"/>
  <c r="E209" i="1" s="1"/>
  <c r="G208" i="1"/>
  <c r="O208" i="1"/>
  <c r="G248" i="1"/>
  <c r="I248" i="1"/>
  <c r="E249" i="1" s="1"/>
  <c r="O248" i="1"/>
  <c r="G208" i="2"/>
  <c r="I208" i="2"/>
  <c r="E209" i="2" s="1"/>
  <c r="O208" i="2"/>
  <c r="I248" i="2"/>
  <c r="E249" i="2" s="1"/>
  <c r="G248" i="2"/>
  <c r="O248" i="2"/>
  <c r="I170" i="1"/>
  <c r="E171" i="1" s="1"/>
  <c r="G170" i="1"/>
  <c r="O170" i="1"/>
  <c r="I171" i="2"/>
  <c r="E172" i="2" s="1"/>
  <c r="G171" i="2"/>
  <c r="O171" i="2"/>
  <c r="G137" i="2"/>
  <c r="I137" i="2"/>
  <c r="E138" i="2" s="1"/>
  <c r="O137" i="2"/>
  <c r="G137" i="1"/>
  <c r="I137" i="1"/>
  <c r="E138" i="1" s="1"/>
  <c r="O137" i="1"/>
  <c r="T116" i="1"/>
  <c r="Q116" i="1"/>
  <c r="R116" i="1" s="1"/>
  <c r="K116" i="1"/>
  <c r="N116" i="1" s="1"/>
  <c r="O389" i="1" l="1"/>
  <c r="I389" i="1"/>
  <c r="E390" i="1" s="1"/>
  <c r="G389" i="1"/>
  <c r="O385" i="2"/>
  <c r="G385" i="2"/>
  <c r="I385" i="2"/>
  <c r="E386" i="2" s="1"/>
  <c r="O354" i="1"/>
  <c r="G354" i="1"/>
  <c r="I354" i="1"/>
  <c r="E355" i="1" s="1"/>
  <c r="O352" i="2"/>
  <c r="I352" i="2"/>
  <c r="E353" i="2" s="1"/>
  <c r="G352" i="2"/>
  <c r="O320" i="2"/>
  <c r="I320" i="2"/>
  <c r="E321" i="2" s="1"/>
  <c r="G320" i="2"/>
  <c r="I320" i="1"/>
  <c r="E321" i="1" s="1"/>
  <c r="G320" i="1"/>
  <c r="O320" i="1"/>
  <c r="I284" i="1"/>
  <c r="E285" i="1" s="1"/>
  <c r="G284" i="1"/>
  <c r="O284" i="1"/>
  <c r="G284" i="2"/>
  <c r="I284" i="2"/>
  <c r="E285" i="2" s="1"/>
  <c r="O284" i="2"/>
  <c r="I209" i="1"/>
  <c r="E210" i="1" s="1"/>
  <c r="G209" i="1"/>
  <c r="O209" i="1"/>
  <c r="I249" i="1"/>
  <c r="E250" i="1" s="1"/>
  <c r="G249" i="1"/>
  <c r="O249" i="1"/>
  <c r="I209" i="2"/>
  <c r="E210" i="2" s="1"/>
  <c r="G209" i="2"/>
  <c r="O209" i="2"/>
  <c r="I249" i="2"/>
  <c r="E250" i="2" s="1"/>
  <c r="G249" i="2"/>
  <c r="O249" i="2"/>
  <c r="I171" i="1"/>
  <c r="E172" i="1" s="1"/>
  <c r="G171" i="1"/>
  <c r="O171" i="1"/>
  <c r="G172" i="2"/>
  <c r="I172" i="2"/>
  <c r="E173" i="2" s="1"/>
  <c r="O172" i="2"/>
  <c r="I138" i="2"/>
  <c r="E139" i="2" s="1"/>
  <c r="G138" i="2"/>
  <c r="O138" i="2"/>
  <c r="G138" i="1"/>
  <c r="O138" i="1"/>
  <c r="I138" i="1"/>
  <c r="E139" i="1" s="1"/>
  <c r="T115" i="1"/>
  <c r="Q115" i="1"/>
  <c r="R115" i="1" s="1"/>
  <c r="K115" i="1"/>
  <c r="N115" i="1" s="1"/>
  <c r="Q115" i="2"/>
  <c r="R115" i="2" s="1"/>
  <c r="K115" i="2"/>
  <c r="N115" i="2" s="1"/>
  <c r="T114" i="2"/>
  <c r="Q114" i="2"/>
  <c r="R114" i="2" s="1"/>
  <c r="K114" i="2"/>
  <c r="N114" i="2" s="1"/>
  <c r="T114" i="1"/>
  <c r="Q114" i="1"/>
  <c r="R114" i="1" s="1"/>
  <c r="K114" i="1"/>
  <c r="T111" i="1"/>
  <c r="T112" i="1"/>
  <c r="T113" i="1"/>
  <c r="Q112" i="1"/>
  <c r="R112" i="1" s="1"/>
  <c r="Q113" i="1"/>
  <c r="R113" i="1" s="1"/>
  <c r="K113" i="1"/>
  <c r="T113" i="2"/>
  <c r="Q113" i="2"/>
  <c r="R113" i="2" s="1"/>
  <c r="K113" i="2"/>
  <c r="N113" i="2" s="1"/>
  <c r="K112" i="1"/>
  <c r="T112" i="2"/>
  <c r="Q112" i="2"/>
  <c r="R112" i="2" s="1"/>
  <c r="K112" i="2"/>
  <c r="N112" i="2" s="1"/>
  <c r="T110" i="2"/>
  <c r="T111" i="2"/>
  <c r="Q110" i="2"/>
  <c r="R110" i="2" s="1"/>
  <c r="Q111" i="2"/>
  <c r="R111" i="2" s="1"/>
  <c r="K111" i="2"/>
  <c r="N111" i="2" s="1"/>
  <c r="K110" i="2"/>
  <c r="N110" i="2" s="1"/>
  <c r="T110" i="1"/>
  <c r="K111" i="1"/>
  <c r="N111" i="1" s="1"/>
  <c r="Q110" i="1"/>
  <c r="R110" i="1" s="1"/>
  <c r="Q111" i="1"/>
  <c r="R111" i="1" s="1"/>
  <c r="K110" i="1"/>
  <c r="N110" i="1" s="1"/>
  <c r="T109" i="2"/>
  <c r="Q109" i="2"/>
  <c r="R109" i="2" s="1"/>
  <c r="K109" i="2"/>
  <c r="N109" i="2" s="1"/>
  <c r="T109" i="1"/>
  <c r="Q109" i="1"/>
  <c r="R109" i="1" s="1"/>
  <c r="K109" i="1"/>
  <c r="N109" i="1" s="1"/>
  <c r="T108" i="1"/>
  <c r="Q108" i="1"/>
  <c r="R108" i="1" s="1"/>
  <c r="K108" i="1"/>
  <c r="N108" i="1" s="1"/>
  <c r="T108" i="2"/>
  <c r="Q108" i="2"/>
  <c r="R108" i="2" s="1"/>
  <c r="K108" i="2"/>
  <c r="N108" i="2" s="1"/>
  <c r="T107" i="2"/>
  <c r="Q107" i="2"/>
  <c r="R107" i="2" s="1"/>
  <c r="K107" i="2"/>
  <c r="N107" i="2" s="1"/>
  <c r="T107" i="1"/>
  <c r="Q107" i="1"/>
  <c r="R107" i="1" s="1"/>
  <c r="K107" i="1"/>
  <c r="N107" i="1" s="1"/>
  <c r="T106" i="2"/>
  <c r="Q106" i="2"/>
  <c r="R106" i="2" s="1"/>
  <c r="K106" i="2"/>
  <c r="N106" i="2" s="1"/>
  <c r="T106" i="1"/>
  <c r="Q105" i="1"/>
  <c r="R105" i="1" s="1"/>
  <c r="Q106" i="1"/>
  <c r="R106" i="1" s="1"/>
  <c r="K106" i="1"/>
  <c r="N106" i="1" s="1"/>
  <c r="T105" i="1"/>
  <c r="K105" i="1"/>
  <c r="N105" i="1" s="1"/>
  <c r="T104" i="1"/>
  <c r="Q103" i="1"/>
  <c r="R103" i="1" s="1"/>
  <c r="Q104" i="1"/>
  <c r="R104" i="1" s="1"/>
  <c r="K104" i="1"/>
  <c r="N104" i="1" s="1"/>
  <c r="T105" i="2"/>
  <c r="Q105" i="2"/>
  <c r="R105" i="2" s="1"/>
  <c r="K105" i="2"/>
  <c r="N105" i="2" s="1"/>
  <c r="T104" i="2"/>
  <c r="Q104" i="2"/>
  <c r="R104" i="2" s="1"/>
  <c r="K104" i="2"/>
  <c r="N104" i="2" s="1"/>
  <c r="K103" i="2"/>
  <c r="N103" i="2" s="1"/>
  <c r="T103" i="2"/>
  <c r="Q103" i="2"/>
  <c r="R103" i="2" s="1"/>
  <c r="T103" i="1"/>
  <c r="K103" i="1"/>
  <c r="N103" i="1" s="1"/>
  <c r="T102" i="2"/>
  <c r="Q102" i="2"/>
  <c r="R102" i="2" s="1"/>
  <c r="K102" i="2"/>
  <c r="N102" i="2" s="1"/>
  <c r="T102" i="1"/>
  <c r="Q102" i="1"/>
  <c r="R102" i="1" s="1"/>
  <c r="K102" i="1"/>
  <c r="N102" i="1" s="1"/>
  <c r="T101" i="1"/>
  <c r="Q101" i="1"/>
  <c r="R101" i="1" s="1"/>
  <c r="K101" i="1"/>
  <c r="N101" i="1" s="1"/>
  <c r="T101" i="2"/>
  <c r="Q101" i="2"/>
  <c r="R101" i="2" s="1"/>
  <c r="K101" i="2"/>
  <c r="N101" i="2" s="1"/>
  <c r="T100" i="1"/>
  <c r="Q100" i="1"/>
  <c r="R100" i="1" s="1"/>
  <c r="K100" i="1"/>
  <c r="N100" i="1" s="1"/>
  <c r="O100" i="1" s="1"/>
  <c r="I100" i="1"/>
  <c r="E101" i="1" s="1"/>
  <c r="G100" i="1"/>
  <c r="T100" i="2"/>
  <c r="Q100" i="2"/>
  <c r="R100" i="2" s="1"/>
  <c r="K100" i="2"/>
  <c r="N100" i="2" s="1"/>
  <c r="O100" i="2" s="1"/>
  <c r="I100" i="2"/>
  <c r="E101" i="2" s="1"/>
  <c r="G100" i="2"/>
  <c r="T95" i="1"/>
  <c r="T96" i="1"/>
  <c r="Q95" i="1"/>
  <c r="R95" i="1" s="1"/>
  <c r="Q96" i="1"/>
  <c r="R96" i="1" s="1"/>
  <c r="K96" i="1"/>
  <c r="N96" i="1" s="1"/>
  <c r="T96" i="2"/>
  <c r="Q96" i="2"/>
  <c r="R96" i="2" s="1"/>
  <c r="K96" i="2"/>
  <c r="N96" i="2" s="1"/>
  <c r="K95" i="1"/>
  <c r="N95" i="1" s="1"/>
  <c r="T95" i="2"/>
  <c r="Q95" i="2"/>
  <c r="R95" i="2" s="1"/>
  <c r="K95" i="2"/>
  <c r="N95" i="2" s="1"/>
  <c r="T94" i="1"/>
  <c r="Q94" i="1"/>
  <c r="R94" i="1" s="1"/>
  <c r="K94" i="1"/>
  <c r="N94" i="1" s="1"/>
  <c r="T94" i="2"/>
  <c r="Q94" i="2"/>
  <c r="R94" i="2" s="1"/>
  <c r="K94" i="2"/>
  <c r="N94" i="2" s="1"/>
  <c r="O390" i="1" l="1"/>
  <c r="G390" i="1"/>
  <c r="I390" i="1"/>
  <c r="E391" i="1" s="1"/>
  <c r="O386" i="2"/>
  <c r="G386" i="2"/>
  <c r="I386" i="2"/>
  <c r="E387" i="2" s="1"/>
  <c r="G355" i="1"/>
  <c r="I355" i="1"/>
  <c r="E356" i="1" s="1"/>
  <c r="O355" i="1"/>
  <c r="G353" i="2"/>
  <c r="I353" i="2"/>
  <c r="E354" i="2" s="1"/>
  <c r="O353" i="2"/>
  <c r="O321" i="2"/>
  <c r="G321" i="2"/>
  <c r="I321" i="2"/>
  <c r="E322" i="2" s="1"/>
  <c r="O321" i="1"/>
  <c r="G321" i="1"/>
  <c r="I321" i="1"/>
  <c r="E322" i="1" s="1"/>
  <c r="G285" i="1"/>
  <c r="O285" i="1"/>
  <c r="I285" i="1"/>
  <c r="E286" i="1" s="1"/>
  <c r="G285" i="2"/>
  <c r="I285" i="2"/>
  <c r="E286" i="2" s="1"/>
  <c r="O285" i="2"/>
  <c r="I210" i="1"/>
  <c r="E211" i="1" s="1"/>
  <c r="G210" i="1"/>
  <c r="O210" i="1"/>
  <c r="O250" i="1"/>
  <c r="G250" i="1"/>
  <c r="I250" i="1"/>
  <c r="E251" i="1" s="1"/>
  <c r="G250" i="2"/>
  <c r="I250" i="2"/>
  <c r="E251" i="2" s="1"/>
  <c r="O250" i="2"/>
  <c r="G210" i="2"/>
  <c r="I210" i="2"/>
  <c r="E211" i="2" s="1"/>
  <c r="O210" i="2"/>
  <c r="G172" i="1"/>
  <c r="I172" i="1"/>
  <c r="E173" i="1" s="1"/>
  <c r="O172" i="1"/>
  <c r="I173" i="2"/>
  <c r="E174" i="2" s="1"/>
  <c r="O174" i="2" s="1"/>
  <c r="G173" i="2"/>
  <c r="O173" i="2"/>
  <c r="O139" i="2"/>
  <c r="I139" i="2"/>
  <c r="E140" i="2" s="1"/>
  <c r="G139" i="2"/>
  <c r="N113" i="1"/>
  <c r="O139" i="1"/>
  <c r="I139" i="1"/>
  <c r="E140" i="1" s="1"/>
  <c r="G139" i="1"/>
  <c r="N112" i="1"/>
  <c r="N114" i="1"/>
  <c r="I101" i="2"/>
  <c r="E102" i="2" s="1"/>
  <c r="O102" i="2" s="1"/>
  <c r="G101" i="2"/>
  <c r="O101" i="1"/>
  <c r="I101" i="1"/>
  <c r="E102" i="1" s="1"/>
  <c r="O102" i="1" s="1"/>
  <c r="G101" i="1"/>
  <c r="O101" i="2"/>
  <c r="T93" i="2"/>
  <c r="Q93" i="2"/>
  <c r="R93" i="2" s="1"/>
  <c r="K93" i="2"/>
  <c r="N93" i="2" s="1"/>
  <c r="T93" i="1"/>
  <c r="Q93" i="1"/>
  <c r="R93" i="1" s="1"/>
  <c r="K93" i="1"/>
  <c r="N93" i="1" s="1"/>
  <c r="T92" i="1"/>
  <c r="Q92" i="1"/>
  <c r="R92" i="1" s="1"/>
  <c r="K92" i="1"/>
  <c r="N92" i="1" s="1"/>
  <c r="T92" i="2"/>
  <c r="Q92" i="2"/>
  <c r="R92" i="2" s="1"/>
  <c r="K92" i="2"/>
  <c r="N92" i="2" s="1"/>
  <c r="T91" i="2"/>
  <c r="Q91" i="2"/>
  <c r="R91" i="2" s="1"/>
  <c r="K91" i="2"/>
  <c r="N91" i="2" s="1"/>
  <c r="T91" i="1"/>
  <c r="Q91" i="1"/>
  <c r="R91" i="1" s="1"/>
  <c r="K91" i="1"/>
  <c r="N91" i="1" s="1"/>
  <c r="T90" i="1"/>
  <c r="Q90" i="1"/>
  <c r="R90" i="1" s="1"/>
  <c r="K90" i="1"/>
  <c r="N90" i="1" s="1"/>
  <c r="T90" i="2"/>
  <c r="Q90" i="2"/>
  <c r="R90" i="2" s="1"/>
  <c r="K90" i="2"/>
  <c r="N90" i="2" s="1"/>
  <c r="T89" i="1"/>
  <c r="Q89" i="1"/>
  <c r="R89" i="1" s="1"/>
  <c r="K89" i="1"/>
  <c r="N89" i="1" s="1"/>
  <c r="T89" i="2"/>
  <c r="Q89" i="2"/>
  <c r="R89" i="2" s="1"/>
  <c r="K89" i="2"/>
  <c r="N89" i="2" s="1"/>
  <c r="T88" i="2"/>
  <c r="Q88" i="2"/>
  <c r="R88" i="2" s="1"/>
  <c r="K88" i="2"/>
  <c r="N88" i="2" s="1"/>
  <c r="T88" i="1"/>
  <c r="Q87" i="1"/>
  <c r="R87" i="1" s="1"/>
  <c r="Q88" i="1"/>
  <c r="R88" i="1" s="1"/>
  <c r="K88" i="1"/>
  <c r="N88" i="1" s="1"/>
  <c r="T86" i="1"/>
  <c r="T87" i="1"/>
  <c r="Q86" i="1"/>
  <c r="R86" i="1"/>
  <c r="K87" i="1"/>
  <c r="N87" i="1" s="1"/>
  <c r="T86" i="2"/>
  <c r="T87" i="2"/>
  <c r="Q86" i="2"/>
  <c r="R86" i="2" s="1"/>
  <c r="Q87" i="2"/>
  <c r="R87" i="2" s="1"/>
  <c r="K87" i="2"/>
  <c r="N87" i="2" s="1"/>
  <c r="K86" i="1"/>
  <c r="N86" i="1" s="1"/>
  <c r="K86" i="2"/>
  <c r="N86" i="2" s="1"/>
  <c r="T85" i="1"/>
  <c r="Q85" i="1"/>
  <c r="R85" i="1" s="1"/>
  <c r="K85" i="1"/>
  <c r="N85" i="1" s="1"/>
  <c r="T85" i="2"/>
  <c r="Q85" i="2"/>
  <c r="R85" i="2" s="1"/>
  <c r="K85" i="2"/>
  <c r="N85" i="2" s="1"/>
  <c r="T84" i="2"/>
  <c r="Q84" i="2"/>
  <c r="R84" i="2" s="1"/>
  <c r="K84" i="2"/>
  <c r="N84" i="2" s="1"/>
  <c r="T84" i="1"/>
  <c r="Q84" i="1"/>
  <c r="R84" i="1" s="1"/>
  <c r="K84" i="1"/>
  <c r="N84" i="1" s="1"/>
  <c r="T83" i="1"/>
  <c r="Q83" i="1"/>
  <c r="R83" i="1" s="1"/>
  <c r="K83" i="1"/>
  <c r="N83" i="1" s="1"/>
  <c r="T83" i="2"/>
  <c r="Q83" i="2"/>
  <c r="R83" i="2" s="1"/>
  <c r="K83" i="2"/>
  <c r="N83" i="2" s="1"/>
  <c r="T82" i="2"/>
  <c r="Q82" i="2"/>
  <c r="R82" i="2" s="1"/>
  <c r="K82" i="2"/>
  <c r="N82" i="2" s="1"/>
  <c r="T82" i="1"/>
  <c r="Q82" i="1"/>
  <c r="R82" i="1" s="1"/>
  <c r="K82" i="1"/>
  <c r="N82" i="1" s="1"/>
  <c r="T81" i="2"/>
  <c r="Q81" i="2"/>
  <c r="R81" i="2" s="1"/>
  <c r="K81" i="2"/>
  <c r="N81" i="2" s="1"/>
  <c r="T81" i="1"/>
  <c r="Q81" i="1"/>
  <c r="R81" i="1" s="1"/>
  <c r="K81" i="1"/>
  <c r="N81" i="1" s="1"/>
  <c r="T80" i="2"/>
  <c r="Q80" i="2"/>
  <c r="R80" i="2" s="1"/>
  <c r="K80" i="2"/>
  <c r="N80" i="2" s="1"/>
  <c r="T80" i="1"/>
  <c r="Q80" i="1"/>
  <c r="R80" i="1" s="1"/>
  <c r="K79" i="1"/>
  <c r="N79" i="1" s="1"/>
  <c r="K80" i="1"/>
  <c r="N80" i="1" s="1"/>
  <c r="T79" i="2"/>
  <c r="Q79" i="2"/>
  <c r="R79" i="2" s="1"/>
  <c r="K79" i="2"/>
  <c r="N79" i="2" s="1"/>
  <c r="T79" i="1"/>
  <c r="Q79" i="1"/>
  <c r="R79" i="1" s="1"/>
  <c r="K78" i="1"/>
  <c r="N78" i="1" s="1"/>
  <c r="T78" i="1"/>
  <c r="Q78" i="1"/>
  <c r="R78" i="1" s="1"/>
  <c r="T78" i="2"/>
  <c r="Q78" i="2"/>
  <c r="R78" i="2" s="1"/>
  <c r="K78" i="2"/>
  <c r="N78" i="2" s="1"/>
  <c r="T77" i="1"/>
  <c r="Q77" i="1"/>
  <c r="R77" i="1" s="1"/>
  <c r="K77" i="1"/>
  <c r="N77" i="1" s="1"/>
  <c r="T77" i="2"/>
  <c r="Q77" i="2"/>
  <c r="R77" i="2" s="1"/>
  <c r="K77" i="2"/>
  <c r="N77" i="2" s="1"/>
  <c r="T76" i="1"/>
  <c r="Q76" i="1"/>
  <c r="R76" i="1" s="1"/>
  <c r="K76" i="1"/>
  <c r="N76" i="1" s="1"/>
  <c r="T76" i="2"/>
  <c r="Q76" i="2"/>
  <c r="R76" i="2" s="1"/>
  <c r="K76" i="2"/>
  <c r="N76" i="2" s="1"/>
  <c r="T75" i="2"/>
  <c r="Q75" i="2"/>
  <c r="R75" i="2" s="1"/>
  <c r="K75" i="2"/>
  <c r="N75" i="2" s="1"/>
  <c r="T75" i="1"/>
  <c r="Q75" i="1"/>
  <c r="R75" i="1" s="1"/>
  <c r="K75" i="1"/>
  <c r="N75" i="1" s="1"/>
  <c r="T74" i="2"/>
  <c r="Q74" i="2"/>
  <c r="R74" i="2" s="1"/>
  <c r="K74" i="2"/>
  <c r="N74" i="2" s="1"/>
  <c r="T74" i="1"/>
  <c r="Q74" i="1"/>
  <c r="R74" i="1" s="1"/>
  <c r="K74" i="1"/>
  <c r="N74" i="1" s="1"/>
  <c r="T73" i="1"/>
  <c r="Q73" i="1"/>
  <c r="R73" i="1" s="1"/>
  <c r="K73" i="1"/>
  <c r="N73" i="1" s="1"/>
  <c r="T73" i="2"/>
  <c r="Q73" i="2"/>
  <c r="R73" i="2" s="1"/>
  <c r="K73" i="2"/>
  <c r="N73" i="2" s="1"/>
  <c r="O391" i="1" l="1"/>
  <c r="G391" i="1"/>
  <c r="I391" i="1"/>
  <c r="E392" i="1" s="1"/>
  <c r="O387" i="2"/>
  <c r="I387" i="2"/>
  <c r="E388" i="2" s="1"/>
  <c r="G387" i="2"/>
  <c r="G356" i="1"/>
  <c r="I356" i="1"/>
  <c r="E357" i="1" s="1"/>
  <c r="O356" i="1"/>
  <c r="G354" i="2"/>
  <c r="I354" i="2"/>
  <c r="E355" i="2" s="1"/>
  <c r="O354" i="2"/>
  <c r="O322" i="2"/>
  <c r="G322" i="2"/>
  <c r="I322" i="2"/>
  <c r="E323" i="2" s="1"/>
  <c r="O322" i="1"/>
  <c r="G322" i="1"/>
  <c r="I322" i="1"/>
  <c r="E323" i="1" s="1"/>
  <c r="O286" i="1"/>
  <c r="G286" i="1"/>
  <c r="I286" i="1"/>
  <c r="E287" i="1" s="1"/>
  <c r="I286" i="2"/>
  <c r="E287" i="2" s="1"/>
  <c r="G286" i="2"/>
  <c r="O286" i="2"/>
  <c r="G211" i="1"/>
  <c r="I211" i="1"/>
  <c r="E212" i="1" s="1"/>
  <c r="O211" i="1"/>
  <c r="G251" i="1"/>
  <c r="O251" i="1"/>
  <c r="I251" i="1"/>
  <c r="E252" i="1" s="1"/>
  <c r="G211" i="2"/>
  <c r="I211" i="2"/>
  <c r="E212" i="2" s="1"/>
  <c r="O211" i="2"/>
  <c r="G251" i="2"/>
  <c r="I251" i="2"/>
  <c r="E252" i="2" s="1"/>
  <c r="O251" i="2"/>
  <c r="I173" i="1"/>
  <c r="E174" i="1" s="1"/>
  <c r="G173" i="1"/>
  <c r="O173" i="1"/>
  <c r="I174" i="2"/>
  <c r="E175" i="2" s="1"/>
  <c r="G174" i="2"/>
  <c r="I140" i="2"/>
  <c r="E141" i="2" s="1"/>
  <c r="G140" i="2"/>
  <c r="O140" i="2"/>
  <c r="G102" i="2"/>
  <c r="I102" i="2"/>
  <c r="E103" i="2" s="1"/>
  <c r="I102" i="1"/>
  <c r="E103" i="1" s="1"/>
  <c r="G102" i="1"/>
  <c r="I140" i="1"/>
  <c r="E141" i="1" s="1"/>
  <c r="G140" i="1"/>
  <c r="O140" i="1"/>
  <c r="T72" i="2"/>
  <c r="Q72" i="2"/>
  <c r="R72" i="2" s="1"/>
  <c r="K72" i="2"/>
  <c r="N72" i="2" s="1"/>
  <c r="T72" i="1"/>
  <c r="Q72" i="1"/>
  <c r="R72" i="1" s="1"/>
  <c r="K72" i="1"/>
  <c r="N72" i="1" s="1"/>
  <c r="O392" i="1" l="1"/>
  <c r="G392" i="1"/>
  <c r="I392" i="1"/>
  <c r="E393" i="1" s="1"/>
  <c r="I388" i="2"/>
  <c r="E389" i="2" s="1"/>
  <c r="G388" i="2"/>
  <c r="O388" i="2"/>
  <c r="G357" i="1"/>
  <c r="I357" i="1"/>
  <c r="E358" i="1" s="1"/>
  <c r="O357" i="1"/>
  <c r="O355" i="2"/>
  <c r="I355" i="2"/>
  <c r="E356" i="2" s="1"/>
  <c r="G355" i="2"/>
  <c r="O323" i="2"/>
  <c r="G323" i="2"/>
  <c r="I323" i="2"/>
  <c r="E324" i="2" s="1"/>
  <c r="I323" i="1"/>
  <c r="E324" i="1" s="1"/>
  <c r="G323" i="1"/>
  <c r="O323" i="1"/>
  <c r="O287" i="1"/>
  <c r="G287" i="1"/>
  <c r="I287" i="1"/>
  <c r="E288" i="1" s="1"/>
  <c r="O287" i="2"/>
  <c r="I287" i="2"/>
  <c r="E288" i="2" s="1"/>
  <c r="G287" i="2"/>
  <c r="I212" i="1"/>
  <c r="E213" i="1" s="1"/>
  <c r="G212" i="1"/>
  <c r="O212" i="1"/>
  <c r="I252" i="1"/>
  <c r="E253" i="1" s="1"/>
  <c r="O252" i="1"/>
  <c r="G252" i="1"/>
  <c r="G212" i="2"/>
  <c r="I212" i="2"/>
  <c r="E213" i="2" s="1"/>
  <c r="O212" i="2"/>
  <c r="I252" i="2"/>
  <c r="E253" i="2" s="1"/>
  <c r="G252" i="2"/>
  <c r="O252" i="2"/>
  <c r="G175" i="2"/>
  <c r="I175" i="2"/>
  <c r="E176" i="2" s="1"/>
  <c r="O175" i="2"/>
  <c r="I174" i="1"/>
  <c r="E175" i="1" s="1"/>
  <c r="G174" i="1"/>
  <c r="O174" i="1"/>
  <c r="I103" i="2"/>
  <c r="E104" i="2" s="1"/>
  <c r="G103" i="2"/>
  <c r="O103" i="2"/>
  <c r="I141" i="2"/>
  <c r="E142" i="2" s="1"/>
  <c r="G141" i="2"/>
  <c r="O141" i="2"/>
  <c r="I141" i="1"/>
  <c r="E142" i="1" s="1"/>
  <c r="G141" i="1"/>
  <c r="O141" i="1"/>
  <c r="G103" i="1"/>
  <c r="I103" i="1"/>
  <c r="E104" i="1" s="1"/>
  <c r="O103" i="1"/>
  <c r="T71" i="1"/>
  <c r="Q71" i="1"/>
  <c r="R71" i="1" s="1"/>
  <c r="K71" i="1"/>
  <c r="N71" i="1" s="1"/>
  <c r="T71" i="2"/>
  <c r="Q71" i="2"/>
  <c r="R71" i="2" s="1"/>
  <c r="K71" i="2"/>
  <c r="N71" i="2" s="1"/>
  <c r="T70" i="2"/>
  <c r="Q70" i="2"/>
  <c r="R70" i="2" s="1"/>
  <c r="K70" i="2"/>
  <c r="N70" i="2" s="1"/>
  <c r="T70" i="1"/>
  <c r="Q70" i="1"/>
  <c r="R70" i="1" s="1"/>
  <c r="K70" i="1"/>
  <c r="N70" i="1" s="1"/>
  <c r="K69" i="1"/>
  <c r="N69" i="1" s="1"/>
  <c r="T69" i="1"/>
  <c r="Q69" i="1"/>
  <c r="R69" i="1" s="1"/>
  <c r="T69" i="2"/>
  <c r="Q69" i="2"/>
  <c r="R69" i="2" s="1"/>
  <c r="K69" i="2"/>
  <c r="N69" i="2" s="1"/>
  <c r="T68" i="2"/>
  <c r="Q68" i="2"/>
  <c r="R68" i="2" s="1"/>
  <c r="K68" i="2"/>
  <c r="N68" i="2" s="1"/>
  <c r="T68" i="1"/>
  <c r="Q68" i="1"/>
  <c r="R68" i="1" s="1"/>
  <c r="K68" i="1"/>
  <c r="N68" i="1" s="1"/>
  <c r="G67" i="2"/>
  <c r="T67" i="2"/>
  <c r="Q67" i="2"/>
  <c r="R67" i="2" s="1"/>
  <c r="K67" i="2"/>
  <c r="N67" i="2" s="1"/>
  <c r="I67" i="2"/>
  <c r="E68" i="2" s="1"/>
  <c r="T67" i="1"/>
  <c r="Q67" i="1"/>
  <c r="R67" i="1" s="1"/>
  <c r="K67" i="1"/>
  <c r="N67" i="1" s="1"/>
  <c r="O67" i="1" s="1"/>
  <c r="I67" i="1"/>
  <c r="E68" i="1" s="1"/>
  <c r="G67" i="1"/>
  <c r="T63" i="2"/>
  <c r="Q63" i="2"/>
  <c r="R63" i="2" s="1"/>
  <c r="K63" i="2"/>
  <c r="N63" i="2" s="1"/>
  <c r="T63" i="1"/>
  <c r="Q63" i="1"/>
  <c r="R63" i="1" s="1"/>
  <c r="K63" i="1"/>
  <c r="N63" i="1" s="1"/>
  <c r="T62" i="1"/>
  <c r="Q62" i="1"/>
  <c r="R62" i="1" s="1"/>
  <c r="K62" i="1"/>
  <c r="N62" i="1" s="1"/>
  <c r="T62" i="2"/>
  <c r="Q62" i="2"/>
  <c r="R62" i="2" s="1"/>
  <c r="K62" i="2"/>
  <c r="N62" i="2" s="1"/>
  <c r="T61" i="1"/>
  <c r="Q61" i="1"/>
  <c r="R61" i="1" s="1"/>
  <c r="K61" i="1"/>
  <c r="N61" i="1" s="1"/>
  <c r="T61" i="2"/>
  <c r="Q61" i="2"/>
  <c r="R61" i="2" s="1"/>
  <c r="K61" i="2"/>
  <c r="N61" i="2" s="1"/>
  <c r="T60" i="1"/>
  <c r="Q60" i="1"/>
  <c r="R60" i="1" s="1"/>
  <c r="K60" i="1"/>
  <c r="N60" i="1" s="1"/>
  <c r="T60" i="2"/>
  <c r="Q60" i="2"/>
  <c r="R60" i="2" s="1"/>
  <c r="K60" i="2"/>
  <c r="N60" i="2" s="1"/>
  <c r="T59" i="1"/>
  <c r="Q59" i="1"/>
  <c r="R59" i="1" s="1"/>
  <c r="K59" i="1"/>
  <c r="N59" i="1" s="1"/>
  <c r="T59" i="2"/>
  <c r="Q59" i="2"/>
  <c r="R59" i="2" s="1"/>
  <c r="K59" i="2"/>
  <c r="N59" i="2" s="1"/>
  <c r="T58" i="1"/>
  <c r="Q58" i="1"/>
  <c r="R58" i="1" s="1"/>
  <c r="K58" i="1"/>
  <c r="N58" i="1" s="1"/>
  <c r="T58" i="2"/>
  <c r="Q58" i="2"/>
  <c r="R58" i="2" s="1"/>
  <c r="K58" i="2"/>
  <c r="N58" i="2" s="1"/>
  <c r="T57" i="2"/>
  <c r="Q57" i="2"/>
  <c r="R57" i="2" s="1"/>
  <c r="K57" i="2"/>
  <c r="T57" i="1"/>
  <c r="Q57" i="1"/>
  <c r="R57" i="1" s="1"/>
  <c r="K57" i="1"/>
  <c r="N57" i="1" s="1"/>
  <c r="T56" i="1"/>
  <c r="Q56" i="1"/>
  <c r="R56" i="1" s="1"/>
  <c r="K56" i="1"/>
  <c r="N56" i="1" s="1"/>
  <c r="T56" i="2"/>
  <c r="Q56" i="2"/>
  <c r="R56" i="2" s="1"/>
  <c r="K56" i="2"/>
  <c r="N56" i="2" s="1"/>
  <c r="T55" i="2"/>
  <c r="Q55" i="2"/>
  <c r="R55" i="2" s="1"/>
  <c r="K55" i="2"/>
  <c r="N55" i="2" s="1"/>
  <c r="T55" i="1"/>
  <c r="Q55" i="1"/>
  <c r="R55" i="1" s="1"/>
  <c r="K55" i="1"/>
  <c r="N55" i="1" s="1"/>
  <c r="T54" i="1"/>
  <c r="Q54" i="1"/>
  <c r="R54" i="1" s="1"/>
  <c r="K54" i="1"/>
  <c r="N54" i="1" s="1"/>
  <c r="T54" i="2"/>
  <c r="Q54" i="2"/>
  <c r="R54" i="2" s="1"/>
  <c r="K54" i="2"/>
  <c r="N54" i="2" s="1"/>
  <c r="T53" i="2"/>
  <c r="Q53" i="2"/>
  <c r="R53" i="2" s="1"/>
  <c r="K53" i="2"/>
  <c r="N53" i="2" s="1"/>
  <c r="T53" i="1"/>
  <c r="Q53" i="1"/>
  <c r="R53" i="1" s="1"/>
  <c r="K53" i="1"/>
  <c r="N53" i="1" s="1"/>
  <c r="T52" i="2"/>
  <c r="Q52" i="2"/>
  <c r="R52" i="2" s="1"/>
  <c r="K52" i="2"/>
  <c r="N52" i="2" s="1"/>
  <c r="T52" i="1"/>
  <c r="Q52" i="1"/>
  <c r="R52" i="1" s="1"/>
  <c r="K52" i="1"/>
  <c r="N52" i="1" s="1"/>
  <c r="T51" i="2"/>
  <c r="Q51" i="2"/>
  <c r="R51" i="2" s="1"/>
  <c r="K51" i="2"/>
  <c r="N51" i="2" s="1"/>
  <c r="T51" i="1"/>
  <c r="Q51" i="1"/>
  <c r="R51" i="1" s="1"/>
  <c r="K51" i="1"/>
  <c r="N51" i="1" s="1"/>
  <c r="G393" i="1" l="1"/>
  <c r="I393" i="1"/>
  <c r="E394" i="1" s="1"/>
  <c r="O393" i="1"/>
  <c r="O389" i="2"/>
  <c r="I389" i="2"/>
  <c r="E390" i="2" s="1"/>
  <c r="G389" i="2"/>
  <c r="O358" i="1"/>
  <c r="I358" i="1"/>
  <c r="E359" i="1" s="1"/>
  <c r="G358" i="1"/>
  <c r="O356" i="2"/>
  <c r="I356" i="2"/>
  <c r="E357" i="2" s="1"/>
  <c r="G356" i="2"/>
  <c r="O324" i="2"/>
  <c r="I324" i="2"/>
  <c r="E325" i="2" s="1"/>
  <c r="G324" i="2"/>
  <c r="I324" i="1"/>
  <c r="E325" i="1" s="1"/>
  <c r="G324" i="1"/>
  <c r="O324" i="1"/>
  <c r="I288" i="1"/>
  <c r="E289" i="1" s="1"/>
  <c r="G288" i="1"/>
  <c r="O288" i="1"/>
  <c r="I288" i="2"/>
  <c r="E289" i="2" s="1"/>
  <c r="G288" i="2"/>
  <c r="O288" i="2"/>
  <c r="G213" i="1"/>
  <c r="I213" i="1"/>
  <c r="E214" i="1" s="1"/>
  <c r="O213" i="1"/>
  <c r="I253" i="1"/>
  <c r="E254" i="1" s="1"/>
  <c r="G253" i="1"/>
  <c r="O253" i="1"/>
  <c r="I253" i="2"/>
  <c r="E254" i="2" s="1"/>
  <c r="G253" i="2"/>
  <c r="O253" i="2"/>
  <c r="G213" i="2"/>
  <c r="I213" i="2"/>
  <c r="E214" i="2" s="1"/>
  <c r="O213" i="2"/>
  <c r="I176" i="2"/>
  <c r="E177" i="2" s="1"/>
  <c r="G176" i="2"/>
  <c r="O176" i="2"/>
  <c r="I175" i="1"/>
  <c r="E176" i="1" s="1"/>
  <c r="G175" i="1"/>
  <c r="O175" i="1"/>
  <c r="I142" i="2"/>
  <c r="E143" i="2" s="1"/>
  <c r="G142" i="2"/>
  <c r="O142" i="2"/>
  <c r="I104" i="2"/>
  <c r="E105" i="2" s="1"/>
  <c r="G104" i="2"/>
  <c r="O104" i="2"/>
  <c r="I142" i="1"/>
  <c r="E143" i="1" s="1"/>
  <c r="G142" i="1"/>
  <c r="O142" i="1"/>
  <c r="I104" i="1"/>
  <c r="E105" i="1" s="1"/>
  <c r="G104" i="1"/>
  <c r="O104" i="1"/>
  <c r="O68" i="1"/>
  <c r="G68" i="1"/>
  <c r="I68" i="1"/>
  <c r="E69" i="1" s="1"/>
  <c r="O68" i="2"/>
  <c r="I68" i="2"/>
  <c r="E69" i="2" s="1"/>
  <c r="I69" i="2" s="1"/>
  <c r="E70" i="2" s="1"/>
  <c r="G68" i="2"/>
  <c r="O67" i="2"/>
  <c r="N57" i="2"/>
  <c r="T50" i="2"/>
  <c r="Q50" i="2"/>
  <c r="R50" i="2" s="1"/>
  <c r="K50" i="2"/>
  <c r="N50" i="2" s="1"/>
  <c r="T50" i="1"/>
  <c r="Q50" i="1"/>
  <c r="R50" i="1" s="1"/>
  <c r="K50" i="1"/>
  <c r="N50" i="1" s="1"/>
  <c r="T49" i="2"/>
  <c r="Q49" i="2"/>
  <c r="R49" i="2" s="1"/>
  <c r="K49" i="2"/>
  <c r="N49" i="2" s="1"/>
  <c r="T49" i="1"/>
  <c r="Q49" i="1"/>
  <c r="R49" i="1" s="1"/>
  <c r="K49" i="1"/>
  <c r="N49" i="1" s="1"/>
  <c r="T48" i="2"/>
  <c r="Q48" i="2"/>
  <c r="R48" i="2" s="1"/>
  <c r="K48" i="2"/>
  <c r="N48" i="2" s="1"/>
  <c r="T48" i="1"/>
  <c r="Q48" i="1"/>
  <c r="R48" i="1" s="1"/>
  <c r="K48" i="1"/>
  <c r="N48" i="1" s="1"/>
  <c r="T47" i="1"/>
  <c r="Q47" i="1"/>
  <c r="R47" i="1" s="1"/>
  <c r="K47" i="1"/>
  <c r="N47" i="1" s="1"/>
  <c r="T47" i="2"/>
  <c r="Q47" i="2"/>
  <c r="R47" i="2" s="1"/>
  <c r="K47" i="2"/>
  <c r="N47" i="2" s="1"/>
  <c r="T46" i="1"/>
  <c r="Q46" i="1"/>
  <c r="R46" i="1" s="1"/>
  <c r="K46" i="1"/>
  <c r="N46" i="1" s="1"/>
  <c r="T46" i="2"/>
  <c r="Q46" i="2"/>
  <c r="R46" i="2" s="1"/>
  <c r="K46" i="2"/>
  <c r="N46" i="2" s="1"/>
  <c r="T45" i="1"/>
  <c r="Q45" i="1"/>
  <c r="R45" i="1" s="1"/>
  <c r="K45" i="1"/>
  <c r="N45" i="1" s="1"/>
  <c r="T45" i="2"/>
  <c r="Q45" i="2"/>
  <c r="R45" i="2" s="1"/>
  <c r="K45" i="2"/>
  <c r="N45" i="2" s="1"/>
  <c r="T44" i="2"/>
  <c r="Q44" i="2"/>
  <c r="R44" i="2" s="1"/>
  <c r="K44" i="2"/>
  <c r="N44" i="2" s="1"/>
  <c r="T44" i="1"/>
  <c r="Q44" i="1"/>
  <c r="R44" i="1" s="1"/>
  <c r="K44" i="1"/>
  <c r="N44" i="1" s="1"/>
  <c r="T42" i="1"/>
  <c r="T43" i="1"/>
  <c r="Q42" i="1"/>
  <c r="R42" i="1" s="1"/>
  <c r="Q43" i="1"/>
  <c r="R43" i="1" s="1"/>
  <c r="K42" i="1"/>
  <c r="N42" i="1" s="1"/>
  <c r="K43" i="1"/>
  <c r="N43" i="1" s="1"/>
  <c r="T42" i="2"/>
  <c r="T43" i="2"/>
  <c r="K43" i="2"/>
  <c r="N43" i="2" s="1"/>
  <c r="K42" i="2"/>
  <c r="N42" i="2" s="1"/>
  <c r="Q42" i="2"/>
  <c r="R42" i="2" s="1"/>
  <c r="Q43" i="2"/>
  <c r="R43" i="2" s="1"/>
  <c r="T41" i="1"/>
  <c r="Q41" i="1"/>
  <c r="R41" i="1" s="1"/>
  <c r="K41" i="1"/>
  <c r="N41" i="1" s="1"/>
  <c r="T41" i="2"/>
  <c r="Q41" i="2"/>
  <c r="R41" i="2" s="1"/>
  <c r="K41" i="2"/>
  <c r="N41" i="2" s="1"/>
  <c r="T40" i="1"/>
  <c r="Q40" i="1"/>
  <c r="R40" i="1" s="1"/>
  <c r="K40" i="1"/>
  <c r="N40" i="1" s="1"/>
  <c r="T40" i="2"/>
  <c r="Q40" i="2"/>
  <c r="R40" i="2" s="1"/>
  <c r="K40" i="2"/>
  <c r="N40" i="2" s="1"/>
  <c r="T39" i="2"/>
  <c r="Q39" i="2"/>
  <c r="R39" i="2" s="1"/>
  <c r="K39" i="2"/>
  <c r="N39" i="2" s="1"/>
  <c r="T39" i="1"/>
  <c r="Q39" i="1"/>
  <c r="R39" i="1" s="1"/>
  <c r="K39" i="1"/>
  <c r="N39" i="1" s="1"/>
  <c r="T38" i="1"/>
  <c r="Q38" i="1"/>
  <c r="R38" i="1" s="1"/>
  <c r="K38" i="1"/>
  <c r="N38" i="1" s="1"/>
  <c r="T38" i="2"/>
  <c r="Q38" i="2"/>
  <c r="R38" i="2" s="1"/>
  <c r="K38" i="2"/>
  <c r="N38" i="2" s="1"/>
  <c r="T37" i="2"/>
  <c r="Q37" i="2"/>
  <c r="R37" i="2" s="1"/>
  <c r="K37" i="2"/>
  <c r="N37" i="2" s="1"/>
  <c r="T37" i="1"/>
  <c r="Q37" i="1"/>
  <c r="R37" i="1" s="1"/>
  <c r="K37" i="1"/>
  <c r="N37" i="1" s="1"/>
  <c r="T36" i="2"/>
  <c r="Q36" i="2"/>
  <c r="R36" i="2" s="1"/>
  <c r="K36" i="2"/>
  <c r="N36" i="2" s="1"/>
  <c r="T36" i="1"/>
  <c r="Q36" i="1"/>
  <c r="R36" i="1" s="1"/>
  <c r="K36" i="1"/>
  <c r="N36" i="1" s="1"/>
  <c r="T34" i="1"/>
  <c r="T35" i="1"/>
  <c r="Q34" i="1"/>
  <c r="R34" i="1" s="1"/>
  <c r="Q35" i="1"/>
  <c r="R35" i="1" s="1"/>
  <c r="K34" i="1"/>
  <c r="N34" i="1" s="1"/>
  <c r="K35" i="1"/>
  <c r="N35" i="1" s="1"/>
  <c r="T34" i="2"/>
  <c r="T35" i="2"/>
  <c r="Q34" i="2"/>
  <c r="R34" i="2" s="1"/>
  <c r="Q35" i="2"/>
  <c r="R35" i="2" s="1"/>
  <c r="K35" i="2"/>
  <c r="N35" i="2" s="1"/>
  <c r="K34" i="2"/>
  <c r="N34" i="2" s="1"/>
  <c r="K33" i="2"/>
  <c r="N33" i="2" s="1"/>
  <c r="O33" i="2" s="1"/>
  <c r="T33" i="2"/>
  <c r="Q33" i="2"/>
  <c r="R33" i="2" s="1"/>
  <c r="I33" i="2"/>
  <c r="E34" i="2" s="1"/>
  <c r="I34" i="2" s="1"/>
  <c r="E35" i="2" s="1"/>
  <c r="G33" i="2"/>
  <c r="K33" i="1"/>
  <c r="N33" i="1" s="1"/>
  <c r="O33" i="1" s="1"/>
  <c r="T33" i="1"/>
  <c r="Q33" i="1"/>
  <c r="R33" i="1" s="1"/>
  <c r="I33" i="1"/>
  <c r="E34" i="1" s="1"/>
  <c r="G33" i="1"/>
  <c r="T29" i="2"/>
  <c r="Q29" i="2"/>
  <c r="R29" i="2" s="1"/>
  <c r="K29" i="2"/>
  <c r="N29" i="2" s="1"/>
  <c r="T29" i="1"/>
  <c r="Q29" i="1"/>
  <c r="R29" i="1" s="1"/>
  <c r="K29" i="1"/>
  <c r="N29" i="1" s="1"/>
  <c r="T28" i="1"/>
  <c r="Q28" i="1"/>
  <c r="R28" i="1" s="1"/>
  <c r="K28" i="1"/>
  <c r="N28" i="1" s="1"/>
  <c r="T28" i="2"/>
  <c r="Q28" i="2"/>
  <c r="R28" i="2" s="1"/>
  <c r="K28" i="2"/>
  <c r="N28" i="2" s="1"/>
  <c r="T27" i="2"/>
  <c r="Q27" i="2"/>
  <c r="R27" i="2" s="1"/>
  <c r="K27" i="2"/>
  <c r="N27" i="2" s="1"/>
  <c r="T27" i="1"/>
  <c r="Q27" i="1"/>
  <c r="R27" i="1" s="1"/>
  <c r="K27" i="1"/>
  <c r="N27" i="1" s="1"/>
  <c r="T26" i="2"/>
  <c r="Q26" i="2"/>
  <c r="R26" i="2" s="1"/>
  <c r="K26" i="2"/>
  <c r="N26" i="2" s="1"/>
  <c r="T26" i="1"/>
  <c r="Q26" i="1"/>
  <c r="R26" i="1" s="1"/>
  <c r="K26" i="1"/>
  <c r="N26" i="1" s="1"/>
  <c r="T25" i="2"/>
  <c r="Q25" i="2"/>
  <c r="R25" i="2" s="1"/>
  <c r="K25" i="2"/>
  <c r="N25" i="2" s="1"/>
  <c r="T25" i="1"/>
  <c r="Q25" i="1"/>
  <c r="R25" i="1" s="1"/>
  <c r="K25" i="1"/>
  <c r="N25" i="1" s="1"/>
  <c r="T24" i="1"/>
  <c r="Q24" i="1"/>
  <c r="R24" i="1" s="1"/>
  <c r="K24" i="1"/>
  <c r="N24" i="1" s="1"/>
  <c r="T24" i="2"/>
  <c r="Q24" i="2"/>
  <c r="R24" i="2" s="1"/>
  <c r="K24" i="2"/>
  <c r="N24" i="2" s="1"/>
  <c r="G394" i="1" l="1"/>
  <c r="I394" i="1"/>
  <c r="E395" i="1" s="1"/>
  <c r="O394" i="1"/>
  <c r="O390" i="2"/>
  <c r="I390" i="2"/>
  <c r="E391" i="2" s="1"/>
  <c r="G390" i="2"/>
  <c r="O359" i="1"/>
  <c r="I359" i="1"/>
  <c r="E360" i="1" s="1"/>
  <c r="G359" i="1"/>
  <c r="O357" i="2"/>
  <c r="G357" i="2"/>
  <c r="I357" i="2"/>
  <c r="E358" i="2" s="1"/>
  <c r="O325" i="2"/>
  <c r="G325" i="2"/>
  <c r="I325" i="2"/>
  <c r="E326" i="2" s="1"/>
  <c r="O325" i="1"/>
  <c r="I325" i="1"/>
  <c r="E326" i="1" s="1"/>
  <c r="G325" i="1"/>
  <c r="O289" i="1"/>
  <c r="I289" i="1"/>
  <c r="E290" i="1" s="1"/>
  <c r="G289" i="1"/>
  <c r="I289" i="2"/>
  <c r="E290" i="2" s="1"/>
  <c r="G289" i="2"/>
  <c r="O289" i="2"/>
  <c r="I214" i="1"/>
  <c r="E215" i="1" s="1"/>
  <c r="G214" i="1"/>
  <c r="O214" i="1"/>
  <c r="G254" i="1"/>
  <c r="I254" i="1"/>
  <c r="E255" i="1" s="1"/>
  <c r="O254" i="1"/>
  <c r="G214" i="2"/>
  <c r="I214" i="2"/>
  <c r="E215" i="2" s="1"/>
  <c r="O214" i="2"/>
  <c r="G254" i="2"/>
  <c r="I254" i="2"/>
  <c r="E255" i="2" s="1"/>
  <c r="O254" i="2"/>
  <c r="I177" i="2"/>
  <c r="E178" i="2" s="1"/>
  <c r="G177" i="2"/>
  <c r="O177" i="2"/>
  <c r="I176" i="1"/>
  <c r="E177" i="1" s="1"/>
  <c r="G176" i="1"/>
  <c r="O176" i="1"/>
  <c r="I105" i="2"/>
  <c r="E106" i="2" s="1"/>
  <c r="G105" i="2"/>
  <c r="O105" i="2"/>
  <c r="I143" i="2"/>
  <c r="E144" i="2" s="1"/>
  <c r="G143" i="2"/>
  <c r="O143" i="2"/>
  <c r="G105" i="1"/>
  <c r="I105" i="1"/>
  <c r="E106" i="1" s="1"/>
  <c r="O105" i="1"/>
  <c r="I143" i="1"/>
  <c r="E144" i="1" s="1"/>
  <c r="G143" i="1"/>
  <c r="O143" i="1"/>
  <c r="G69" i="1"/>
  <c r="I69" i="1"/>
  <c r="E70" i="1" s="1"/>
  <c r="O69" i="1"/>
  <c r="I70" i="2"/>
  <c r="E71" i="2" s="1"/>
  <c r="G70" i="2"/>
  <c r="O70" i="2"/>
  <c r="G69" i="2"/>
  <c r="O69" i="2"/>
  <c r="O34" i="2"/>
  <c r="O35" i="2"/>
  <c r="G34" i="1"/>
  <c r="I34" i="1"/>
  <c r="E35" i="1" s="1"/>
  <c r="O34" i="1"/>
  <c r="G35" i="2"/>
  <c r="I35" i="2"/>
  <c r="E36" i="2" s="1"/>
  <c r="O36" i="2" s="1"/>
  <c r="G34" i="2"/>
  <c r="T23" i="1"/>
  <c r="Q23" i="1"/>
  <c r="R23" i="1" s="1"/>
  <c r="K23" i="1"/>
  <c r="N23" i="1" s="1"/>
  <c r="T23" i="2"/>
  <c r="Q23" i="2"/>
  <c r="R23" i="2" s="1"/>
  <c r="K23" i="2"/>
  <c r="N23" i="2" s="1"/>
  <c r="T22" i="2"/>
  <c r="Q22" i="2"/>
  <c r="R22" i="2" s="1"/>
  <c r="K22" i="2"/>
  <c r="N22" i="2" s="1"/>
  <c r="T22" i="1"/>
  <c r="Q22" i="1"/>
  <c r="R22" i="1" s="1"/>
  <c r="K22" i="1"/>
  <c r="N22" i="1" s="1"/>
  <c r="T21" i="2"/>
  <c r="Q21" i="2"/>
  <c r="R21" i="2" s="1"/>
  <c r="K21" i="2"/>
  <c r="N21" i="2" s="1"/>
  <c r="T21" i="1"/>
  <c r="Q21" i="1"/>
  <c r="R21" i="1" s="1"/>
  <c r="K21" i="1"/>
  <c r="N21" i="1" s="1"/>
  <c r="T20" i="2"/>
  <c r="Q20" i="2"/>
  <c r="R20" i="2" s="1"/>
  <c r="K20" i="2"/>
  <c r="N20" i="2" s="1"/>
  <c r="T20" i="1"/>
  <c r="Q20" i="1"/>
  <c r="R20" i="1" s="1"/>
  <c r="K20" i="1"/>
  <c r="N20" i="1" s="1"/>
  <c r="T19" i="1"/>
  <c r="Q19" i="1"/>
  <c r="R19" i="1" s="1"/>
  <c r="K19" i="1"/>
  <c r="N19" i="1" s="1"/>
  <c r="T18" i="2"/>
  <c r="T19" i="2"/>
  <c r="Q18" i="2"/>
  <c r="Q19" i="2"/>
  <c r="R19" i="2" s="1"/>
  <c r="N19" i="2"/>
  <c r="I395" i="1" l="1"/>
  <c r="E396" i="1" s="1"/>
  <c r="O395" i="1"/>
  <c r="G395" i="1"/>
  <c r="I391" i="2"/>
  <c r="E392" i="2" s="1"/>
  <c r="O391" i="2"/>
  <c r="G391" i="2"/>
  <c r="O360" i="1"/>
  <c r="G360" i="1"/>
  <c r="I360" i="1"/>
  <c r="E361" i="1" s="1"/>
  <c r="O358" i="2"/>
  <c r="I358" i="2"/>
  <c r="E359" i="2" s="1"/>
  <c r="G358" i="2"/>
  <c r="O326" i="2"/>
  <c r="G326" i="2"/>
  <c r="I326" i="2"/>
  <c r="E327" i="2" s="1"/>
  <c r="G326" i="1"/>
  <c r="I326" i="1"/>
  <c r="E327" i="1" s="1"/>
  <c r="O326" i="1"/>
  <c r="I290" i="1"/>
  <c r="E291" i="1" s="1"/>
  <c r="G290" i="1"/>
  <c r="O290" i="1"/>
  <c r="I290" i="2"/>
  <c r="E291" i="2" s="1"/>
  <c r="G290" i="2"/>
  <c r="O290" i="2"/>
  <c r="I215" i="1"/>
  <c r="E216" i="1" s="1"/>
  <c r="G215" i="1"/>
  <c r="O215" i="1"/>
  <c r="I255" i="1"/>
  <c r="E256" i="1" s="1"/>
  <c r="G255" i="1"/>
  <c r="O255" i="1"/>
  <c r="G255" i="2"/>
  <c r="I255" i="2"/>
  <c r="E256" i="2" s="1"/>
  <c r="O255" i="2"/>
  <c r="I215" i="2"/>
  <c r="E216" i="2" s="1"/>
  <c r="G215" i="2"/>
  <c r="O215" i="2"/>
  <c r="I178" i="2"/>
  <c r="E179" i="2" s="1"/>
  <c r="G178" i="2"/>
  <c r="O178" i="2"/>
  <c r="I177" i="1"/>
  <c r="E178" i="1" s="1"/>
  <c r="G177" i="1"/>
  <c r="O177" i="1"/>
  <c r="I144" i="2"/>
  <c r="E145" i="2" s="1"/>
  <c r="G144" i="2"/>
  <c r="O144" i="2"/>
  <c r="G106" i="2"/>
  <c r="I106" i="2"/>
  <c r="E107" i="2" s="1"/>
  <c r="O106" i="2"/>
  <c r="G144" i="1"/>
  <c r="I144" i="1"/>
  <c r="E145" i="1" s="1"/>
  <c r="O144" i="1"/>
  <c r="I106" i="1"/>
  <c r="E107" i="1" s="1"/>
  <c r="G106" i="1"/>
  <c r="O106" i="1"/>
  <c r="I70" i="1"/>
  <c r="E71" i="1" s="1"/>
  <c r="G70" i="1"/>
  <c r="O70" i="1"/>
  <c r="I71" i="2"/>
  <c r="E72" i="2" s="1"/>
  <c r="G71" i="2"/>
  <c r="O71" i="2"/>
  <c r="I35" i="1"/>
  <c r="E36" i="1" s="1"/>
  <c r="G35" i="1"/>
  <c r="O35" i="1"/>
  <c r="I36" i="2"/>
  <c r="E37" i="2" s="1"/>
  <c r="G36" i="2"/>
  <c r="R18" i="2"/>
  <c r="N18" i="2"/>
  <c r="T18" i="1"/>
  <c r="Q18" i="1"/>
  <c r="R18" i="1" s="1"/>
  <c r="K18" i="1"/>
  <c r="N18" i="1" s="1"/>
  <c r="T17" i="2"/>
  <c r="Q17" i="2"/>
  <c r="R17" i="2" s="1"/>
  <c r="K17" i="2"/>
  <c r="N17" i="2" s="1"/>
  <c r="T17" i="1"/>
  <c r="Q17" i="1"/>
  <c r="R17" i="1" s="1"/>
  <c r="K17" i="1"/>
  <c r="N17" i="1" s="1"/>
  <c r="N15" i="1"/>
  <c r="N16" i="1"/>
  <c r="T16" i="2"/>
  <c r="Q16" i="2"/>
  <c r="R16" i="2" s="1"/>
  <c r="N16" i="2"/>
  <c r="T16" i="1"/>
  <c r="Q16" i="1"/>
  <c r="R16" i="1" s="1"/>
  <c r="T15" i="1"/>
  <c r="Q15" i="1"/>
  <c r="R15" i="1" s="1"/>
  <c r="T15" i="2"/>
  <c r="Q15" i="2"/>
  <c r="R15" i="2" s="1"/>
  <c r="N15" i="2"/>
  <c r="N14" i="2"/>
  <c r="O396" i="1" l="1"/>
  <c r="I396" i="1"/>
  <c r="G396" i="1"/>
  <c r="G392" i="2"/>
  <c r="O392" i="2"/>
  <c r="I392" i="2"/>
  <c r="E393" i="2" s="1"/>
  <c r="O361" i="1"/>
  <c r="I361" i="1"/>
  <c r="E362" i="1" s="1"/>
  <c r="G361" i="1"/>
  <c r="O359" i="2"/>
  <c r="I359" i="2"/>
  <c r="E360" i="2" s="1"/>
  <c r="G359" i="2"/>
  <c r="G327" i="2"/>
  <c r="I327" i="2"/>
  <c r="E328" i="2" s="1"/>
  <c r="O327" i="2"/>
  <c r="O327" i="1"/>
  <c r="G327" i="1"/>
  <c r="I327" i="1"/>
  <c r="E328" i="1" s="1"/>
  <c r="I291" i="1"/>
  <c r="E292" i="1" s="1"/>
  <c r="G291" i="1"/>
  <c r="O291" i="1"/>
  <c r="I291" i="2"/>
  <c r="E292" i="2" s="1"/>
  <c r="I292" i="2" s="1"/>
  <c r="G291" i="2"/>
  <c r="O291" i="2"/>
  <c r="G216" i="1"/>
  <c r="I216" i="1"/>
  <c r="E217" i="1" s="1"/>
  <c r="O216" i="1"/>
  <c r="G256" i="1"/>
  <c r="O256" i="1"/>
  <c r="I256" i="1"/>
  <c r="E257" i="1" s="1"/>
  <c r="I216" i="2"/>
  <c r="E217" i="2" s="1"/>
  <c r="G216" i="2"/>
  <c r="O216" i="2"/>
  <c r="G256" i="2"/>
  <c r="O256" i="2"/>
  <c r="I256" i="2"/>
  <c r="E257" i="2" s="1"/>
  <c r="O257" i="2" s="1"/>
  <c r="G179" i="2"/>
  <c r="I179" i="2"/>
  <c r="E180" i="2" s="1"/>
  <c r="O179" i="2"/>
  <c r="I178" i="1"/>
  <c r="E179" i="1" s="1"/>
  <c r="G178" i="1"/>
  <c r="O178" i="1"/>
  <c r="I107" i="2"/>
  <c r="E108" i="2" s="1"/>
  <c r="G107" i="2"/>
  <c r="O107" i="2"/>
  <c r="I145" i="2"/>
  <c r="E146" i="2" s="1"/>
  <c r="G145" i="2"/>
  <c r="O145" i="2"/>
  <c r="I107" i="1"/>
  <c r="E108" i="1" s="1"/>
  <c r="G107" i="1"/>
  <c r="O107" i="1"/>
  <c r="I145" i="1"/>
  <c r="E146" i="1" s="1"/>
  <c r="G145" i="1"/>
  <c r="O145" i="1"/>
  <c r="G71" i="1"/>
  <c r="I71" i="1"/>
  <c r="E72" i="1" s="1"/>
  <c r="O71" i="1"/>
  <c r="I72" i="2"/>
  <c r="E73" i="2" s="1"/>
  <c r="G72" i="2"/>
  <c r="O72" i="2"/>
  <c r="I37" i="2"/>
  <c r="E38" i="2" s="1"/>
  <c r="G37" i="2"/>
  <c r="O37" i="2"/>
  <c r="I36" i="1"/>
  <c r="E37" i="1" s="1"/>
  <c r="O36" i="1"/>
  <c r="G36" i="1"/>
  <c r="T14" i="2"/>
  <c r="Q14" i="2"/>
  <c r="R14" i="2" s="1"/>
  <c r="T14" i="1"/>
  <c r="Q14" i="1"/>
  <c r="R14" i="1" s="1"/>
  <c r="N14" i="1"/>
  <c r="T13" i="2"/>
  <c r="Q13" i="2"/>
  <c r="R13" i="2" s="1"/>
  <c r="N13" i="2"/>
  <c r="T13" i="1"/>
  <c r="Q13" i="1"/>
  <c r="R13" i="1" s="1"/>
  <c r="N13" i="1"/>
  <c r="O393" i="2" l="1"/>
  <c r="G393" i="2"/>
  <c r="I393" i="2"/>
  <c r="O362" i="1"/>
  <c r="G362" i="1"/>
  <c r="I362" i="1"/>
  <c r="E363" i="1" s="1"/>
  <c r="O360" i="2"/>
  <c r="G360" i="2"/>
  <c r="I360" i="2"/>
  <c r="E361" i="2" s="1"/>
  <c r="G328" i="2"/>
  <c r="I328" i="2"/>
  <c r="O328" i="2"/>
  <c r="O328" i="1"/>
  <c r="G328" i="1"/>
  <c r="I328" i="1"/>
  <c r="E329" i="1" s="1"/>
  <c r="I292" i="1"/>
  <c r="E293" i="1" s="1"/>
  <c r="G292" i="1"/>
  <c r="O292" i="1"/>
  <c r="E293" i="2"/>
  <c r="O293" i="2" s="1"/>
  <c r="G292" i="2"/>
  <c r="O292" i="2"/>
  <c r="G217" i="1"/>
  <c r="I217" i="1"/>
  <c r="E218" i="1" s="1"/>
  <c r="O217" i="1"/>
  <c r="O257" i="1"/>
  <c r="G257" i="1"/>
  <c r="I257" i="1"/>
  <c r="E258" i="1" s="1"/>
  <c r="G257" i="2"/>
  <c r="I257" i="2"/>
  <c r="E258" i="2" s="1"/>
  <c r="I217" i="2"/>
  <c r="E218" i="2" s="1"/>
  <c r="G217" i="2"/>
  <c r="O217" i="2"/>
  <c r="I180" i="2"/>
  <c r="E181" i="2" s="1"/>
  <c r="G180" i="2"/>
  <c r="O180" i="2"/>
  <c r="I179" i="1"/>
  <c r="E180" i="1" s="1"/>
  <c r="G179" i="1"/>
  <c r="O179" i="1"/>
  <c r="I108" i="2"/>
  <c r="E109" i="2" s="1"/>
  <c r="G108" i="2"/>
  <c r="O108" i="2"/>
  <c r="I146" i="2"/>
  <c r="E147" i="2" s="1"/>
  <c r="G146" i="2"/>
  <c r="O146" i="2"/>
  <c r="I108" i="1"/>
  <c r="E109" i="1" s="1"/>
  <c r="G108" i="1"/>
  <c r="O108" i="1"/>
  <c r="I146" i="1"/>
  <c r="E147" i="1" s="1"/>
  <c r="G146" i="1"/>
  <c r="O146" i="1"/>
  <c r="G72" i="1"/>
  <c r="I72" i="1"/>
  <c r="E73" i="1" s="1"/>
  <c r="O72" i="1"/>
  <c r="I73" i="2"/>
  <c r="E74" i="2" s="1"/>
  <c r="G73" i="2"/>
  <c r="O73" i="2"/>
  <c r="G38" i="2"/>
  <c r="I38" i="2"/>
  <c r="E39" i="2" s="1"/>
  <c r="O38" i="2"/>
  <c r="I37" i="1"/>
  <c r="E38" i="1" s="1"/>
  <c r="G37" i="1"/>
  <c r="O37" i="1"/>
  <c r="N12" i="2"/>
  <c r="N12" i="1"/>
  <c r="T12" i="1"/>
  <c r="Q12" i="1"/>
  <c r="R12" i="1" s="1"/>
  <c r="T11" i="1"/>
  <c r="Q11" i="1"/>
  <c r="R11" i="1" s="1"/>
  <c r="N11" i="1"/>
  <c r="T12" i="2"/>
  <c r="Q12" i="2"/>
  <c r="R12" i="2" s="1"/>
  <c r="N10" i="1"/>
  <c r="N9" i="1"/>
  <c r="T11" i="2"/>
  <c r="Q11" i="2"/>
  <c r="R11" i="2" s="1"/>
  <c r="N11" i="2"/>
  <c r="T10" i="2"/>
  <c r="Q10" i="2"/>
  <c r="R10" i="2" s="1"/>
  <c r="N10" i="2"/>
  <c r="T10" i="1"/>
  <c r="Q10" i="1"/>
  <c r="R10" i="1" s="1"/>
  <c r="N9" i="2"/>
  <c r="T9" i="1"/>
  <c r="Q9" i="1"/>
  <c r="R9" i="1" s="1"/>
  <c r="T9" i="2"/>
  <c r="Q9" i="2"/>
  <c r="R9" i="2" s="1"/>
  <c r="N5" i="1"/>
  <c r="N6" i="1"/>
  <c r="N7" i="1"/>
  <c r="N8" i="1"/>
  <c r="N4" i="1"/>
  <c r="O4" i="1" s="1"/>
  <c r="T8" i="1"/>
  <c r="Q8" i="1"/>
  <c r="R8" i="1" s="1"/>
  <c r="T8" i="2"/>
  <c r="Q8" i="2"/>
  <c r="R8" i="2" s="1"/>
  <c r="N5" i="2"/>
  <c r="N6" i="2"/>
  <c r="N7" i="2"/>
  <c r="N8" i="2"/>
  <c r="N4" i="2"/>
  <c r="O4" i="2" s="1"/>
  <c r="T7" i="2"/>
  <c r="Q7" i="2"/>
  <c r="R7" i="2" s="1"/>
  <c r="T7" i="1"/>
  <c r="Q7" i="1"/>
  <c r="R7" i="1" s="1"/>
  <c r="T6" i="1"/>
  <c r="Q6" i="1"/>
  <c r="R6" i="1" s="1"/>
  <c r="T6" i="2"/>
  <c r="Q6" i="2"/>
  <c r="R6" i="2" s="1"/>
  <c r="T5" i="2"/>
  <c r="Q5" i="2"/>
  <c r="R5" i="2" s="1"/>
  <c r="T5" i="1"/>
  <c r="Q5" i="1"/>
  <c r="R5" i="1" s="1"/>
  <c r="T4" i="2"/>
  <c r="Q4" i="2"/>
  <c r="R4" i="2" s="1"/>
  <c r="I4" i="2"/>
  <c r="E5" i="2" s="1"/>
  <c r="G4" i="2"/>
  <c r="O363" i="1" l="1"/>
  <c r="I363" i="1"/>
  <c r="G363" i="1"/>
  <c r="O361" i="2"/>
  <c r="I361" i="2"/>
  <c r="G361" i="2"/>
  <c r="O329" i="1"/>
  <c r="G329" i="1"/>
  <c r="I329" i="1"/>
  <c r="I293" i="1"/>
  <c r="E294" i="1" s="1"/>
  <c r="G293" i="1"/>
  <c r="O293" i="1"/>
  <c r="G293" i="2"/>
  <c r="I293" i="2"/>
  <c r="E294" i="2" s="1"/>
  <c r="G258" i="2"/>
  <c r="I258" i="2"/>
  <c r="E259" i="2" s="1"/>
  <c r="O258" i="2"/>
  <c r="I218" i="1"/>
  <c r="E219" i="1" s="1"/>
  <c r="G218" i="1"/>
  <c r="O218" i="1"/>
  <c r="O258" i="1"/>
  <c r="I258" i="1"/>
  <c r="E259" i="1" s="1"/>
  <c r="G258" i="1"/>
  <c r="I218" i="2"/>
  <c r="E219" i="2" s="1"/>
  <c r="G218" i="2"/>
  <c r="O218" i="2"/>
  <c r="G181" i="2"/>
  <c r="I181" i="2"/>
  <c r="E182" i="2" s="1"/>
  <c r="O181" i="2"/>
  <c r="G180" i="1"/>
  <c r="I180" i="1"/>
  <c r="E181" i="1" s="1"/>
  <c r="O180" i="1"/>
  <c r="I147" i="2"/>
  <c r="E148" i="2" s="1"/>
  <c r="G147" i="2"/>
  <c r="O147" i="2"/>
  <c r="I109" i="2"/>
  <c r="E110" i="2" s="1"/>
  <c r="G109" i="2"/>
  <c r="O109" i="2"/>
  <c r="I147" i="1"/>
  <c r="E148" i="1" s="1"/>
  <c r="O147" i="1"/>
  <c r="G147" i="1"/>
  <c r="I109" i="1"/>
  <c r="E110" i="1" s="1"/>
  <c r="G109" i="1"/>
  <c r="O109" i="1"/>
  <c r="I74" i="2"/>
  <c r="E75" i="2" s="1"/>
  <c r="O74" i="2"/>
  <c r="G74" i="2"/>
  <c r="G73" i="1"/>
  <c r="I73" i="1"/>
  <c r="E74" i="1" s="1"/>
  <c r="O73" i="1"/>
  <c r="I5" i="2"/>
  <c r="E6" i="2" s="1"/>
  <c r="O6" i="2" s="1"/>
  <c r="G5" i="2"/>
  <c r="O5" i="2"/>
  <c r="I39" i="2"/>
  <c r="E40" i="2" s="1"/>
  <c r="G39" i="2"/>
  <c r="O39" i="2"/>
  <c r="O38" i="1"/>
  <c r="I38" i="1"/>
  <c r="E39" i="1" s="1"/>
  <c r="G38" i="1"/>
  <c r="T4" i="1"/>
  <c r="Q4" i="1"/>
  <c r="R4" i="1" s="1"/>
  <c r="I4" i="1"/>
  <c r="E5" i="1" s="1"/>
  <c r="O5" i="1" s="1"/>
  <c r="G4" i="1"/>
  <c r="O294" i="1" l="1"/>
  <c r="G294" i="1"/>
  <c r="I294" i="1"/>
  <c r="E295" i="1" s="1"/>
  <c r="I294" i="2"/>
  <c r="E295" i="2" s="1"/>
  <c r="G294" i="2"/>
  <c r="O294" i="2"/>
  <c r="I259" i="2"/>
  <c r="E260" i="2" s="1"/>
  <c r="G259" i="2"/>
  <c r="O259" i="2"/>
  <c r="G259" i="1"/>
  <c r="I259" i="1"/>
  <c r="E260" i="1" s="1"/>
  <c r="O259" i="1"/>
  <c r="G219" i="1"/>
  <c r="I219" i="1"/>
  <c r="E220" i="1" s="1"/>
  <c r="O219" i="1"/>
  <c r="G219" i="2"/>
  <c r="I219" i="2"/>
  <c r="E220" i="2" s="1"/>
  <c r="O219" i="2"/>
  <c r="I182" i="2"/>
  <c r="E183" i="2" s="1"/>
  <c r="G182" i="2"/>
  <c r="O182" i="2"/>
  <c r="G181" i="1"/>
  <c r="I181" i="1"/>
  <c r="E182" i="1" s="1"/>
  <c r="O181" i="1"/>
  <c r="I148" i="2"/>
  <c r="E149" i="2" s="1"/>
  <c r="G148" i="2"/>
  <c r="O148" i="2"/>
  <c r="I110" i="2"/>
  <c r="E111" i="2" s="1"/>
  <c r="G110" i="2"/>
  <c r="O110" i="2"/>
  <c r="I148" i="1"/>
  <c r="E149" i="1" s="1"/>
  <c r="G148" i="1"/>
  <c r="O148" i="1"/>
  <c r="I110" i="1"/>
  <c r="E111" i="1" s="1"/>
  <c r="G110" i="1"/>
  <c r="O110" i="1"/>
  <c r="I74" i="1"/>
  <c r="E75" i="1" s="1"/>
  <c r="G74" i="1"/>
  <c r="O74" i="1"/>
  <c r="G75" i="2"/>
  <c r="I75" i="2"/>
  <c r="E76" i="2" s="1"/>
  <c r="O75" i="2"/>
  <c r="I40" i="2"/>
  <c r="E41" i="2" s="1"/>
  <c r="G40" i="2"/>
  <c r="O40" i="2"/>
  <c r="G6" i="2"/>
  <c r="I6" i="2"/>
  <c r="E7" i="2" s="1"/>
  <c r="I39" i="1"/>
  <c r="E40" i="1" s="1"/>
  <c r="G39" i="1"/>
  <c r="O39" i="1"/>
  <c r="I5" i="1"/>
  <c r="E6" i="1" s="1"/>
  <c r="O6" i="1" s="1"/>
  <c r="G5" i="1"/>
  <c r="O295" i="1" l="1"/>
  <c r="I295" i="1"/>
  <c r="E296" i="1" s="1"/>
  <c r="G295" i="1"/>
  <c r="I295" i="2"/>
  <c r="G295" i="2"/>
  <c r="O295" i="2"/>
  <c r="G260" i="2"/>
  <c r="I260" i="2"/>
  <c r="E261" i="2" s="1"/>
  <c r="O260" i="2"/>
  <c r="G220" i="1"/>
  <c r="I220" i="1"/>
  <c r="E221" i="1" s="1"/>
  <c r="O220" i="1"/>
  <c r="I260" i="1"/>
  <c r="E261" i="1" s="1"/>
  <c r="G260" i="1"/>
  <c r="O260" i="1"/>
  <c r="G220" i="2"/>
  <c r="I220" i="2"/>
  <c r="E221" i="2" s="1"/>
  <c r="O220" i="2"/>
  <c r="I183" i="2"/>
  <c r="E184" i="2" s="1"/>
  <c r="G183" i="2"/>
  <c r="O183" i="2"/>
  <c r="I182" i="1"/>
  <c r="E183" i="1" s="1"/>
  <c r="G182" i="1"/>
  <c r="O182" i="1"/>
  <c r="I149" i="2"/>
  <c r="E150" i="2" s="1"/>
  <c r="G149" i="2"/>
  <c r="O149" i="2"/>
  <c r="G111" i="2"/>
  <c r="I111" i="2"/>
  <c r="E112" i="2" s="1"/>
  <c r="O111" i="2"/>
  <c r="I149" i="1"/>
  <c r="E150" i="1" s="1"/>
  <c r="G149" i="1"/>
  <c r="O149" i="1"/>
  <c r="G111" i="1"/>
  <c r="I111" i="1"/>
  <c r="E112" i="1" s="1"/>
  <c r="O111" i="1"/>
  <c r="G76" i="2"/>
  <c r="I76" i="2"/>
  <c r="E77" i="2" s="1"/>
  <c r="O76" i="2"/>
  <c r="I75" i="1"/>
  <c r="E76" i="1" s="1"/>
  <c r="G75" i="1"/>
  <c r="O75" i="1"/>
  <c r="I7" i="2"/>
  <c r="E8" i="2" s="1"/>
  <c r="G7" i="2"/>
  <c r="O7" i="2"/>
  <c r="I41" i="2"/>
  <c r="E42" i="2" s="1"/>
  <c r="G41" i="2"/>
  <c r="O41" i="2"/>
  <c r="G40" i="1"/>
  <c r="O40" i="1"/>
  <c r="I40" i="1"/>
  <c r="E41" i="1" s="1"/>
  <c r="G6" i="1"/>
  <c r="I6" i="1"/>
  <c r="E7" i="1" s="1"/>
  <c r="G296" i="1" l="1"/>
  <c r="I296" i="1"/>
  <c r="O296" i="1"/>
  <c r="I261" i="2"/>
  <c r="E262" i="2" s="1"/>
  <c r="G261" i="2"/>
  <c r="O261" i="2"/>
  <c r="G261" i="1"/>
  <c r="I261" i="1"/>
  <c r="E262" i="1" s="1"/>
  <c r="O261" i="1"/>
  <c r="G221" i="1"/>
  <c r="I221" i="1"/>
  <c r="E222" i="1" s="1"/>
  <c r="O221" i="1"/>
  <c r="I221" i="2"/>
  <c r="E222" i="2" s="1"/>
  <c r="G221" i="2"/>
  <c r="O221" i="2"/>
  <c r="I184" i="2"/>
  <c r="E185" i="2" s="1"/>
  <c r="G184" i="2"/>
  <c r="O184" i="2"/>
  <c r="I183" i="1"/>
  <c r="E184" i="1" s="1"/>
  <c r="G183" i="1"/>
  <c r="O183" i="1"/>
  <c r="I150" i="2"/>
  <c r="E151" i="2" s="1"/>
  <c r="G150" i="2"/>
  <c r="O150" i="2"/>
  <c r="I112" i="2"/>
  <c r="E113" i="2" s="1"/>
  <c r="G112" i="2"/>
  <c r="O112" i="2"/>
  <c r="G112" i="1"/>
  <c r="I112" i="1"/>
  <c r="E113" i="1" s="1"/>
  <c r="O112" i="1"/>
  <c r="I150" i="1"/>
  <c r="E151" i="1" s="1"/>
  <c r="G150" i="1"/>
  <c r="O150" i="1"/>
  <c r="I76" i="1"/>
  <c r="E77" i="1" s="1"/>
  <c r="G76" i="1"/>
  <c r="O76" i="1"/>
  <c r="I77" i="2"/>
  <c r="E78" i="2" s="1"/>
  <c r="G77" i="2"/>
  <c r="O77" i="2"/>
  <c r="G42" i="2"/>
  <c r="I42" i="2"/>
  <c r="E43" i="2" s="1"/>
  <c r="O42" i="2"/>
  <c r="G8" i="2"/>
  <c r="I8" i="2"/>
  <c r="E9" i="2" s="1"/>
  <c r="O8" i="2"/>
  <c r="I41" i="1"/>
  <c r="E42" i="1" s="1"/>
  <c r="O41" i="1"/>
  <c r="G41" i="1"/>
  <c r="I7" i="1"/>
  <c r="E8" i="1" s="1"/>
  <c r="G7" i="1"/>
  <c r="O7" i="1"/>
  <c r="I262" i="2" l="1"/>
  <c r="G262" i="2"/>
  <c r="O262" i="2"/>
  <c r="I184" i="1"/>
  <c r="E185" i="1" s="1"/>
  <c r="G184" i="1"/>
  <c r="O184" i="1"/>
  <c r="O262" i="1"/>
  <c r="I262" i="1"/>
  <c r="G262" i="1"/>
  <c r="I222" i="1"/>
  <c r="E223" i="1" s="1"/>
  <c r="G222" i="1"/>
  <c r="O222" i="1"/>
  <c r="G222" i="2"/>
  <c r="I222" i="2"/>
  <c r="E223" i="2" s="1"/>
  <c r="O222" i="2"/>
  <c r="I185" i="2"/>
  <c r="E186" i="2" s="1"/>
  <c r="G185" i="2"/>
  <c r="O185" i="2"/>
  <c r="G151" i="2"/>
  <c r="I151" i="2"/>
  <c r="E152" i="2" s="1"/>
  <c r="O151" i="2"/>
  <c r="I113" i="2"/>
  <c r="E114" i="2" s="1"/>
  <c r="G113" i="2"/>
  <c r="O113" i="2"/>
  <c r="I151" i="1"/>
  <c r="E152" i="1" s="1"/>
  <c r="G151" i="1"/>
  <c r="O151" i="1"/>
  <c r="I113" i="1"/>
  <c r="E114" i="1" s="1"/>
  <c r="G113" i="1"/>
  <c r="O113" i="1"/>
  <c r="I78" i="2"/>
  <c r="E79" i="2" s="1"/>
  <c r="G78" i="2"/>
  <c r="O78" i="2"/>
  <c r="G77" i="1"/>
  <c r="I77" i="1"/>
  <c r="E78" i="1" s="1"/>
  <c r="O77" i="1"/>
  <c r="O43" i="2"/>
  <c r="I43" i="2"/>
  <c r="E44" i="2" s="1"/>
  <c r="G43" i="2"/>
  <c r="I9" i="2"/>
  <c r="E10" i="2" s="1"/>
  <c r="G9" i="2"/>
  <c r="O9" i="2"/>
  <c r="I42" i="1"/>
  <c r="E43" i="1" s="1"/>
  <c r="G42" i="1"/>
  <c r="O42" i="1"/>
  <c r="I8" i="1"/>
  <c r="E9" i="1" s="1"/>
  <c r="G8" i="1"/>
  <c r="O8" i="1"/>
  <c r="I223" i="1" l="1"/>
  <c r="E224" i="1" s="1"/>
  <c r="G223" i="1"/>
  <c r="O223" i="1"/>
  <c r="I185" i="1"/>
  <c r="E186" i="1" s="1"/>
  <c r="G185" i="1"/>
  <c r="O185" i="1"/>
  <c r="I186" i="2"/>
  <c r="E187" i="2" s="1"/>
  <c r="G186" i="2"/>
  <c r="O186" i="2"/>
  <c r="I223" i="2"/>
  <c r="E224" i="2" s="1"/>
  <c r="G223" i="2"/>
  <c r="O223" i="2"/>
  <c r="G114" i="2"/>
  <c r="I114" i="2"/>
  <c r="E115" i="2" s="1"/>
  <c r="O114" i="2"/>
  <c r="I152" i="2"/>
  <c r="E153" i="2" s="1"/>
  <c r="G152" i="2"/>
  <c r="O152" i="2"/>
  <c r="I152" i="1"/>
  <c r="E153" i="1" s="1"/>
  <c r="O153" i="1" s="1"/>
  <c r="G152" i="1"/>
  <c r="O152" i="1"/>
  <c r="I114" i="1"/>
  <c r="E115" i="1" s="1"/>
  <c r="G114" i="1"/>
  <c r="O114" i="1"/>
  <c r="I78" i="1"/>
  <c r="E79" i="1" s="1"/>
  <c r="G78" i="1"/>
  <c r="O78" i="1"/>
  <c r="I79" i="2"/>
  <c r="E80" i="2" s="1"/>
  <c r="G79" i="2"/>
  <c r="O79" i="2"/>
  <c r="I10" i="2"/>
  <c r="E11" i="2" s="1"/>
  <c r="G10" i="2"/>
  <c r="O10" i="2"/>
  <c r="I44" i="2"/>
  <c r="E45" i="2" s="1"/>
  <c r="G44" i="2"/>
  <c r="O44" i="2"/>
  <c r="I43" i="1"/>
  <c r="E44" i="1" s="1"/>
  <c r="O43" i="1"/>
  <c r="G43" i="1"/>
  <c r="I9" i="1"/>
  <c r="E10" i="1" s="1"/>
  <c r="G9" i="1"/>
  <c r="O9" i="1"/>
  <c r="I186" i="1" l="1"/>
  <c r="E187" i="1" s="1"/>
  <c r="G186" i="1"/>
  <c r="O186" i="1"/>
  <c r="I224" i="1"/>
  <c r="E225" i="1" s="1"/>
  <c r="G224" i="1"/>
  <c r="O224" i="1"/>
  <c r="I187" i="2"/>
  <c r="E188" i="2" s="1"/>
  <c r="G187" i="2"/>
  <c r="O187" i="2"/>
  <c r="G224" i="2"/>
  <c r="I224" i="2"/>
  <c r="E225" i="2" s="1"/>
  <c r="O224" i="2"/>
  <c r="I153" i="2"/>
  <c r="E154" i="2" s="1"/>
  <c r="O154" i="2" s="1"/>
  <c r="G153" i="2"/>
  <c r="O153" i="2"/>
  <c r="G115" i="2"/>
  <c r="I115" i="2"/>
  <c r="E116" i="2" s="1"/>
  <c r="O115" i="2"/>
  <c r="I153" i="1"/>
  <c r="E154" i="1" s="1"/>
  <c r="G153" i="1"/>
  <c r="I115" i="1"/>
  <c r="E116" i="1" s="1"/>
  <c r="G115" i="1"/>
  <c r="O115" i="1"/>
  <c r="I80" i="2"/>
  <c r="E81" i="2" s="1"/>
  <c r="G80" i="2"/>
  <c r="O80" i="2"/>
  <c r="I79" i="1"/>
  <c r="E80" i="1" s="1"/>
  <c r="G79" i="1"/>
  <c r="O79" i="1"/>
  <c r="G45" i="2"/>
  <c r="I45" i="2"/>
  <c r="E46" i="2" s="1"/>
  <c r="O45" i="2"/>
  <c r="G11" i="2"/>
  <c r="O11" i="2"/>
  <c r="I11" i="2"/>
  <c r="E12" i="2" s="1"/>
  <c r="G44" i="1"/>
  <c r="I44" i="1"/>
  <c r="E45" i="1" s="1"/>
  <c r="O44" i="1"/>
  <c r="G10" i="1"/>
  <c r="I10" i="1"/>
  <c r="E11" i="1" s="1"/>
  <c r="O10" i="1"/>
  <c r="I225" i="1" l="1"/>
  <c r="E226" i="1" s="1"/>
  <c r="O225" i="1"/>
  <c r="G225" i="1"/>
  <c r="I187" i="1"/>
  <c r="E188" i="1" s="1"/>
  <c r="G187" i="1"/>
  <c r="O187" i="1"/>
  <c r="I188" i="2"/>
  <c r="E189" i="2" s="1"/>
  <c r="G188" i="2"/>
  <c r="O188" i="2"/>
  <c r="G225" i="2"/>
  <c r="I225" i="2"/>
  <c r="E226" i="2" s="1"/>
  <c r="O225" i="2"/>
  <c r="G154" i="1"/>
  <c r="I154" i="1"/>
  <c r="E155" i="1" s="1"/>
  <c r="O154" i="1"/>
  <c r="I116" i="2"/>
  <c r="E117" i="2" s="1"/>
  <c r="G116" i="2"/>
  <c r="O116" i="2"/>
  <c r="I154" i="2"/>
  <c r="E155" i="2" s="1"/>
  <c r="G154" i="2"/>
  <c r="I116" i="1"/>
  <c r="E117" i="1" s="1"/>
  <c r="G116" i="1"/>
  <c r="O116" i="1"/>
  <c r="I80" i="1"/>
  <c r="E81" i="1" s="1"/>
  <c r="G80" i="1"/>
  <c r="O80" i="1"/>
  <c r="I81" i="2"/>
  <c r="E82" i="2" s="1"/>
  <c r="G81" i="2"/>
  <c r="O81" i="2"/>
  <c r="G46" i="2"/>
  <c r="I46" i="2"/>
  <c r="E47" i="2" s="1"/>
  <c r="O46" i="2"/>
  <c r="O12" i="2"/>
  <c r="G12" i="2"/>
  <c r="I12" i="2"/>
  <c r="E13" i="2" s="1"/>
  <c r="O45" i="1"/>
  <c r="I45" i="1"/>
  <c r="E46" i="1" s="1"/>
  <c r="G45" i="1"/>
  <c r="I11" i="1"/>
  <c r="E12" i="1" s="1"/>
  <c r="G11" i="1"/>
  <c r="O11" i="1"/>
  <c r="G188" i="1" l="1"/>
  <c r="I188" i="1"/>
  <c r="E189" i="1" s="1"/>
  <c r="O188" i="1"/>
  <c r="G226" i="1"/>
  <c r="O226" i="1"/>
  <c r="I226" i="1"/>
  <c r="E227" i="1" s="1"/>
  <c r="I189" i="2"/>
  <c r="E190" i="2" s="1"/>
  <c r="G189" i="2"/>
  <c r="O189" i="2"/>
  <c r="G226" i="2"/>
  <c r="I226" i="2"/>
  <c r="E227" i="2" s="1"/>
  <c r="O226" i="2"/>
  <c r="I155" i="2"/>
  <c r="E156" i="2" s="1"/>
  <c r="G155" i="2"/>
  <c r="O155" i="2"/>
  <c r="I155" i="1"/>
  <c r="E156" i="1" s="1"/>
  <c r="G155" i="1"/>
  <c r="O155" i="1"/>
  <c r="I117" i="2"/>
  <c r="E118" i="2" s="1"/>
  <c r="G117" i="2"/>
  <c r="O117" i="2"/>
  <c r="I117" i="1"/>
  <c r="E118" i="1" s="1"/>
  <c r="G117" i="1"/>
  <c r="O117" i="1"/>
  <c r="I82" i="2"/>
  <c r="E83" i="2" s="1"/>
  <c r="G82" i="2"/>
  <c r="O82" i="2"/>
  <c r="I81" i="1"/>
  <c r="E82" i="1" s="1"/>
  <c r="G81" i="1"/>
  <c r="O81" i="1"/>
  <c r="G13" i="2"/>
  <c r="I13" i="2"/>
  <c r="E14" i="2" s="1"/>
  <c r="O13" i="2"/>
  <c r="I47" i="2"/>
  <c r="E48" i="2" s="1"/>
  <c r="G47" i="2"/>
  <c r="O47" i="2"/>
  <c r="I46" i="1"/>
  <c r="E47" i="1" s="1"/>
  <c r="G46" i="1"/>
  <c r="O46" i="1"/>
  <c r="G12" i="1"/>
  <c r="I12" i="1"/>
  <c r="E13" i="1" s="1"/>
  <c r="O12" i="1"/>
  <c r="I227" i="1" l="1"/>
  <c r="E228" i="1" s="1"/>
  <c r="G227" i="1"/>
  <c r="O227" i="1"/>
  <c r="I189" i="1"/>
  <c r="E190" i="1" s="1"/>
  <c r="G189" i="1"/>
  <c r="O189" i="1"/>
  <c r="G227" i="2"/>
  <c r="I227" i="2"/>
  <c r="E228" i="2" s="1"/>
  <c r="O227" i="2"/>
  <c r="I190" i="2"/>
  <c r="E191" i="2" s="1"/>
  <c r="G190" i="2"/>
  <c r="O190" i="2"/>
  <c r="G156" i="2"/>
  <c r="I156" i="2"/>
  <c r="E157" i="2" s="1"/>
  <c r="O156" i="2"/>
  <c r="I156" i="1"/>
  <c r="E157" i="1" s="1"/>
  <c r="O156" i="1"/>
  <c r="G156" i="1"/>
  <c r="O118" i="2"/>
  <c r="G118" i="2"/>
  <c r="I118" i="2"/>
  <c r="E119" i="2" s="1"/>
  <c r="O118" i="1"/>
  <c r="I118" i="1"/>
  <c r="E119" i="1" s="1"/>
  <c r="G118" i="1"/>
  <c r="G82" i="1"/>
  <c r="I82" i="1"/>
  <c r="E83" i="1" s="1"/>
  <c r="O82" i="1"/>
  <c r="I83" i="2"/>
  <c r="E84" i="2" s="1"/>
  <c r="G83" i="2"/>
  <c r="O83" i="2"/>
  <c r="I48" i="2"/>
  <c r="E49" i="2" s="1"/>
  <c r="G48" i="2"/>
  <c r="O48" i="2"/>
  <c r="I14" i="2"/>
  <c r="E15" i="2" s="1"/>
  <c r="G14" i="2"/>
  <c r="O14" i="2"/>
  <c r="I47" i="1"/>
  <c r="E48" i="1" s="1"/>
  <c r="G47" i="1"/>
  <c r="O47" i="1"/>
  <c r="O13" i="1"/>
  <c r="I13" i="1"/>
  <c r="E14" i="1" s="1"/>
  <c r="G13" i="1"/>
  <c r="G190" i="1" l="1"/>
  <c r="I190" i="1"/>
  <c r="E191" i="1" s="1"/>
  <c r="O190" i="1"/>
  <c r="I228" i="1"/>
  <c r="E229" i="1" s="1"/>
  <c r="G228" i="1"/>
  <c r="O228" i="1"/>
  <c r="I191" i="2"/>
  <c r="E192" i="2" s="1"/>
  <c r="G191" i="2"/>
  <c r="O191" i="2"/>
  <c r="G228" i="2"/>
  <c r="I228" i="2"/>
  <c r="E229" i="2" s="1"/>
  <c r="O228" i="2"/>
  <c r="I157" i="2"/>
  <c r="E158" i="2" s="1"/>
  <c r="G157" i="2"/>
  <c r="O157" i="2"/>
  <c r="G157" i="1"/>
  <c r="I157" i="1"/>
  <c r="E158" i="1" s="1"/>
  <c r="O157" i="1"/>
  <c r="O119" i="2"/>
  <c r="I119" i="2"/>
  <c r="E120" i="2" s="1"/>
  <c r="G119" i="2"/>
  <c r="O119" i="1"/>
  <c r="I119" i="1"/>
  <c r="E120" i="1" s="1"/>
  <c r="G119" i="1"/>
  <c r="I84" i="2"/>
  <c r="E85" i="2" s="1"/>
  <c r="G84" i="2"/>
  <c r="O84" i="2"/>
  <c r="I83" i="1"/>
  <c r="E84" i="1" s="1"/>
  <c r="G83" i="1"/>
  <c r="O83" i="1"/>
  <c r="G15" i="2"/>
  <c r="I15" i="2"/>
  <c r="E16" i="2" s="1"/>
  <c r="O15" i="2"/>
  <c r="G49" i="2"/>
  <c r="I49" i="2"/>
  <c r="E50" i="2" s="1"/>
  <c r="O49" i="2"/>
  <c r="G48" i="1"/>
  <c r="I48" i="1"/>
  <c r="E49" i="1" s="1"/>
  <c r="O48" i="1"/>
  <c r="O14" i="1"/>
  <c r="I14" i="1"/>
  <c r="E15" i="1" s="1"/>
  <c r="G14" i="1"/>
  <c r="G229" i="1" l="1"/>
  <c r="I229" i="1"/>
  <c r="E230" i="1" s="1"/>
  <c r="O229" i="1"/>
  <c r="G191" i="1"/>
  <c r="I191" i="1"/>
  <c r="E192" i="1" s="1"/>
  <c r="O191" i="1"/>
  <c r="G192" i="2"/>
  <c r="I192" i="2"/>
  <c r="E193" i="2" s="1"/>
  <c r="O192" i="2"/>
  <c r="I229" i="2"/>
  <c r="E230" i="2" s="1"/>
  <c r="G229" i="2"/>
  <c r="O229" i="2"/>
  <c r="I158" i="2"/>
  <c r="E159" i="2" s="1"/>
  <c r="G158" i="2"/>
  <c r="O158" i="2"/>
  <c r="G158" i="1"/>
  <c r="I158" i="1"/>
  <c r="E159" i="1" s="1"/>
  <c r="O158" i="1"/>
  <c r="I120" i="2"/>
  <c r="E121" i="2" s="1"/>
  <c r="G120" i="2"/>
  <c r="O120" i="2"/>
  <c r="I120" i="1"/>
  <c r="E121" i="1" s="1"/>
  <c r="O120" i="1"/>
  <c r="G120" i="1"/>
  <c r="I85" i="2"/>
  <c r="E86" i="2" s="1"/>
  <c r="G85" i="2"/>
  <c r="O85" i="2"/>
  <c r="G84" i="1"/>
  <c r="I84" i="1"/>
  <c r="E85" i="1" s="1"/>
  <c r="O84" i="1"/>
  <c r="G16" i="2"/>
  <c r="I16" i="2"/>
  <c r="E17" i="2" s="1"/>
  <c r="O16" i="2"/>
  <c r="I50" i="2"/>
  <c r="E51" i="2" s="1"/>
  <c r="G50" i="2"/>
  <c r="O50" i="2"/>
  <c r="G49" i="1"/>
  <c r="I49" i="1"/>
  <c r="E50" i="1" s="1"/>
  <c r="O49" i="1"/>
  <c r="I15" i="1"/>
  <c r="E16" i="1" s="1"/>
  <c r="G15" i="1"/>
  <c r="O15" i="1"/>
  <c r="G192" i="1" l="1"/>
  <c r="O192" i="1"/>
  <c r="I192" i="1"/>
  <c r="E193" i="1" s="1"/>
  <c r="G230" i="1"/>
  <c r="I230" i="1"/>
  <c r="E231" i="1" s="1"/>
  <c r="O230" i="1"/>
  <c r="I193" i="2"/>
  <c r="E194" i="2" s="1"/>
  <c r="G193" i="2"/>
  <c r="O193" i="2"/>
  <c r="I230" i="2"/>
  <c r="E231" i="2" s="1"/>
  <c r="G230" i="2"/>
  <c r="O230" i="2"/>
  <c r="I159" i="2"/>
  <c r="E160" i="2" s="1"/>
  <c r="G159" i="2"/>
  <c r="O159" i="2"/>
  <c r="I159" i="1"/>
  <c r="E160" i="1" s="1"/>
  <c r="G159" i="1"/>
  <c r="O159" i="1"/>
  <c r="G121" i="2"/>
  <c r="I121" i="2"/>
  <c r="E122" i="2" s="1"/>
  <c r="O121" i="2"/>
  <c r="G121" i="1"/>
  <c r="I121" i="1"/>
  <c r="E122" i="1" s="1"/>
  <c r="O121" i="1"/>
  <c r="G86" i="2"/>
  <c r="I86" i="2"/>
  <c r="E87" i="2" s="1"/>
  <c r="O86" i="2"/>
  <c r="I85" i="1"/>
  <c r="E86" i="1" s="1"/>
  <c r="G85" i="1"/>
  <c r="O85" i="1"/>
  <c r="G17" i="2"/>
  <c r="I17" i="2"/>
  <c r="E18" i="2" s="1"/>
  <c r="O17" i="2"/>
  <c r="I51" i="2"/>
  <c r="E52" i="2" s="1"/>
  <c r="G51" i="2"/>
  <c r="O51" i="2"/>
  <c r="I50" i="1"/>
  <c r="E51" i="1" s="1"/>
  <c r="G50" i="1"/>
  <c r="O50" i="1"/>
  <c r="I16" i="1"/>
  <c r="E17" i="1" s="1"/>
  <c r="G16" i="1"/>
  <c r="O16" i="1"/>
  <c r="I231" i="1" l="1"/>
  <c r="G231" i="1"/>
  <c r="O231" i="1"/>
  <c r="G193" i="1"/>
  <c r="I193" i="1"/>
  <c r="E194" i="1" s="1"/>
  <c r="O193" i="1"/>
  <c r="G194" i="2"/>
  <c r="I194" i="2"/>
  <c r="E195" i="2" s="1"/>
  <c r="O194" i="2"/>
  <c r="I231" i="2"/>
  <c r="G231" i="2"/>
  <c r="O231" i="2"/>
  <c r="I160" i="2"/>
  <c r="E161" i="2" s="1"/>
  <c r="G160" i="2"/>
  <c r="O160" i="2"/>
  <c r="I160" i="1"/>
  <c r="E161" i="1" s="1"/>
  <c r="G160" i="1"/>
  <c r="O160" i="1"/>
  <c r="I122" i="2"/>
  <c r="E123" i="2" s="1"/>
  <c r="G122" i="2"/>
  <c r="O122" i="2"/>
  <c r="G122" i="1"/>
  <c r="I122" i="1"/>
  <c r="E123" i="1" s="1"/>
  <c r="O122" i="1"/>
  <c r="I87" i="2"/>
  <c r="E88" i="2" s="1"/>
  <c r="G87" i="2"/>
  <c r="O87" i="2"/>
  <c r="G86" i="1"/>
  <c r="I86" i="1"/>
  <c r="E87" i="1" s="1"/>
  <c r="O87" i="1" s="1"/>
  <c r="O86" i="1"/>
  <c r="G18" i="2"/>
  <c r="I18" i="2"/>
  <c r="E19" i="2" s="1"/>
  <c r="O18" i="2"/>
  <c r="I52" i="2"/>
  <c r="E53" i="2" s="1"/>
  <c r="G52" i="2"/>
  <c r="O52" i="2"/>
  <c r="I51" i="1"/>
  <c r="E52" i="1" s="1"/>
  <c r="G51" i="1"/>
  <c r="O51" i="1"/>
  <c r="I17" i="1"/>
  <c r="E18" i="1" s="1"/>
  <c r="G17" i="1"/>
  <c r="O17" i="1"/>
  <c r="G194" i="1" l="1"/>
  <c r="I194" i="1"/>
  <c r="E195" i="1" s="1"/>
  <c r="O194" i="1"/>
  <c r="I195" i="2"/>
  <c r="E196" i="2" s="1"/>
  <c r="G195" i="2"/>
  <c r="O195" i="2"/>
  <c r="G161" i="1"/>
  <c r="O161" i="1"/>
  <c r="I161" i="2"/>
  <c r="E162" i="2" s="1"/>
  <c r="G161" i="2"/>
  <c r="O161" i="2"/>
  <c r="I161" i="1"/>
  <c r="E162" i="1" s="1"/>
  <c r="I123" i="2"/>
  <c r="E124" i="2" s="1"/>
  <c r="G123" i="2"/>
  <c r="O123" i="2"/>
  <c r="I123" i="1"/>
  <c r="E124" i="1" s="1"/>
  <c r="G123" i="1"/>
  <c r="O123" i="1"/>
  <c r="G88" i="2"/>
  <c r="I88" i="2"/>
  <c r="E89" i="2" s="1"/>
  <c r="O88" i="2"/>
  <c r="I87" i="1"/>
  <c r="E88" i="1" s="1"/>
  <c r="G87" i="1"/>
  <c r="I19" i="2"/>
  <c r="E20" i="2" s="1"/>
  <c r="G19" i="2"/>
  <c r="O19" i="2"/>
  <c r="I53" i="2"/>
  <c r="E54" i="2" s="1"/>
  <c r="G53" i="2"/>
  <c r="O53" i="2"/>
  <c r="I52" i="1"/>
  <c r="E53" i="1" s="1"/>
  <c r="G52" i="1"/>
  <c r="O52" i="1"/>
  <c r="G18" i="1"/>
  <c r="I18" i="1"/>
  <c r="E19" i="1" s="1"/>
  <c r="O18" i="1"/>
  <c r="I195" i="1" l="1"/>
  <c r="E196" i="1" s="1"/>
  <c r="O195" i="1"/>
  <c r="G195" i="1"/>
  <c r="I196" i="2"/>
  <c r="E197" i="2" s="1"/>
  <c r="G196" i="2"/>
  <c r="O196" i="2"/>
  <c r="I162" i="1"/>
  <c r="E163" i="1" s="1"/>
  <c r="G162" i="1"/>
  <c r="O162" i="1"/>
  <c r="G162" i="2"/>
  <c r="I162" i="2"/>
  <c r="E163" i="2" s="1"/>
  <c r="O162" i="2"/>
  <c r="I124" i="2"/>
  <c r="E125" i="2" s="1"/>
  <c r="G124" i="2"/>
  <c r="O124" i="2"/>
  <c r="I124" i="1"/>
  <c r="E125" i="1" s="1"/>
  <c r="G124" i="1"/>
  <c r="O124" i="1"/>
  <c r="I88" i="1"/>
  <c r="E89" i="1" s="1"/>
  <c r="G88" i="1"/>
  <c r="O88" i="1"/>
  <c r="I89" i="2"/>
  <c r="E90" i="2" s="1"/>
  <c r="G89" i="2"/>
  <c r="O89" i="2"/>
  <c r="I53" i="1"/>
  <c r="E54" i="1" s="1"/>
  <c r="G53" i="1"/>
  <c r="O53" i="1"/>
  <c r="I54" i="2"/>
  <c r="E55" i="2" s="1"/>
  <c r="G54" i="2"/>
  <c r="O54" i="2"/>
  <c r="G20" i="2"/>
  <c r="I20" i="2"/>
  <c r="E21" i="2" s="1"/>
  <c r="O20" i="2"/>
  <c r="G19" i="1"/>
  <c r="I19" i="1"/>
  <c r="E20" i="1" s="1"/>
  <c r="O19" i="1"/>
  <c r="I196" i="1" l="1"/>
  <c r="E197" i="1" s="1"/>
  <c r="G196" i="1"/>
  <c r="O196" i="1"/>
  <c r="G197" i="2"/>
  <c r="I197" i="2"/>
  <c r="O197" i="2"/>
  <c r="I163" i="1"/>
  <c r="G163" i="1"/>
  <c r="O163" i="1"/>
  <c r="I163" i="2"/>
  <c r="G163" i="2"/>
  <c r="O163" i="2"/>
  <c r="O125" i="2"/>
  <c r="I125" i="2"/>
  <c r="E126" i="2" s="1"/>
  <c r="G125" i="2"/>
  <c r="O125" i="1"/>
  <c r="I125" i="1"/>
  <c r="E126" i="1" s="1"/>
  <c r="G125" i="1"/>
  <c r="I90" i="2"/>
  <c r="E91" i="2" s="1"/>
  <c r="G90" i="2"/>
  <c r="O90" i="2"/>
  <c r="I89" i="1"/>
  <c r="E90" i="1" s="1"/>
  <c r="G89" i="1"/>
  <c r="O89" i="1"/>
  <c r="I54" i="1"/>
  <c r="E55" i="1" s="1"/>
  <c r="G54" i="1"/>
  <c r="O54" i="1"/>
  <c r="I21" i="2"/>
  <c r="E22" i="2" s="1"/>
  <c r="G21" i="2"/>
  <c r="O21" i="2"/>
  <c r="I55" i="2"/>
  <c r="E56" i="2" s="1"/>
  <c r="G55" i="2"/>
  <c r="O55" i="2"/>
  <c r="G20" i="1"/>
  <c r="I20" i="1"/>
  <c r="E21" i="1" s="1"/>
  <c r="O20" i="1"/>
  <c r="I197" i="1" l="1"/>
  <c r="G197" i="1"/>
  <c r="O197" i="1"/>
  <c r="I126" i="2"/>
  <c r="E127" i="2" s="1"/>
  <c r="G126" i="2"/>
  <c r="O126" i="2"/>
  <c r="I126" i="1"/>
  <c r="E127" i="1" s="1"/>
  <c r="G126" i="1"/>
  <c r="O126" i="1"/>
  <c r="G90" i="1"/>
  <c r="I90" i="1"/>
  <c r="E91" i="1" s="1"/>
  <c r="O90" i="1"/>
  <c r="G91" i="2"/>
  <c r="I91" i="2"/>
  <c r="E92" i="2" s="1"/>
  <c r="O91" i="2"/>
  <c r="I55" i="1"/>
  <c r="E56" i="1" s="1"/>
  <c r="G55" i="1"/>
  <c r="O55" i="1"/>
  <c r="I22" i="2"/>
  <c r="E23" i="2" s="1"/>
  <c r="G22" i="2"/>
  <c r="O22" i="2"/>
  <c r="I56" i="2"/>
  <c r="E57" i="2" s="1"/>
  <c r="G56" i="2"/>
  <c r="O56" i="2"/>
  <c r="I21" i="1"/>
  <c r="E22" i="1" s="1"/>
  <c r="G21" i="1"/>
  <c r="O21" i="1"/>
  <c r="I127" i="2" l="1"/>
  <c r="E128" i="2" s="1"/>
  <c r="G127" i="2"/>
  <c r="O127" i="2"/>
  <c r="G127" i="1"/>
  <c r="I127" i="1"/>
  <c r="E128" i="1" s="1"/>
  <c r="O127" i="1"/>
  <c r="G92" i="2"/>
  <c r="I92" i="2"/>
  <c r="E93" i="2" s="1"/>
  <c r="O92" i="2"/>
  <c r="I91" i="1"/>
  <c r="E92" i="1" s="1"/>
  <c r="G91" i="1"/>
  <c r="O91" i="1"/>
  <c r="I56" i="1"/>
  <c r="E57" i="1" s="1"/>
  <c r="G56" i="1"/>
  <c r="O56" i="1"/>
  <c r="G23" i="2"/>
  <c r="I23" i="2"/>
  <c r="E24" i="2" s="1"/>
  <c r="O23" i="2"/>
  <c r="I57" i="2"/>
  <c r="E58" i="2" s="1"/>
  <c r="G57" i="2"/>
  <c r="O57" i="2"/>
  <c r="I22" i="1"/>
  <c r="E23" i="1" s="1"/>
  <c r="G22" i="1"/>
  <c r="O22" i="1"/>
  <c r="I128" i="2" l="1"/>
  <c r="E129" i="2" s="1"/>
  <c r="G128" i="2"/>
  <c r="O128" i="2"/>
  <c r="I128" i="1"/>
  <c r="E129" i="1" s="1"/>
  <c r="G128" i="1"/>
  <c r="O128" i="1"/>
  <c r="G93" i="2"/>
  <c r="I93" i="2"/>
  <c r="E94" i="2" s="1"/>
  <c r="O93" i="2"/>
  <c r="G92" i="1"/>
  <c r="I92" i="1"/>
  <c r="E93" i="1" s="1"/>
  <c r="O92" i="1"/>
  <c r="G57" i="1"/>
  <c r="I57" i="1"/>
  <c r="E58" i="1" s="1"/>
  <c r="O57" i="1"/>
  <c r="G24" i="2"/>
  <c r="I24" i="2"/>
  <c r="E25" i="2" s="1"/>
  <c r="O24" i="2"/>
  <c r="G58" i="2"/>
  <c r="I58" i="2"/>
  <c r="E59" i="2" s="1"/>
  <c r="O58" i="2"/>
  <c r="I23" i="1"/>
  <c r="E24" i="1" s="1"/>
  <c r="G23" i="1"/>
  <c r="O23" i="1"/>
  <c r="I129" i="2" l="1"/>
  <c r="E130" i="2" s="1"/>
  <c r="G129" i="2"/>
  <c r="O129" i="2"/>
  <c r="I129" i="1"/>
  <c r="E130" i="1" s="1"/>
  <c r="G129" i="1"/>
  <c r="O129" i="1"/>
  <c r="I93" i="1"/>
  <c r="E94" i="1" s="1"/>
  <c r="G93" i="1"/>
  <c r="O93" i="1"/>
  <c r="G94" i="2"/>
  <c r="I94" i="2"/>
  <c r="E95" i="2" s="1"/>
  <c r="O94" i="2"/>
  <c r="G58" i="1"/>
  <c r="I58" i="1"/>
  <c r="E59" i="1" s="1"/>
  <c r="O58" i="1"/>
  <c r="G59" i="2"/>
  <c r="I59" i="2"/>
  <c r="E60" i="2" s="1"/>
  <c r="O59" i="2"/>
  <c r="G25" i="2"/>
  <c r="I25" i="2"/>
  <c r="E26" i="2" s="1"/>
  <c r="O25" i="2"/>
  <c r="G24" i="1"/>
  <c r="I24" i="1"/>
  <c r="E25" i="1" s="1"/>
  <c r="O24" i="1"/>
  <c r="I130" i="2" l="1"/>
  <c r="G130" i="2"/>
  <c r="O130" i="2"/>
  <c r="G130" i="1"/>
  <c r="I130" i="1"/>
  <c r="O130" i="1"/>
  <c r="I95" i="2"/>
  <c r="E96" i="2" s="1"/>
  <c r="G95" i="2"/>
  <c r="O95" i="2"/>
  <c r="I94" i="1"/>
  <c r="E95" i="1" s="1"/>
  <c r="G94" i="1"/>
  <c r="O94" i="1"/>
  <c r="G59" i="1"/>
  <c r="I59" i="1"/>
  <c r="E60" i="1" s="1"/>
  <c r="O59" i="1"/>
  <c r="G60" i="2"/>
  <c r="I60" i="2"/>
  <c r="E61" i="2" s="1"/>
  <c r="O60" i="2"/>
  <c r="I26" i="2"/>
  <c r="E27" i="2" s="1"/>
  <c r="G26" i="2"/>
  <c r="O26" i="2"/>
  <c r="I25" i="1"/>
  <c r="E26" i="1" s="1"/>
  <c r="G25" i="1"/>
  <c r="O25" i="1"/>
  <c r="G95" i="1" l="1"/>
  <c r="I95" i="1"/>
  <c r="E96" i="1" s="1"/>
  <c r="O95" i="1"/>
  <c r="I96" i="2"/>
  <c r="G96" i="2"/>
  <c r="O96" i="2"/>
  <c r="I60" i="1"/>
  <c r="E61" i="1" s="1"/>
  <c r="G60" i="1"/>
  <c r="O60" i="1"/>
  <c r="G61" i="2"/>
  <c r="I61" i="2"/>
  <c r="E62" i="2" s="1"/>
  <c r="O61" i="2"/>
  <c r="G27" i="2"/>
  <c r="I27" i="2"/>
  <c r="E28" i="2" s="1"/>
  <c r="O27" i="2"/>
  <c r="I26" i="1"/>
  <c r="E27" i="1" s="1"/>
  <c r="G26" i="1"/>
  <c r="O26" i="1"/>
  <c r="I96" i="1" l="1"/>
  <c r="G96" i="1"/>
  <c r="O96" i="1"/>
  <c r="I61" i="1"/>
  <c r="E62" i="1" s="1"/>
  <c r="G61" i="1"/>
  <c r="O61" i="1"/>
  <c r="G62" i="2"/>
  <c r="I62" i="2"/>
  <c r="E63" i="2" s="1"/>
  <c r="O62" i="2"/>
  <c r="G28" i="2"/>
  <c r="I28" i="2"/>
  <c r="E29" i="2" s="1"/>
  <c r="O28" i="2"/>
  <c r="I27" i="1"/>
  <c r="E28" i="1" s="1"/>
  <c r="G27" i="1"/>
  <c r="O27" i="1"/>
  <c r="I62" i="1" l="1"/>
  <c r="E63" i="1" s="1"/>
  <c r="G62" i="1"/>
  <c r="O62" i="1"/>
  <c r="G63" i="2"/>
  <c r="I63" i="2"/>
  <c r="O63" i="2"/>
  <c r="I29" i="2"/>
  <c r="G29" i="2"/>
  <c r="O29" i="2"/>
  <c r="I28" i="1"/>
  <c r="E29" i="1" s="1"/>
  <c r="G28" i="1"/>
  <c r="O28" i="1"/>
  <c r="G63" i="1" l="1"/>
  <c r="I63" i="1"/>
  <c r="O63" i="1"/>
  <c r="I29" i="1"/>
  <c r="G29" i="1"/>
  <c r="O29" i="1"/>
</calcChain>
</file>

<file path=xl/sharedStrings.xml><?xml version="1.0" encoding="utf-8"?>
<sst xmlns="http://schemas.openxmlformats.org/spreadsheetml/2006/main" count="562" uniqueCount="25">
  <si>
    <t>PRODUCTION</t>
  </si>
  <si>
    <t>DATE</t>
  </si>
  <si>
    <t>Birds</t>
  </si>
  <si>
    <t>Mortality</t>
  </si>
  <si>
    <t>M.R</t>
  </si>
  <si>
    <t>Sold Birds</t>
  </si>
  <si>
    <t>Net Birds</t>
  </si>
  <si>
    <t>Trays</t>
  </si>
  <si>
    <t>No.of Eggs</t>
  </si>
  <si>
    <t>ext.Large</t>
  </si>
  <si>
    <t>Damaged</t>
  </si>
  <si>
    <t>Net for Sale</t>
  </si>
  <si>
    <t>%ge prodn</t>
  </si>
  <si>
    <t>Feeds/Bags</t>
  </si>
  <si>
    <t>Feeds/kgs</t>
  </si>
  <si>
    <t>Feeds/g</t>
  </si>
  <si>
    <t>C/Bag</t>
  </si>
  <si>
    <t>Cost/Day</t>
  </si>
  <si>
    <t>Avrg Weight</t>
  </si>
  <si>
    <t>Expected Weight</t>
  </si>
  <si>
    <t>WEEK</t>
  </si>
  <si>
    <t>Weight</t>
  </si>
  <si>
    <t>weight</t>
  </si>
  <si>
    <t>Water Consumption(litres)</t>
  </si>
  <si>
    <t>Water Consumtion (litres)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</si>
</sst>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14" fontId="0" fillId="0" borderId="2" xfId="0" applyNumberForma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0" fontId="3" fillId="0" borderId="1" xfId="2" applyNumberFormat="1" applyFont="1" applyBorder="1" applyAlignment="1">
      <alignment horizontal="center"/>
    </xf>
    <xf numFmtId="165" fontId="3" fillId="0" borderId="1" xfId="1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164" fontId="3" fillId="0" borderId="1" xfId="1" applyFont="1" applyBorder="1"/>
    <xf numFmtId="2" fontId="3" fillId="0" borderId="1" xfId="0" applyNumberFormat="1" applyFont="1" applyBorder="1"/>
    <xf numFmtId="10" fontId="0" fillId="0" borderId="1" xfId="2" applyNumberFormat="1" applyFont="1" applyBorder="1"/>
    <xf numFmtId="10" fontId="0" fillId="0" borderId="2" xfId="2" applyNumberFormat="1" applyFont="1" applyBorder="1"/>
    <xf numFmtId="0" fontId="0" fillId="0" borderId="2" xfId="0" applyBorder="1"/>
    <xf numFmtId="2" fontId="0" fillId="0" borderId="0" xfId="0" applyNumberFormat="1"/>
    <xf numFmtId="2" fontId="0" fillId="0" borderId="1" xfId="0" applyNumberFormat="1" applyBorder="1"/>
    <xf numFmtId="2" fontId="2" fillId="0" borderId="1" xfId="0" applyNumberFormat="1" applyFont="1" applyBorder="1"/>
    <xf numFmtId="2" fontId="0" fillId="0" borderId="2" xfId="0" applyNumberFormat="1" applyBorder="1"/>
    <xf numFmtId="10" fontId="0" fillId="0" borderId="0" xfId="2" applyNumberFormat="1" applyFont="1"/>
    <xf numFmtId="164" fontId="0" fillId="0" borderId="1" xfId="0" applyNumberFormat="1" applyBorder="1"/>
    <xf numFmtId="14" fontId="0" fillId="2" borderId="1" xfId="0" applyNumberFormat="1" applyFill="1" applyBorder="1"/>
    <xf numFmtId="14" fontId="0" fillId="0" borderId="3" xfId="0" applyNumberFormat="1" applyBorder="1"/>
    <xf numFmtId="2" fontId="0" fillId="0" borderId="3" xfId="0" applyNumberFormat="1" applyBorder="1"/>
    <xf numFmtId="0" fontId="0" fillId="0" borderId="3" xfId="0" applyBorder="1"/>
    <xf numFmtId="10" fontId="0" fillId="0" borderId="3" xfId="2" applyNumberFormat="1" applyFont="1" applyBorder="1"/>
    <xf numFmtId="0" fontId="2" fillId="0" borderId="2" xfId="0" applyFont="1" applyBorder="1"/>
    <xf numFmtId="0" fontId="2" fillId="0" borderId="4" xfId="0" applyFont="1" applyBorder="1"/>
    <xf numFmtId="14" fontId="0" fillId="0" borderId="4" xfId="0" applyNumberFormat="1" applyBorder="1"/>
    <xf numFmtId="2" fontId="0" fillId="0" borderId="4" xfId="0" applyNumberFormat="1" applyBorder="1"/>
    <xf numFmtId="0" fontId="0" fillId="0" borderId="4" xfId="0" applyBorder="1"/>
    <xf numFmtId="10" fontId="0" fillId="0" borderId="4" xfId="2" applyNumberFormat="1" applyFont="1" applyBorder="1"/>
    <xf numFmtId="10" fontId="0" fillId="0" borderId="0" xfId="2" applyNumberFormat="1" applyFont="1" applyBorder="1"/>
    <xf numFmtId="10" fontId="3" fillId="0" borderId="1" xfId="2" applyNumberFormat="1" applyFont="1" applyBorder="1"/>
    <xf numFmtId="0" fontId="4" fillId="0" borderId="1" xfId="0" applyFont="1" applyBorder="1"/>
    <xf numFmtId="0" fontId="2" fillId="0" borderId="3" xfId="0" applyFont="1" applyBorder="1"/>
    <xf numFmtId="2" fontId="2" fillId="0" borderId="3" xfId="0" applyNumberFormat="1" applyFont="1" applyBorder="1"/>
    <xf numFmtId="3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10" fontId="3" fillId="0" borderId="3" xfId="2" applyNumberFormat="1" applyFont="1" applyBorder="1" applyAlignment="1">
      <alignment horizontal="center"/>
    </xf>
    <xf numFmtId="165" fontId="3" fillId="0" borderId="3" xfId="1" applyNumberFormat="1" applyFont="1" applyBorder="1"/>
    <xf numFmtId="0" fontId="3" fillId="0" borderId="3" xfId="0" applyFont="1" applyBorder="1" applyAlignment="1">
      <alignment horizontal="center"/>
    </xf>
    <xf numFmtId="10" fontId="3" fillId="0" borderId="3" xfId="2" applyNumberFormat="1" applyFont="1" applyBorder="1"/>
    <xf numFmtId="164" fontId="3" fillId="0" borderId="3" xfId="0" applyNumberFormat="1" applyFont="1" applyBorder="1"/>
    <xf numFmtId="164" fontId="3" fillId="0" borderId="3" xfId="1" applyFont="1" applyBorder="1"/>
    <xf numFmtId="2" fontId="3" fillId="0" borderId="3" xfId="0" applyNumberFormat="1" applyFont="1" applyBorder="1"/>
    <xf numFmtId="0" fontId="4" fillId="0" borderId="3" xfId="0" applyFont="1" applyBorder="1"/>
    <xf numFmtId="0" fontId="5" fillId="0" borderId="1" xfId="0" applyFont="1" applyBorder="1"/>
    <xf numFmtId="0" fontId="0" fillId="0" borderId="5" xfId="0" applyBorder="1"/>
    <xf numFmtId="164" fontId="0" fillId="0" borderId="3" xfId="0" applyNumberFormat="1" applyBorder="1"/>
    <xf numFmtId="10" fontId="1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39"/>
  <sheetViews>
    <sheetView topLeftCell="H1" zoomScaleNormal="100" workbookViewId="0">
      <pane ySplit="1" topLeftCell="A415" activePane="bottomLeft" state="frozen"/>
      <selection pane="bottomLeft" activeCell="V431" sqref="V431"/>
    </sheetView>
  </sheetViews>
  <sheetFormatPr defaultRowHeight="14.5" x14ac:dyDescent="0.35"/>
  <cols>
    <col min="1" max="1" width="8.81640625" style="1" customWidth="1"/>
    <col min="2" max="2" width="12" customWidth="1"/>
    <col min="3" max="3" width="15.26953125" customWidth="1"/>
    <col min="4" max="4" width="11.26953125" style="17" customWidth="1"/>
    <col min="7" max="7" width="8.81640625" style="21" customWidth="1"/>
    <col min="12" max="13" width="10.26953125" customWidth="1"/>
    <col min="15" max="15" width="11.54296875" style="21" customWidth="1"/>
    <col min="16" max="16" width="12.453125" customWidth="1"/>
    <col min="19" max="19" width="10.54296875" customWidth="1"/>
    <col min="20" max="20" width="10.1796875" customWidth="1"/>
    <col min="22" max="22" width="32.1796875" customWidth="1"/>
  </cols>
  <sheetData>
    <row r="1" spans="1:22" x14ac:dyDescent="0.35">
      <c r="A1" s="1" t="s">
        <v>0</v>
      </c>
    </row>
    <row r="2" spans="1:22" x14ac:dyDescent="0.35">
      <c r="B2" s="2"/>
      <c r="C2" s="17"/>
    </row>
    <row r="3" spans="1:22" x14ac:dyDescent="0.35">
      <c r="A3" s="1" t="s">
        <v>20</v>
      </c>
      <c r="B3" s="3" t="s">
        <v>1</v>
      </c>
      <c r="C3" s="19" t="s">
        <v>19</v>
      </c>
      <c r="D3" s="19" t="s">
        <v>18</v>
      </c>
      <c r="E3" s="6" t="s">
        <v>2</v>
      </c>
      <c r="F3" s="7" t="s">
        <v>3</v>
      </c>
      <c r="G3" s="8" t="s">
        <v>4</v>
      </c>
      <c r="H3" s="7" t="s">
        <v>5</v>
      </c>
      <c r="I3" s="9" t="s">
        <v>6</v>
      </c>
      <c r="J3" s="10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35" t="s">
        <v>12</v>
      </c>
      <c r="P3" s="10" t="s">
        <v>13</v>
      </c>
      <c r="Q3" s="7" t="s">
        <v>14</v>
      </c>
      <c r="R3" s="11" t="s">
        <v>15</v>
      </c>
      <c r="S3" s="12" t="s">
        <v>16</v>
      </c>
      <c r="T3" s="13" t="s">
        <v>17</v>
      </c>
      <c r="U3" s="36" t="s">
        <v>22</v>
      </c>
      <c r="V3" s="36" t="s">
        <v>24</v>
      </c>
    </row>
    <row r="4" spans="1:22" x14ac:dyDescent="0.35">
      <c r="A4" s="1">
        <v>19</v>
      </c>
      <c r="B4" s="24">
        <v>45844</v>
      </c>
      <c r="C4" s="25"/>
      <c r="D4" s="25"/>
      <c r="E4" s="26">
        <v>8064</v>
      </c>
      <c r="F4" s="26">
        <v>0</v>
      </c>
      <c r="G4" s="27">
        <f>F4/E4</f>
        <v>0</v>
      </c>
      <c r="H4" s="26"/>
      <c r="I4" s="26">
        <f t="shared" ref="I4:I29" si="0">E4-F4-H4</f>
        <v>8064</v>
      </c>
      <c r="J4" s="26">
        <v>0</v>
      </c>
      <c r="K4" s="26">
        <v>13</v>
      </c>
      <c r="L4" s="26">
        <v>0</v>
      </c>
      <c r="M4" s="26">
        <v>0</v>
      </c>
      <c r="N4" s="26">
        <f>K4+L4-M4</f>
        <v>13</v>
      </c>
      <c r="O4" s="34">
        <f>N4/E4</f>
        <v>1.6121031746031745E-3</v>
      </c>
      <c r="P4" s="26">
        <v>13</v>
      </c>
      <c r="Q4" s="26">
        <f t="shared" ref="Q4:Q29" si="1">P4*50</f>
        <v>650</v>
      </c>
      <c r="R4" s="26">
        <f t="shared" ref="R4:R29" si="2">Q4*1000</f>
        <v>650000</v>
      </c>
      <c r="S4" s="26">
        <v>2853.08</v>
      </c>
      <c r="T4" s="4">
        <f t="shared" ref="T4:T29" si="3">P4*S4</f>
        <v>37090.04</v>
      </c>
      <c r="U4" s="4"/>
      <c r="V4" s="4"/>
    </row>
    <row r="5" spans="1:22" ht="15" thickBot="1" x14ac:dyDescent="0.4">
      <c r="A5" s="29">
        <v>19</v>
      </c>
      <c r="B5" s="30">
        <v>45845</v>
      </c>
      <c r="C5" s="31"/>
      <c r="D5" s="31"/>
      <c r="E5" s="32">
        <f t="shared" ref="E5:E29" si="4">I4</f>
        <v>8064</v>
      </c>
      <c r="F5" s="32">
        <v>0</v>
      </c>
      <c r="G5" s="33">
        <f t="shared" ref="G5:G29" si="5">F5/E5</f>
        <v>0</v>
      </c>
      <c r="H5" s="32"/>
      <c r="I5" s="32">
        <f t="shared" si="0"/>
        <v>8064</v>
      </c>
      <c r="J5" s="32">
        <v>0</v>
      </c>
      <c r="K5" s="32">
        <v>23</v>
      </c>
      <c r="L5" s="32">
        <v>0</v>
      </c>
      <c r="M5" s="32">
        <v>0</v>
      </c>
      <c r="N5" s="26">
        <f t="shared" ref="N5:N29" si="6">K5+L5-M5</f>
        <v>23</v>
      </c>
      <c r="O5" s="34">
        <f t="shared" ref="O5:O29" si="7">N5/E5</f>
        <v>2.8521825396825395E-3</v>
      </c>
      <c r="P5" s="32">
        <v>14</v>
      </c>
      <c r="Q5" s="32">
        <f t="shared" si="1"/>
        <v>700</v>
      </c>
      <c r="R5" s="32">
        <f t="shared" si="2"/>
        <v>700000</v>
      </c>
      <c r="S5" s="32">
        <v>2853.08</v>
      </c>
      <c r="T5" s="4">
        <f t="shared" si="3"/>
        <v>39943.119999999995</v>
      </c>
      <c r="U5" s="4"/>
      <c r="V5" s="4"/>
    </row>
    <row r="6" spans="1:22" x14ac:dyDescent="0.35">
      <c r="A6" s="28">
        <v>20</v>
      </c>
      <c r="B6" s="5">
        <v>45846</v>
      </c>
      <c r="C6" s="20"/>
      <c r="D6" s="20"/>
      <c r="E6" s="16">
        <f t="shared" si="4"/>
        <v>8064</v>
      </c>
      <c r="F6" s="16">
        <v>0</v>
      </c>
      <c r="G6" s="15">
        <f t="shared" si="5"/>
        <v>0</v>
      </c>
      <c r="H6" s="16"/>
      <c r="I6" s="16">
        <f t="shared" si="0"/>
        <v>8064</v>
      </c>
      <c r="J6" s="16">
        <v>1</v>
      </c>
      <c r="K6" s="16">
        <v>31</v>
      </c>
      <c r="L6" s="16">
        <v>0</v>
      </c>
      <c r="M6" s="16">
        <v>0</v>
      </c>
      <c r="N6" s="26">
        <f t="shared" si="6"/>
        <v>31</v>
      </c>
      <c r="O6" s="34">
        <f t="shared" si="7"/>
        <v>3.8442460317460315E-3</v>
      </c>
      <c r="P6" s="16">
        <v>13</v>
      </c>
      <c r="Q6" s="16">
        <f t="shared" si="1"/>
        <v>650</v>
      </c>
      <c r="R6" s="16">
        <f t="shared" si="2"/>
        <v>650000</v>
      </c>
      <c r="S6" s="16">
        <v>2853.08</v>
      </c>
      <c r="T6" s="4">
        <f t="shared" si="3"/>
        <v>37090.04</v>
      </c>
      <c r="U6" s="4"/>
      <c r="V6" s="4"/>
    </row>
    <row r="7" spans="1:22" x14ac:dyDescent="0.35">
      <c r="A7" s="28">
        <v>20</v>
      </c>
      <c r="B7" s="5">
        <v>45847</v>
      </c>
      <c r="C7" s="18"/>
      <c r="D7" s="18"/>
      <c r="E7" s="16">
        <f t="shared" si="4"/>
        <v>8064</v>
      </c>
      <c r="F7" s="16">
        <v>0</v>
      </c>
      <c r="G7" s="15">
        <f t="shared" si="5"/>
        <v>0</v>
      </c>
      <c r="H7" s="4"/>
      <c r="I7" s="16">
        <f t="shared" si="0"/>
        <v>8064</v>
      </c>
      <c r="J7" s="4">
        <v>1</v>
      </c>
      <c r="K7" s="4">
        <v>38</v>
      </c>
      <c r="L7" s="16">
        <v>0</v>
      </c>
      <c r="M7" s="16">
        <v>0</v>
      </c>
      <c r="N7" s="26">
        <f t="shared" si="6"/>
        <v>38</v>
      </c>
      <c r="O7" s="34">
        <f t="shared" si="7"/>
        <v>4.712301587301587E-3</v>
      </c>
      <c r="P7" s="16">
        <v>15</v>
      </c>
      <c r="Q7" s="16">
        <f t="shared" si="1"/>
        <v>750</v>
      </c>
      <c r="R7" s="16">
        <f t="shared" si="2"/>
        <v>750000</v>
      </c>
      <c r="S7" s="16">
        <v>2853.08</v>
      </c>
      <c r="T7" s="4">
        <f t="shared" si="3"/>
        <v>42796.2</v>
      </c>
      <c r="U7" s="4"/>
      <c r="V7" s="4"/>
    </row>
    <row r="8" spans="1:22" x14ac:dyDescent="0.35">
      <c r="A8" s="28">
        <v>20</v>
      </c>
      <c r="B8" s="5">
        <v>45848</v>
      </c>
      <c r="C8" s="18"/>
      <c r="D8" s="18"/>
      <c r="E8" s="16">
        <f t="shared" si="4"/>
        <v>8064</v>
      </c>
      <c r="F8" s="4">
        <v>0</v>
      </c>
      <c r="G8" s="15">
        <f t="shared" si="5"/>
        <v>0</v>
      </c>
      <c r="H8" s="4"/>
      <c r="I8" s="4">
        <f t="shared" si="0"/>
        <v>8064</v>
      </c>
      <c r="J8" s="4">
        <v>1</v>
      </c>
      <c r="K8" s="4">
        <v>57</v>
      </c>
      <c r="L8" s="16">
        <v>0</v>
      </c>
      <c r="M8" s="16">
        <v>0</v>
      </c>
      <c r="N8" s="26">
        <f t="shared" si="6"/>
        <v>57</v>
      </c>
      <c r="O8" s="34">
        <f t="shared" si="7"/>
        <v>7.068452380952381E-3</v>
      </c>
      <c r="P8" s="16">
        <v>15</v>
      </c>
      <c r="Q8" s="16">
        <f t="shared" si="1"/>
        <v>750</v>
      </c>
      <c r="R8" s="16">
        <f t="shared" si="2"/>
        <v>750000</v>
      </c>
      <c r="S8" s="16">
        <v>2853.08</v>
      </c>
      <c r="T8" s="4">
        <f t="shared" si="3"/>
        <v>42796.2</v>
      </c>
      <c r="U8" s="4"/>
      <c r="V8" s="4"/>
    </row>
    <row r="9" spans="1:22" x14ac:dyDescent="0.35">
      <c r="A9" s="28">
        <v>20</v>
      </c>
      <c r="B9" s="5">
        <v>45849</v>
      </c>
      <c r="C9" s="18"/>
      <c r="D9" s="18"/>
      <c r="E9" s="16">
        <f t="shared" si="4"/>
        <v>8064</v>
      </c>
      <c r="F9" s="4">
        <v>0</v>
      </c>
      <c r="G9" s="15">
        <f t="shared" si="5"/>
        <v>0</v>
      </c>
      <c r="H9" s="4"/>
      <c r="I9" s="4">
        <f t="shared" si="0"/>
        <v>8064</v>
      </c>
      <c r="J9" s="4">
        <v>2</v>
      </c>
      <c r="K9" s="4">
        <v>84</v>
      </c>
      <c r="L9" s="16">
        <v>0</v>
      </c>
      <c r="M9" s="16">
        <v>0</v>
      </c>
      <c r="N9" s="26">
        <f t="shared" si="6"/>
        <v>84</v>
      </c>
      <c r="O9" s="34">
        <f t="shared" si="7"/>
        <v>1.0416666666666666E-2</v>
      </c>
      <c r="P9" s="16">
        <v>15</v>
      </c>
      <c r="Q9" s="16">
        <f t="shared" si="1"/>
        <v>750</v>
      </c>
      <c r="R9" s="16">
        <f t="shared" si="2"/>
        <v>750000</v>
      </c>
      <c r="S9" s="16">
        <v>2853.08</v>
      </c>
      <c r="T9" s="4">
        <f t="shared" si="3"/>
        <v>42796.2</v>
      </c>
      <c r="U9" s="4"/>
      <c r="V9" s="4"/>
    </row>
    <row r="10" spans="1:22" x14ac:dyDescent="0.35">
      <c r="A10" s="28">
        <v>20</v>
      </c>
      <c r="B10" s="5">
        <v>45850</v>
      </c>
      <c r="C10" s="18"/>
      <c r="D10" s="18"/>
      <c r="E10" s="16">
        <f t="shared" si="4"/>
        <v>8064</v>
      </c>
      <c r="F10" s="4">
        <v>0</v>
      </c>
      <c r="G10" s="15">
        <f t="shared" si="5"/>
        <v>0</v>
      </c>
      <c r="H10" s="4"/>
      <c r="I10" s="4">
        <f t="shared" si="0"/>
        <v>8064</v>
      </c>
      <c r="J10" s="4">
        <v>3</v>
      </c>
      <c r="K10" s="4">
        <v>120</v>
      </c>
      <c r="L10" s="16">
        <v>0</v>
      </c>
      <c r="M10" s="16">
        <v>0</v>
      </c>
      <c r="N10" s="26">
        <f t="shared" si="6"/>
        <v>120</v>
      </c>
      <c r="O10" s="34">
        <f t="shared" si="7"/>
        <v>1.488095238095238E-2</v>
      </c>
      <c r="P10" s="16">
        <v>15</v>
      </c>
      <c r="Q10" s="16">
        <f t="shared" si="1"/>
        <v>750</v>
      </c>
      <c r="R10" s="16">
        <f t="shared" si="2"/>
        <v>750000</v>
      </c>
      <c r="S10" s="16">
        <v>2853.08</v>
      </c>
      <c r="T10" s="4">
        <f t="shared" si="3"/>
        <v>42796.2</v>
      </c>
      <c r="U10" s="4"/>
      <c r="V10" s="4"/>
    </row>
    <row r="11" spans="1:22" x14ac:dyDescent="0.35">
      <c r="A11" s="28">
        <v>20</v>
      </c>
      <c r="B11" s="5">
        <v>45851</v>
      </c>
      <c r="C11" s="18"/>
      <c r="D11" s="18"/>
      <c r="E11" s="16">
        <f t="shared" si="4"/>
        <v>8064</v>
      </c>
      <c r="F11" s="4">
        <v>0</v>
      </c>
      <c r="G11" s="15">
        <f t="shared" si="5"/>
        <v>0</v>
      </c>
      <c r="H11" s="4"/>
      <c r="I11" s="4">
        <f t="shared" si="0"/>
        <v>8064</v>
      </c>
      <c r="J11" s="4">
        <v>4</v>
      </c>
      <c r="K11" s="4">
        <v>144</v>
      </c>
      <c r="L11" s="16">
        <v>0</v>
      </c>
      <c r="M11" s="16">
        <v>0</v>
      </c>
      <c r="N11" s="26">
        <f t="shared" si="6"/>
        <v>144</v>
      </c>
      <c r="O11" s="34">
        <f t="shared" si="7"/>
        <v>1.7857142857142856E-2</v>
      </c>
      <c r="P11" s="4">
        <v>14</v>
      </c>
      <c r="Q11" s="4">
        <f t="shared" si="1"/>
        <v>700</v>
      </c>
      <c r="R11" s="4">
        <f t="shared" si="2"/>
        <v>700000</v>
      </c>
      <c r="S11" s="16">
        <v>2853.08</v>
      </c>
      <c r="T11" s="4">
        <f t="shared" si="3"/>
        <v>39943.119999999995</v>
      </c>
      <c r="U11" s="4"/>
      <c r="V11" s="4"/>
    </row>
    <row r="12" spans="1:22" x14ac:dyDescent="0.35">
      <c r="A12" s="28">
        <v>20</v>
      </c>
      <c r="B12" s="5">
        <v>45852</v>
      </c>
      <c r="C12" s="18"/>
      <c r="D12" s="18"/>
      <c r="E12" s="16">
        <f t="shared" si="4"/>
        <v>8064</v>
      </c>
      <c r="F12" s="4">
        <v>0</v>
      </c>
      <c r="G12" s="15">
        <f t="shared" si="5"/>
        <v>0</v>
      </c>
      <c r="H12" s="4"/>
      <c r="I12" s="4">
        <f t="shared" si="0"/>
        <v>8064</v>
      </c>
      <c r="J12" s="4">
        <v>5</v>
      </c>
      <c r="K12" s="4">
        <v>170</v>
      </c>
      <c r="L12" s="16">
        <v>0</v>
      </c>
      <c r="M12" s="16">
        <v>0</v>
      </c>
      <c r="N12" s="26">
        <f t="shared" si="6"/>
        <v>170</v>
      </c>
      <c r="O12" s="34">
        <f t="shared" si="7"/>
        <v>2.1081349206349208E-2</v>
      </c>
      <c r="P12" s="4">
        <v>14</v>
      </c>
      <c r="Q12" s="4">
        <f t="shared" si="1"/>
        <v>700</v>
      </c>
      <c r="R12" s="4">
        <f t="shared" si="2"/>
        <v>700000</v>
      </c>
      <c r="S12" s="16">
        <v>2853.08</v>
      </c>
      <c r="T12" s="4">
        <f t="shared" si="3"/>
        <v>39943.119999999995</v>
      </c>
      <c r="U12" s="4"/>
      <c r="V12" s="4"/>
    </row>
    <row r="13" spans="1:22" x14ac:dyDescent="0.35">
      <c r="A13" s="28">
        <v>21</v>
      </c>
      <c r="B13" s="5">
        <v>45853</v>
      </c>
      <c r="C13" s="18"/>
      <c r="D13" s="18"/>
      <c r="E13" s="16">
        <f t="shared" si="4"/>
        <v>8064</v>
      </c>
      <c r="F13" s="4">
        <v>0</v>
      </c>
      <c r="G13" s="15">
        <f t="shared" si="5"/>
        <v>0</v>
      </c>
      <c r="H13" s="4"/>
      <c r="I13" s="4">
        <f t="shared" si="0"/>
        <v>8064</v>
      </c>
      <c r="J13" s="4">
        <v>6</v>
      </c>
      <c r="K13" s="4">
        <v>201</v>
      </c>
      <c r="L13" s="16">
        <v>0</v>
      </c>
      <c r="M13" s="16">
        <v>0</v>
      </c>
      <c r="N13" s="26">
        <f t="shared" si="6"/>
        <v>201</v>
      </c>
      <c r="O13" s="34">
        <f t="shared" si="7"/>
        <v>2.492559523809524E-2</v>
      </c>
      <c r="P13" s="4">
        <v>15</v>
      </c>
      <c r="Q13" s="4">
        <f t="shared" si="1"/>
        <v>750</v>
      </c>
      <c r="R13" s="4">
        <f t="shared" si="2"/>
        <v>750000</v>
      </c>
      <c r="S13" s="16">
        <v>2853.08</v>
      </c>
      <c r="T13" s="4">
        <f t="shared" si="3"/>
        <v>42796.2</v>
      </c>
      <c r="U13" s="4"/>
      <c r="V13" s="4"/>
    </row>
    <row r="14" spans="1:22" x14ac:dyDescent="0.35">
      <c r="A14" s="28">
        <v>21</v>
      </c>
      <c r="B14" s="5">
        <v>45854</v>
      </c>
      <c r="C14" s="18"/>
      <c r="D14" s="18"/>
      <c r="E14" s="16">
        <f t="shared" si="4"/>
        <v>8064</v>
      </c>
      <c r="F14" s="4">
        <v>0</v>
      </c>
      <c r="G14" s="15">
        <f t="shared" si="5"/>
        <v>0</v>
      </c>
      <c r="H14" s="4"/>
      <c r="I14" s="4">
        <f t="shared" si="0"/>
        <v>8064</v>
      </c>
      <c r="J14" s="4">
        <v>8</v>
      </c>
      <c r="K14" s="4">
        <v>246</v>
      </c>
      <c r="L14" s="16">
        <v>0</v>
      </c>
      <c r="M14" s="16">
        <v>0</v>
      </c>
      <c r="N14" s="26">
        <f t="shared" si="6"/>
        <v>246</v>
      </c>
      <c r="O14" s="34">
        <f t="shared" si="7"/>
        <v>3.050595238095238E-2</v>
      </c>
      <c r="P14" s="4">
        <v>15</v>
      </c>
      <c r="Q14" s="4">
        <f t="shared" si="1"/>
        <v>750</v>
      </c>
      <c r="R14" s="4">
        <f t="shared" si="2"/>
        <v>750000</v>
      </c>
      <c r="S14" s="16">
        <v>2853.08</v>
      </c>
      <c r="T14" s="4">
        <f t="shared" si="3"/>
        <v>42796.2</v>
      </c>
      <c r="U14" s="4"/>
      <c r="V14" s="4"/>
    </row>
    <row r="15" spans="1:22" x14ac:dyDescent="0.35">
      <c r="A15" s="28">
        <v>21</v>
      </c>
      <c r="B15" s="5">
        <v>45855</v>
      </c>
      <c r="C15" s="18"/>
      <c r="D15" s="18"/>
      <c r="E15" s="16">
        <f t="shared" si="4"/>
        <v>8064</v>
      </c>
      <c r="F15" s="4">
        <v>0</v>
      </c>
      <c r="G15" s="15">
        <f t="shared" si="5"/>
        <v>0</v>
      </c>
      <c r="H15" s="4"/>
      <c r="I15" s="4">
        <f t="shared" si="0"/>
        <v>8064</v>
      </c>
      <c r="J15" s="4">
        <v>9</v>
      </c>
      <c r="K15" s="4">
        <v>277</v>
      </c>
      <c r="L15" s="16">
        <v>0</v>
      </c>
      <c r="M15" s="16">
        <v>0</v>
      </c>
      <c r="N15" s="26">
        <f t="shared" si="6"/>
        <v>277</v>
      </c>
      <c r="O15" s="34">
        <f t="shared" si="7"/>
        <v>3.4350198412698416E-2</v>
      </c>
      <c r="P15" s="4">
        <v>18</v>
      </c>
      <c r="Q15" s="4">
        <f t="shared" si="1"/>
        <v>900</v>
      </c>
      <c r="R15" s="4">
        <f t="shared" si="2"/>
        <v>900000</v>
      </c>
      <c r="S15" s="16">
        <v>2818.03</v>
      </c>
      <c r="T15" s="4">
        <f t="shared" si="3"/>
        <v>50724.54</v>
      </c>
      <c r="U15" s="4"/>
      <c r="V15" s="4"/>
    </row>
    <row r="16" spans="1:22" x14ac:dyDescent="0.35">
      <c r="A16" s="28">
        <v>21</v>
      </c>
      <c r="B16" s="5">
        <v>45856</v>
      </c>
      <c r="C16" s="18"/>
      <c r="D16" s="18"/>
      <c r="E16" s="16">
        <f t="shared" si="4"/>
        <v>8064</v>
      </c>
      <c r="F16" s="4">
        <v>0</v>
      </c>
      <c r="G16" s="15">
        <f t="shared" si="5"/>
        <v>0</v>
      </c>
      <c r="H16" s="4"/>
      <c r="I16" s="4">
        <f t="shared" si="0"/>
        <v>8064</v>
      </c>
      <c r="J16" s="4">
        <v>12</v>
      </c>
      <c r="K16" s="4">
        <v>360</v>
      </c>
      <c r="L16" s="16">
        <v>0</v>
      </c>
      <c r="M16" s="16">
        <v>0</v>
      </c>
      <c r="N16" s="26">
        <f t="shared" si="6"/>
        <v>360</v>
      </c>
      <c r="O16" s="34">
        <f t="shared" si="7"/>
        <v>4.4642857142857144E-2</v>
      </c>
      <c r="P16" s="4">
        <v>18</v>
      </c>
      <c r="Q16" s="4">
        <f t="shared" si="1"/>
        <v>900</v>
      </c>
      <c r="R16" s="4">
        <f t="shared" si="2"/>
        <v>900000</v>
      </c>
      <c r="S16" s="16">
        <v>2818.03</v>
      </c>
      <c r="T16" s="4">
        <f t="shared" si="3"/>
        <v>50724.54</v>
      </c>
      <c r="U16" s="4"/>
      <c r="V16" s="4"/>
    </row>
    <row r="17" spans="1:22" x14ac:dyDescent="0.35">
      <c r="A17" s="28">
        <v>21</v>
      </c>
      <c r="B17" s="5">
        <v>45857</v>
      </c>
      <c r="C17" s="18"/>
      <c r="D17" s="18"/>
      <c r="E17" s="16">
        <f t="shared" si="4"/>
        <v>8064</v>
      </c>
      <c r="F17" s="4">
        <v>0</v>
      </c>
      <c r="G17" s="15">
        <f t="shared" si="5"/>
        <v>0</v>
      </c>
      <c r="H17" s="4"/>
      <c r="I17" s="4">
        <f t="shared" si="0"/>
        <v>8064</v>
      </c>
      <c r="J17" s="4">
        <v>14</v>
      </c>
      <c r="K17" s="4">
        <f t="shared" ref="K17:K29" si="8">J17*30</f>
        <v>420</v>
      </c>
      <c r="L17" s="16">
        <v>0</v>
      </c>
      <c r="M17" s="16">
        <v>0</v>
      </c>
      <c r="N17" s="26">
        <f t="shared" si="6"/>
        <v>420</v>
      </c>
      <c r="O17" s="34">
        <f t="shared" si="7"/>
        <v>5.2083333333333336E-2</v>
      </c>
      <c r="P17" s="4">
        <v>18</v>
      </c>
      <c r="Q17" s="4">
        <f t="shared" si="1"/>
        <v>900</v>
      </c>
      <c r="R17" s="4">
        <f t="shared" si="2"/>
        <v>900000</v>
      </c>
      <c r="S17" s="16">
        <v>2818.03</v>
      </c>
      <c r="T17" s="4">
        <f t="shared" si="3"/>
        <v>50724.54</v>
      </c>
      <c r="U17" s="4"/>
      <c r="V17" s="4"/>
    </row>
    <row r="18" spans="1:22" x14ac:dyDescent="0.35">
      <c r="A18" s="28">
        <v>21</v>
      </c>
      <c r="B18" s="5">
        <v>45858</v>
      </c>
      <c r="C18" s="18"/>
      <c r="D18" s="18"/>
      <c r="E18" s="16">
        <f t="shared" si="4"/>
        <v>8064</v>
      </c>
      <c r="F18" s="4">
        <v>0</v>
      </c>
      <c r="G18" s="15">
        <f t="shared" si="5"/>
        <v>0</v>
      </c>
      <c r="H18" s="4"/>
      <c r="I18" s="4">
        <f t="shared" si="0"/>
        <v>8064</v>
      </c>
      <c r="J18" s="4">
        <v>18</v>
      </c>
      <c r="K18" s="4">
        <f t="shared" si="8"/>
        <v>540</v>
      </c>
      <c r="L18" s="16">
        <v>0</v>
      </c>
      <c r="M18" s="16">
        <v>0</v>
      </c>
      <c r="N18" s="26">
        <f t="shared" si="6"/>
        <v>540</v>
      </c>
      <c r="O18" s="34">
        <f t="shared" si="7"/>
        <v>6.6964285714285712E-2</v>
      </c>
      <c r="P18" s="4">
        <v>18</v>
      </c>
      <c r="Q18" s="4">
        <f t="shared" si="1"/>
        <v>900</v>
      </c>
      <c r="R18" s="4">
        <f t="shared" si="2"/>
        <v>900000</v>
      </c>
      <c r="S18" s="16">
        <v>2818.03</v>
      </c>
      <c r="T18" s="4">
        <f t="shared" si="3"/>
        <v>50724.54</v>
      </c>
      <c r="U18" s="4"/>
      <c r="V18" s="4"/>
    </row>
    <row r="19" spans="1:22" x14ac:dyDescent="0.35">
      <c r="A19" s="28">
        <v>21</v>
      </c>
      <c r="B19" s="5">
        <v>45859</v>
      </c>
      <c r="C19" s="18"/>
      <c r="D19" s="18"/>
      <c r="E19" s="16">
        <f t="shared" si="4"/>
        <v>8064</v>
      </c>
      <c r="F19" s="4">
        <v>0</v>
      </c>
      <c r="G19" s="15">
        <f t="shared" si="5"/>
        <v>0</v>
      </c>
      <c r="H19" s="4"/>
      <c r="I19" s="4">
        <f t="shared" si="0"/>
        <v>8064</v>
      </c>
      <c r="J19" s="4">
        <v>20</v>
      </c>
      <c r="K19" s="4">
        <f t="shared" si="8"/>
        <v>600</v>
      </c>
      <c r="L19" s="16">
        <v>0</v>
      </c>
      <c r="M19" s="16">
        <v>0</v>
      </c>
      <c r="N19" s="26">
        <f t="shared" si="6"/>
        <v>600</v>
      </c>
      <c r="O19" s="34">
        <f t="shared" si="7"/>
        <v>7.4404761904761904E-2</v>
      </c>
      <c r="P19" s="4">
        <v>17</v>
      </c>
      <c r="Q19" s="4">
        <f t="shared" si="1"/>
        <v>850</v>
      </c>
      <c r="R19" s="4">
        <f t="shared" si="2"/>
        <v>850000</v>
      </c>
      <c r="S19" s="16">
        <v>2818.03</v>
      </c>
      <c r="T19" s="4">
        <f t="shared" si="3"/>
        <v>47906.51</v>
      </c>
      <c r="U19" s="4"/>
      <c r="V19" s="4"/>
    </row>
    <row r="20" spans="1:22" x14ac:dyDescent="0.35">
      <c r="A20" s="3">
        <v>22</v>
      </c>
      <c r="B20" s="5">
        <v>45860</v>
      </c>
      <c r="C20" s="18"/>
      <c r="D20" s="18"/>
      <c r="E20" s="16">
        <f t="shared" si="4"/>
        <v>8064</v>
      </c>
      <c r="F20" s="4">
        <v>0</v>
      </c>
      <c r="G20" s="15">
        <f t="shared" si="5"/>
        <v>0</v>
      </c>
      <c r="H20" s="4"/>
      <c r="I20" s="4">
        <f t="shared" si="0"/>
        <v>8064</v>
      </c>
      <c r="J20" s="4">
        <v>22</v>
      </c>
      <c r="K20" s="4">
        <f t="shared" si="8"/>
        <v>660</v>
      </c>
      <c r="L20" s="16">
        <v>0</v>
      </c>
      <c r="M20" s="16">
        <v>0</v>
      </c>
      <c r="N20" s="26">
        <f t="shared" si="6"/>
        <v>660</v>
      </c>
      <c r="O20" s="34">
        <f t="shared" si="7"/>
        <v>8.1845238095238096E-2</v>
      </c>
      <c r="P20" s="4">
        <v>17</v>
      </c>
      <c r="Q20" s="4">
        <f t="shared" si="1"/>
        <v>850</v>
      </c>
      <c r="R20" s="4">
        <f t="shared" si="2"/>
        <v>850000</v>
      </c>
      <c r="S20" s="16">
        <v>2818.03</v>
      </c>
      <c r="T20" s="4">
        <f t="shared" si="3"/>
        <v>47906.51</v>
      </c>
      <c r="U20" s="4"/>
      <c r="V20" s="4"/>
    </row>
    <row r="21" spans="1:22" x14ac:dyDescent="0.35">
      <c r="A21" s="3">
        <v>22</v>
      </c>
      <c r="B21" s="5">
        <v>45861</v>
      </c>
      <c r="C21" s="18"/>
      <c r="D21" s="18"/>
      <c r="E21" s="16">
        <f t="shared" si="4"/>
        <v>8064</v>
      </c>
      <c r="F21" s="4">
        <v>0</v>
      </c>
      <c r="G21" s="15">
        <f t="shared" si="5"/>
        <v>0</v>
      </c>
      <c r="H21" s="4"/>
      <c r="I21" s="4">
        <f t="shared" si="0"/>
        <v>8064</v>
      </c>
      <c r="J21" s="4">
        <v>28</v>
      </c>
      <c r="K21" s="4">
        <f t="shared" si="8"/>
        <v>840</v>
      </c>
      <c r="L21" s="16">
        <v>0</v>
      </c>
      <c r="M21" s="16">
        <v>0</v>
      </c>
      <c r="N21" s="26">
        <f t="shared" si="6"/>
        <v>840</v>
      </c>
      <c r="O21" s="34">
        <f t="shared" si="7"/>
        <v>0.10416666666666667</v>
      </c>
      <c r="P21" s="4">
        <v>18</v>
      </c>
      <c r="Q21" s="4">
        <f t="shared" si="1"/>
        <v>900</v>
      </c>
      <c r="R21" s="4">
        <f t="shared" si="2"/>
        <v>900000</v>
      </c>
      <c r="S21" s="16">
        <v>2818.03</v>
      </c>
      <c r="T21" s="4">
        <f t="shared" si="3"/>
        <v>50724.54</v>
      </c>
      <c r="U21" s="4"/>
      <c r="V21" s="4"/>
    </row>
    <row r="22" spans="1:22" x14ac:dyDescent="0.35">
      <c r="A22" s="3">
        <v>22</v>
      </c>
      <c r="B22" s="5">
        <v>45862</v>
      </c>
      <c r="C22" s="18"/>
      <c r="D22" s="18"/>
      <c r="E22" s="16">
        <f t="shared" si="4"/>
        <v>8064</v>
      </c>
      <c r="F22" s="4">
        <v>1</v>
      </c>
      <c r="G22" s="15">
        <f t="shared" si="5"/>
        <v>1.240079365079365E-4</v>
      </c>
      <c r="H22" s="4"/>
      <c r="I22" s="4">
        <f t="shared" si="0"/>
        <v>8063</v>
      </c>
      <c r="J22" s="4">
        <v>32</v>
      </c>
      <c r="K22" s="4">
        <f t="shared" si="8"/>
        <v>960</v>
      </c>
      <c r="L22" s="16">
        <v>0</v>
      </c>
      <c r="M22" s="16">
        <v>0</v>
      </c>
      <c r="N22" s="26">
        <f t="shared" si="6"/>
        <v>960</v>
      </c>
      <c r="O22" s="34">
        <f t="shared" si="7"/>
        <v>0.11904761904761904</v>
      </c>
      <c r="P22" s="4">
        <v>17</v>
      </c>
      <c r="Q22" s="4">
        <f t="shared" si="1"/>
        <v>850</v>
      </c>
      <c r="R22" s="4">
        <f t="shared" si="2"/>
        <v>850000</v>
      </c>
      <c r="S22" s="16">
        <v>2818.03</v>
      </c>
      <c r="T22" s="4">
        <f t="shared" si="3"/>
        <v>47906.51</v>
      </c>
      <c r="U22" s="4"/>
      <c r="V22" s="4"/>
    </row>
    <row r="23" spans="1:22" x14ac:dyDescent="0.35">
      <c r="A23" s="3">
        <v>22</v>
      </c>
      <c r="B23" s="5">
        <v>45863</v>
      </c>
      <c r="C23" s="18"/>
      <c r="D23" s="18"/>
      <c r="E23" s="16">
        <f t="shared" si="4"/>
        <v>8063</v>
      </c>
      <c r="F23" s="4">
        <v>0</v>
      </c>
      <c r="G23" s="15">
        <f t="shared" si="5"/>
        <v>0</v>
      </c>
      <c r="H23" s="4"/>
      <c r="I23" s="4">
        <f t="shared" si="0"/>
        <v>8063</v>
      </c>
      <c r="J23" s="4">
        <v>36</v>
      </c>
      <c r="K23" s="4">
        <f t="shared" si="8"/>
        <v>1080</v>
      </c>
      <c r="L23" s="16">
        <v>0</v>
      </c>
      <c r="M23" s="16">
        <v>0</v>
      </c>
      <c r="N23" s="26">
        <f t="shared" si="6"/>
        <v>1080</v>
      </c>
      <c r="O23" s="34">
        <f t="shared" si="7"/>
        <v>0.1339451816941585</v>
      </c>
      <c r="P23" s="4">
        <v>17</v>
      </c>
      <c r="Q23" s="4">
        <f t="shared" si="1"/>
        <v>850</v>
      </c>
      <c r="R23" s="4">
        <f t="shared" si="2"/>
        <v>850000</v>
      </c>
      <c r="S23" s="16">
        <v>2818.03</v>
      </c>
      <c r="T23" s="4">
        <f t="shared" si="3"/>
        <v>47906.51</v>
      </c>
      <c r="U23" s="4"/>
      <c r="V23" s="4"/>
    </row>
    <row r="24" spans="1:22" x14ac:dyDescent="0.35">
      <c r="A24" s="3">
        <v>22</v>
      </c>
      <c r="B24" s="5">
        <v>45864</v>
      </c>
      <c r="C24" s="18"/>
      <c r="D24" s="18"/>
      <c r="E24" s="16">
        <f t="shared" si="4"/>
        <v>8063</v>
      </c>
      <c r="F24" s="4">
        <v>1</v>
      </c>
      <c r="G24" s="15">
        <f t="shared" si="5"/>
        <v>1.2402331638348009E-4</v>
      </c>
      <c r="H24" s="4"/>
      <c r="I24" s="4">
        <f t="shared" si="0"/>
        <v>8062</v>
      </c>
      <c r="J24" s="4">
        <v>45</v>
      </c>
      <c r="K24" s="4">
        <f t="shared" si="8"/>
        <v>1350</v>
      </c>
      <c r="L24" s="16">
        <v>0</v>
      </c>
      <c r="M24" s="16">
        <v>0</v>
      </c>
      <c r="N24" s="26">
        <f t="shared" si="6"/>
        <v>1350</v>
      </c>
      <c r="O24" s="34">
        <f t="shared" si="7"/>
        <v>0.16743147711769812</v>
      </c>
      <c r="P24" s="4">
        <v>18</v>
      </c>
      <c r="Q24" s="4">
        <f t="shared" si="1"/>
        <v>900</v>
      </c>
      <c r="R24" s="4">
        <f t="shared" si="2"/>
        <v>900000</v>
      </c>
      <c r="S24" s="16">
        <v>2818.03</v>
      </c>
      <c r="T24" s="4">
        <f t="shared" si="3"/>
        <v>50724.54</v>
      </c>
      <c r="U24" s="4"/>
      <c r="V24" s="4"/>
    </row>
    <row r="25" spans="1:22" x14ac:dyDescent="0.35">
      <c r="A25" s="3">
        <v>22</v>
      </c>
      <c r="B25" s="5">
        <v>45865</v>
      </c>
      <c r="C25" s="18"/>
      <c r="D25" s="18"/>
      <c r="E25" s="16">
        <f t="shared" si="4"/>
        <v>8062</v>
      </c>
      <c r="F25" s="4">
        <v>0</v>
      </c>
      <c r="G25" s="15">
        <f t="shared" si="5"/>
        <v>0</v>
      </c>
      <c r="H25" s="4"/>
      <c r="I25" s="4">
        <f t="shared" si="0"/>
        <v>8062</v>
      </c>
      <c r="J25" s="4">
        <v>53</v>
      </c>
      <c r="K25" s="4">
        <f t="shared" si="8"/>
        <v>1590</v>
      </c>
      <c r="L25" s="16">
        <v>0</v>
      </c>
      <c r="M25" s="16">
        <v>0</v>
      </c>
      <c r="N25" s="26">
        <f t="shared" si="6"/>
        <v>1590</v>
      </c>
      <c r="O25" s="34">
        <f t="shared" si="7"/>
        <v>0.19722153311833293</v>
      </c>
      <c r="P25" s="4">
        <v>17</v>
      </c>
      <c r="Q25" s="4">
        <f t="shared" si="1"/>
        <v>850</v>
      </c>
      <c r="R25" s="4">
        <f t="shared" si="2"/>
        <v>850000</v>
      </c>
      <c r="S25" s="16">
        <v>2818.03</v>
      </c>
      <c r="T25" s="4">
        <f t="shared" si="3"/>
        <v>47906.51</v>
      </c>
      <c r="U25" s="4"/>
      <c r="V25" s="4"/>
    </row>
    <row r="26" spans="1:22" x14ac:dyDescent="0.35">
      <c r="A26" s="3">
        <v>22</v>
      </c>
      <c r="B26" s="5">
        <v>45866</v>
      </c>
      <c r="C26" s="18"/>
      <c r="D26" s="18"/>
      <c r="E26" s="16">
        <f t="shared" si="4"/>
        <v>8062</v>
      </c>
      <c r="F26" s="4">
        <v>0</v>
      </c>
      <c r="G26" s="15">
        <f t="shared" si="5"/>
        <v>0</v>
      </c>
      <c r="H26" s="4"/>
      <c r="I26" s="4">
        <f t="shared" si="0"/>
        <v>8062</v>
      </c>
      <c r="J26" s="4">
        <v>60</v>
      </c>
      <c r="K26" s="4">
        <f t="shared" si="8"/>
        <v>1800</v>
      </c>
      <c r="L26" s="16">
        <v>0</v>
      </c>
      <c r="M26" s="16">
        <v>0</v>
      </c>
      <c r="N26" s="26">
        <f t="shared" si="6"/>
        <v>1800</v>
      </c>
      <c r="O26" s="34">
        <f t="shared" si="7"/>
        <v>0.22326966013396179</v>
      </c>
      <c r="P26" s="4">
        <v>18</v>
      </c>
      <c r="Q26" s="4">
        <f t="shared" si="1"/>
        <v>900</v>
      </c>
      <c r="R26" s="4">
        <f t="shared" si="2"/>
        <v>900000</v>
      </c>
      <c r="S26" s="16">
        <v>2818.03</v>
      </c>
      <c r="T26" s="4">
        <f t="shared" si="3"/>
        <v>50724.54</v>
      </c>
      <c r="U26" s="4">
        <v>1668.06</v>
      </c>
      <c r="V26" s="4">
        <v>2000</v>
      </c>
    </row>
    <row r="27" spans="1:22" x14ac:dyDescent="0.35">
      <c r="A27" s="3">
        <v>23</v>
      </c>
      <c r="B27" s="5">
        <v>45867</v>
      </c>
      <c r="C27" s="18"/>
      <c r="D27" s="18"/>
      <c r="E27" s="16">
        <f t="shared" si="4"/>
        <v>8062</v>
      </c>
      <c r="F27" s="4">
        <v>0</v>
      </c>
      <c r="G27" s="15">
        <f t="shared" si="5"/>
        <v>0</v>
      </c>
      <c r="H27" s="4"/>
      <c r="I27" s="4">
        <f t="shared" si="0"/>
        <v>8062</v>
      </c>
      <c r="J27" s="4">
        <v>70</v>
      </c>
      <c r="K27" s="4">
        <f t="shared" si="8"/>
        <v>2100</v>
      </c>
      <c r="L27" s="16">
        <v>0</v>
      </c>
      <c r="M27" s="16">
        <v>0</v>
      </c>
      <c r="N27" s="26">
        <f t="shared" si="6"/>
        <v>2100</v>
      </c>
      <c r="O27" s="34">
        <f t="shared" si="7"/>
        <v>0.26048127015628875</v>
      </c>
      <c r="P27" s="4">
        <v>18</v>
      </c>
      <c r="Q27" s="4">
        <f t="shared" si="1"/>
        <v>900</v>
      </c>
      <c r="R27" s="4">
        <f t="shared" si="2"/>
        <v>900000</v>
      </c>
      <c r="S27" s="16">
        <v>2818.03</v>
      </c>
      <c r="T27" s="4">
        <f t="shared" si="3"/>
        <v>50724.54</v>
      </c>
      <c r="U27" s="4">
        <v>1668.06</v>
      </c>
      <c r="V27" s="4">
        <v>2300</v>
      </c>
    </row>
    <row r="28" spans="1:22" x14ac:dyDescent="0.35">
      <c r="A28" s="3">
        <v>23</v>
      </c>
      <c r="B28" s="5">
        <v>45868</v>
      </c>
      <c r="C28" s="18"/>
      <c r="D28" s="18"/>
      <c r="E28" s="16">
        <f t="shared" si="4"/>
        <v>8062</v>
      </c>
      <c r="F28" s="4">
        <v>0</v>
      </c>
      <c r="G28" s="15">
        <f t="shared" si="5"/>
        <v>0</v>
      </c>
      <c r="H28" s="4"/>
      <c r="I28" s="4">
        <f t="shared" si="0"/>
        <v>8062</v>
      </c>
      <c r="J28" s="4">
        <v>74</v>
      </c>
      <c r="K28" s="4">
        <f t="shared" si="8"/>
        <v>2220</v>
      </c>
      <c r="L28" s="16">
        <v>0</v>
      </c>
      <c r="M28" s="16">
        <v>0</v>
      </c>
      <c r="N28" s="26">
        <f t="shared" si="6"/>
        <v>2220</v>
      </c>
      <c r="O28" s="34">
        <f t="shared" si="7"/>
        <v>0.27536591416521955</v>
      </c>
      <c r="P28" s="4">
        <v>16</v>
      </c>
      <c r="Q28" s="4">
        <f t="shared" si="1"/>
        <v>800</v>
      </c>
      <c r="R28" s="4">
        <f t="shared" si="2"/>
        <v>800000</v>
      </c>
      <c r="S28" s="16">
        <v>2818.03</v>
      </c>
      <c r="T28" s="4">
        <f t="shared" si="3"/>
        <v>45088.480000000003</v>
      </c>
      <c r="U28" s="4">
        <v>1668.06</v>
      </c>
      <c r="V28" s="4">
        <v>1800</v>
      </c>
    </row>
    <row r="29" spans="1:22" x14ac:dyDescent="0.35">
      <c r="A29" s="3">
        <v>23</v>
      </c>
      <c r="B29" s="5">
        <v>45869</v>
      </c>
      <c r="C29" s="18"/>
      <c r="D29" s="18"/>
      <c r="E29" s="16">
        <f t="shared" si="4"/>
        <v>8062</v>
      </c>
      <c r="F29" s="4">
        <v>1</v>
      </c>
      <c r="G29" s="15">
        <f t="shared" si="5"/>
        <v>1.2403870007442322E-4</v>
      </c>
      <c r="H29" s="4"/>
      <c r="I29" s="4">
        <f t="shared" si="0"/>
        <v>8061</v>
      </c>
      <c r="J29" s="4">
        <v>85</v>
      </c>
      <c r="K29" s="4">
        <f t="shared" si="8"/>
        <v>2550</v>
      </c>
      <c r="L29" s="16">
        <v>0</v>
      </c>
      <c r="M29" s="16">
        <v>0</v>
      </c>
      <c r="N29" s="26">
        <f t="shared" si="6"/>
        <v>2550</v>
      </c>
      <c r="O29" s="34">
        <f t="shared" si="7"/>
        <v>0.31629868518977922</v>
      </c>
      <c r="P29" s="4">
        <v>19</v>
      </c>
      <c r="Q29" s="4">
        <f t="shared" si="1"/>
        <v>950</v>
      </c>
      <c r="R29" s="4">
        <f t="shared" si="2"/>
        <v>950000</v>
      </c>
      <c r="S29" s="16">
        <v>2740.63</v>
      </c>
      <c r="T29" s="4">
        <f t="shared" si="3"/>
        <v>52071.97</v>
      </c>
      <c r="U29" s="4">
        <v>1668.06</v>
      </c>
      <c r="V29" s="4">
        <v>2200</v>
      </c>
    </row>
    <row r="30" spans="1:22" x14ac:dyDescent="0.35">
      <c r="A30" s="3"/>
      <c r="B30" s="2"/>
      <c r="C30" s="18"/>
      <c r="D30" s="18"/>
      <c r="E30" s="4"/>
      <c r="F30" s="4">
        <f>SUM(F4:F29)</f>
        <v>3</v>
      </c>
      <c r="G30" s="14"/>
      <c r="H30" s="4"/>
      <c r="I30" s="4"/>
      <c r="J30" s="4"/>
      <c r="K30" s="4"/>
      <c r="L30" s="4"/>
      <c r="M30" s="4"/>
      <c r="N30" s="4"/>
      <c r="O30" s="14"/>
      <c r="P30" s="4"/>
      <c r="Q30" s="4"/>
      <c r="R30" s="4"/>
      <c r="S30" s="4"/>
      <c r="T30" s="4"/>
      <c r="U30" s="4"/>
      <c r="V30" s="4"/>
    </row>
    <row r="31" spans="1:22" x14ac:dyDescent="0.35">
      <c r="A31" s="3"/>
      <c r="B31" s="2"/>
      <c r="C31" s="18"/>
      <c r="D31" s="18"/>
      <c r="E31" s="4"/>
      <c r="F31" s="4"/>
      <c r="G31" s="14"/>
      <c r="H31" s="4"/>
      <c r="I31" s="4"/>
      <c r="J31" s="4"/>
      <c r="K31" s="4"/>
      <c r="L31" s="4"/>
      <c r="M31" s="4"/>
      <c r="N31" s="4"/>
      <c r="O31" s="14"/>
      <c r="P31" s="4"/>
      <c r="Q31" s="4"/>
      <c r="R31" s="4"/>
      <c r="S31" s="4"/>
      <c r="T31" s="4"/>
      <c r="U31" s="4"/>
      <c r="V31" s="4"/>
    </row>
    <row r="32" spans="1:22" x14ac:dyDescent="0.35">
      <c r="A32" s="1" t="s">
        <v>20</v>
      </c>
      <c r="B32" s="37" t="s">
        <v>1</v>
      </c>
      <c r="C32" s="38" t="s">
        <v>19</v>
      </c>
      <c r="D32" s="38" t="s">
        <v>18</v>
      </c>
      <c r="E32" s="39" t="s">
        <v>2</v>
      </c>
      <c r="F32" s="40" t="s">
        <v>3</v>
      </c>
      <c r="G32" s="41" t="s">
        <v>4</v>
      </c>
      <c r="H32" s="40" t="s">
        <v>5</v>
      </c>
      <c r="I32" s="42" t="s">
        <v>6</v>
      </c>
      <c r="J32" s="43" t="s">
        <v>7</v>
      </c>
      <c r="K32" s="40" t="s">
        <v>8</v>
      </c>
      <c r="L32" s="40" t="s">
        <v>9</v>
      </c>
      <c r="M32" s="40" t="s">
        <v>10</v>
      </c>
      <c r="N32" s="40" t="s">
        <v>11</v>
      </c>
      <c r="O32" s="44" t="s">
        <v>12</v>
      </c>
      <c r="P32" s="43" t="s">
        <v>13</v>
      </c>
      <c r="Q32" s="40" t="s">
        <v>14</v>
      </c>
      <c r="R32" s="45" t="s">
        <v>15</v>
      </c>
      <c r="S32" s="46" t="s">
        <v>16</v>
      </c>
      <c r="T32" s="47" t="s">
        <v>17</v>
      </c>
      <c r="U32" s="48" t="s">
        <v>22</v>
      </c>
      <c r="V32" s="48" t="s">
        <v>24</v>
      </c>
    </row>
    <row r="33" spans="1:22" x14ac:dyDescent="0.35">
      <c r="A33" s="3">
        <v>23</v>
      </c>
      <c r="B33" s="2">
        <v>45870</v>
      </c>
      <c r="C33" s="18"/>
      <c r="D33" s="18"/>
      <c r="E33" s="4">
        <v>8061</v>
      </c>
      <c r="F33" s="4">
        <v>0</v>
      </c>
      <c r="G33" s="14">
        <f>F33/E33</f>
        <v>0</v>
      </c>
      <c r="H33" s="4"/>
      <c r="I33" s="4">
        <f t="shared" ref="I33:I40" si="9">E33-F33-H33</f>
        <v>8061</v>
      </c>
      <c r="J33" s="4">
        <v>91</v>
      </c>
      <c r="K33" s="4">
        <f>J33*30</f>
        <v>2730</v>
      </c>
      <c r="L33" s="4">
        <v>0</v>
      </c>
      <c r="M33" s="4">
        <v>0</v>
      </c>
      <c r="N33" s="4">
        <f>K33+L33-M33</f>
        <v>2730</v>
      </c>
      <c r="O33" s="14">
        <f>N33/E33</f>
        <v>0.3386676590993673</v>
      </c>
      <c r="P33" s="4">
        <v>19</v>
      </c>
      <c r="Q33" s="4">
        <f t="shared" ref="Q33:Q63" si="10">P33*50</f>
        <v>950</v>
      </c>
      <c r="R33" s="4">
        <f t="shared" ref="R33:R63" si="11">Q33*1000</f>
        <v>950000</v>
      </c>
      <c r="S33" s="4">
        <v>2853.08</v>
      </c>
      <c r="T33" s="4">
        <f t="shared" ref="T33:T50" si="12">P33*S33</f>
        <v>54208.52</v>
      </c>
      <c r="U33" s="4">
        <v>1668.06</v>
      </c>
      <c r="V33" s="4">
        <v>2000</v>
      </c>
    </row>
    <row r="34" spans="1:22" x14ac:dyDescent="0.35">
      <c r="A34" s="3">
        <v>23</v>
      </c>
      <c r="B34" s="2">
        <v>45871</v>
      </c>
      <c r="C34" s="18"/>
      <c r="D34" s="18"/>
      <c r="E34" s="4">
        <f>I33</f>
        <v>8061</v>
      </c>
      <c r="F34" s="4">
        <v>0</v>
      </c>
      <c r="G34" s="14">
        <f t="shared" ref="G34:G40" si="13">F34/E34</f>
        <v>0</v>
      </c>
      <c r="H34" s="4"/>
      <c r="I34" s="4">
        <f t="shared" si="9"/>
        <v>8061</v>
      </c>
      <c r="J34" s="4">
        <v>104</v>
      </c>
      <c r="K34" s="4">
        <f t="shared" ref="K34:K63" si="14">J34*30</f>
        <v>3120</v>
      </c>
      <c r="L34" s="4">
        <v>0</v>
      </c>
      <c r="M34" s="4">
        <v>0</v>
      </c>
      <c r="N34" s="4">
        <f t="shared" ref="N34:N63" si="15">K34+L34-M34</f>
        <v>3120</v>
      </c>
      <c r="O34" s="14">
        <f t="shared" ref="O34:O40" si="16">N34/E34</f>
        <v>0.3870487532564198</v>
      </c>
      <c r="P34" s="4">
        <v>19</v>
      </c>
      <c r="Q34" s="4">
        <f t="shared" si="10"/>
        <v>950</v>
      </c>
      <c r="R34" s="4">
        <f t="shared" si="11"/>
        <v>950000</v>
      </c>
      <c r="S34" s="4">
        <v>2853.08</v>
      </c>
      <c r="T34" s="4">
        <f t="shared" si="12"/>
        <v>54208.52</v>
      </c>
      <c r="U34" s="4">
        <v>1668.06</v>
      </c>
      <c r="V34" s="4">
        <v>1800</v>
      </c>
    </row>
    <row r="35" spans="1:22" x14ac:dyDescent="0.35">
      <c r="A35" s="3">
        <v>23</v>
      </c>
      <c r="B35" s="2">
        <v>45872</v>
      </c>
      <c r="C35" s="18"/>
      <c r="D35" s="18"/>
      <c r="E35" s="4">
        <f t="shared" ref="E35:E48" si="17">I34</f>
        <v>8061</v>
      </c>
      <c r="F35" s="4">
        <v>0</v>
      </c>
      <c r="G35" s="14">
        <f t="shared" si="13"/>
        <v>0</v>
      </c>
      <c r="H35" s="4"/>
      <c r="I35" s="4">
        <f t="shared" si="9"/>
        <v>8061</v>
      </c>
      <c r="J35" s="4">
        <v>113</v>
      </c>
      <c r="K35" s="4">
        <f t="shared" si="14"/>
        <v>3390</v>
      </c>
      <c r="L35" s="4">
        <v>0</v>
      </c>
      <c r="M35" s="4">
        <v>0</v>
      </c>
      <c r="N35" s="4">
        <f t="shared" si="15"/>
        <v>3390</v>
      </c>
      <c r="O35" s="14">
        <f t="shared" si="16"/>
        <v>0.42054335690361</v>
      </c>
      <c r="P35" s="4">
        <v>19</v>
      </c>
      <c r="Q35" s="4">
        <f t="shared" si="10"/>
        <v>950</v>
      </c>
      <c r="R35" s="4">
        <f t="shared" si="11"/>
        <v>950000</v>
      </c>
      <c r="S35" s="4">
        <v>2853.08</v>
      </c>
      <c r="T35" s="4">
        <f t="shared" si="12"/>
        <v>54208.52</v>
      </c>
      <c r="U35" s="4">
        <v>1668.06</v>
      </c>
      <c r="V35" s="4">
        <v>2400</v>
      </c>
    </row>
    <row r="36" spans="1:22" x14ac:dyDescent="0.35">
      <c r="A36" s="3">
        <v>23</v>
      </c>
      <c r="B36" s="2">
        <v>45873</v>
      </c>
      <c r="C36" s="18"/>
      <c r="D36" s="18"/>
      <c r="E36" s="4">
        <f t="shared" si="17"/>
        <v>8061</v>
      </c>
      <c r="F36" s="4">
        <v>2</v>
      </c>
      <c r="G36" s="14">
        <f t="shared" si="13"/>
        <v>2.4810817516437165E-4</v>
      </c>
      <c r="H36" s="4"/>
      <c r="I36" s="4">
        <f t="shared" si="9"/>
        <v>8059</v>
      </c>
      <c r="J36" s="4">
        <v>125</v>
      </c>
      <c r="K36" s="4">
        <f t="shared" si="14"/>
        <v>3750</v>
      </c>
      <c r="L36" s="4">
        <v>0</v>
      </c>
      <c r="M36" s="4">
        <v>0</v>
      </c>
      <c r="N36" s="4">
        <f t="shared" si="15"/>
        <v>3750</v>
      </c>
      <c r="O36" s="14">
        <f t="shared" si="16"/>
        <v>0.46520282843319688</v>
      </c>
      <c r="P36" s="4">
        <v>19</v>
      </c>
      <c r="Q36" s="4">
        <f t="shared" si="10"/>
        <v>950</v>
      </c>
      <c r="R36" s="4">
        <f t="shared" si="11"/>
        <v>950000</v>
      </c>
      <c r="S36" s="4">
        <v>2853.08</v>
      </c>
      <c r="T36" s="4">
        <f t="shared" si="12"/>
        <v>54208.52</v>
      </c>
      <c r="U36" s="4">
        <v>1717.22</v>
      </c>
      <c r="V36" s="4">
        <v>2400</v>
      </c>
    </row>
    <row r="37" spans="1:22" x14ac:dyDescent="0.35">
      <c r="A37" s="3">
        <v>24</v>
      </c>
      <c r="B37" s="2">
        <v>45874</v>
      </c>
      <c r="C37" s="4"/>
      <c r="D37" s="18"/>
      <c r="E37" s="4">
        <f t="shared" si="17"/>
        <v>8059</v>
      </c>
      <c r="F37" s="4">
        <v>2</v>
      </c>
      <c r="G37" s="14">
        <f t="shared" si="13"/>
        <v>2.4816974810770568E-4</v>
      </c>
      <c r="H37" s="4"/>
      <c r="I37" s="4">
        <f t="shared" si="9"/>
        <v>8057</v>
      </c>
      <c r="J37" s="4">
        <v>130</v>
      </c>
      <c r="K37" s="4">
        <f t="shared" si="14"/>
        <v>3900</v>
      </c>
      <c r="L37" s="4">
        <v>0</v>
      </c>
      <c r="M37" s="4">
        <v>0</v>
      </c>
      <c r="N37" s="4">
        <f t="shared" si="15"/>
        <v>3900</v>
      </c>
      <c r="O37" s="14">
        <f t="shared" si="16"/>
        <v>0.48393100881002604</v>
      </c>
      <c r="P37" s="4">
        <v>18</v>
      </c>
      <c r="Q37" s="4">
        <f t="shared" si="10"/>
        <v>900</v>
      </c>
      <c r="R37" s="4">
        <f t="shared" si="11"/>
        <v>900000</v>
      </c>
      <c r="S37" s="4">
        <v>2853.08</v>
      </c>
      <c r="T37" s="4">
        <f t="shared" si="12"/>
        <v>51355.44</v>
      </c>
      <c r="U37" s="4">
        <v>1717.22</v>
      </c>
      <c r="V37" s="4">
        <v>1400</v>
      </c>
    </row>
    <row r="38" spans="1:22" x14ac:dyDescent="0.35">
      <c r="A38" s="3">
        <v>24</v>
      </c>
      <c r="B38" s="2">
        <v>45875</v>
      </c>
      <c r="C38" s="4"/>
      <c r="D38" s="18"/>
      <c r="E38" s="4">
        <f t="shared" si="17"/>
        <v>8057</v>
      </c>
      <c r="F38" s="4">
        <v>3</v>
      </c>
      <c r="G38" s="14">
        <f t="shared" si="13"/>
        <v>3.7234702742956435E-4</v>
      </c>
      <c r="H38" s="4"/>
      <c r="I38" s="4">
        <f t="shared" si="9"/>
        <v>8054</v>
      </c>
      <c r="J38" s="4">
        <v>135</v>
      </c>
      <c r="K38" s="4">
        <f t="shared" si="14"/>
        <v>4050</v>
      </c>
      <c r="L38" s="4">
        <v>0</v>
      </c>
      <c r="M38" s="4">
        <v>0</v>
      </c>
      <c r="N38" s="4">
        <f t="shared" si="15"/>
        <v>4050</v>
      </c>
      <c r="O38" s="14">
        <f t="shared" si="16"/>
        <v>0.50266848702991185</v>
      </c>
      <c r="P38" s="4">
        <v>18</v>
      </c>
      <c r="Q38" s="4">
        <f t="shared" si="10"/>
        <v>900</v>
      </c>
      <c r="R38" s="4">
        <f t="shared" si="11"/>
        <v>900000</v>
      </c>
      <c r="S38" s="4">
        <v>2853.08</v>
      </c>
      <c r="T38" s="4">
        <f t="shared" si="12"/>
        <v>51355.44</v>
      </c>
      <c r="U38" s="4">
        <v>1717.22</v>
      </c>
      <c r="V38" s="4">
        <v>2400</v>
      </c>
    </row>
    <row r="39" spans="1:22" x14ac:dyDescent="0.35">
      <c r="A39" s="3">
        <v>24</v>
      </c>
      <c r="B39" s="2">
        <v>45876</v>
      </c>
      <c r="C39" s="4"/>
      <c r="D39" s="18"/>
      <c r="E39" s="4">
        <f t="shared" si="17"/>
        <v>8054</v>
      </c>
      <c r="F39" s="4">
        <v>4</v>
      </c>
      <c r="G39" s="14">
        <f t="shared" si="13"/>
        <v>4.9664762850757391E-4</v>
      </c>
      <c r="H39" s="4"/>
      <c r="I39" s="4">
        <f t="shared" si="9"/>
        <v>8050</v>
      </c>
      <c r="J39" s="4">
        <v>131</v>
      </c>
      <c r="K39" s="4">
        <f t="shared" si="14"/>
        <v>3930</v>
      </c>
      <c r="L39" s="4">
        <v>0</v>
      </c>
      <c r="M39" s="4">
        <v>0</v>
      </c>
      <c r="N39" s="4">
        <f t="shared" si="15"/>
        <v>3930</v>
      </c>
      <c r="O39" s="14">
        <f t="shared" si="16"/>
        <v>0.48795629500869131</v>
      </c>
      <c r="P39" s="4">
        <v>19</v>
      </c>
      <c r="Q39" s="4">
        <f t="shared" si="10"/>
        <v>950</v>
      </c>
      <c r="R39" s="4">
        <f t="shared" si="11"/>
        <v>950000</v>
      </c>
      <c r="S39" s="4">
        <v>2853.08</v>
      </c>
      <c r="T39" s="4">
        <f t="shared" si="12"/>
        <v>54208.52</v>
      </c>
      <c r="U39" s="4">
        <v>1717.22</v>
      </c>
      <c r="V39" s="4">
        <v>2300</v>
      </c>
    </row>
    <row r="40" spans="1:22" x14ac:dyDescent="0.35">
      <c r="A40" s="3">
        <v>24</v>
      </c>
      <c r="B40" s="2">
        <v>45877</v>
      </c>
      <c r="C40" s="4"/>
      <c r="D40" s="18"/>
      <c r="E40" s="4">
        <f t="shared" si="17"/>
        <v>8050</v>
      </c>
      <c r="F40" s="4">
        <v>3</v>
      </c>
      <c r="G40" s="14">
        <f t="shared" si="13"/>
        <v>3.7267080745341616E-4</v>
      </c>
      <c r="H40" s="4"/>
      <c r="I40" s="4">
        <f t="shared" si="9"/>
        <v>8047</v>
      </c>
      <c r="J40" s="4">
        <v>154</v>
      </c>
      <c r="K40" s="4">
        <f t="shared" si="14"/>
        <v>4620</v>
      </c>
      <c r="L40" s="4">
        <v>0</v>
      </c>
      <c r="M40" s="4">
        <v>0</v>
      </c>
      <c r="N40" s="4">
        <f t="shared" si="15"/>
        <v>4620</v>
      </c>
      <c r="O40" s="14">
        <f t="shared" si="16"/>
        <v>0.57391304347826089</v>
      </c>
      <c r="P40" s="4">
        <v>20</v>
      </c>
      <c r="Q40" s="4">
        <f t="shared" si="10"/>
        <v>1000</v>
      </c>
      <c r="R40" s="4">
        <f t="shared" si="11"/>
        <v>1000000</v>
      </c>
      <c r="S40" s="4">
        <v>2853.08</v>
      </c>
      <c r="T40" s="4">
        <f t="shared" si="12"/>
        <v>57061.599999999999</v>
      </c>
      <c r="U40" s="4">
        <v>1717.22</v>
      </c>
      <c r="V40" s="4">
        <v>2300</v>
      </c>
    </row>
    <row r="41" spans="1:22" x14ac:dyDescent="0.35">
      <c r="A41" s="3">
        <v>24</v>
      </c>
      <c r="B41" s="2">
        <v>45878</v>
      </c>
      <c r="C41" s="4"/>
      <c r="D41" s="18"/>
      <c r="E41" s="4">
        <f t="shared" si="17"/>
        <v>8047</v>
      </c>
      <c r="F41" s="4">
        <v>1</v>
      </c>
      <c r="G41" s="14">
        <f>F41/E41</f>
        <v>1.2426991425375916E-4</v>
      </c>
      <c r="H41" s="4"/>
      <c r="I41" s="4">
        <f>E41-F41-H41</f>
        <v>8046</v>
      </c>
      <c r="J41" s="4">
        <v>161</v>
      </c>
      <c r="K41" s="4">
        <f t="shared" si="14"/>
        <v>4830</v>
      </c>
      <c r="L41" s="4">
        <v>0</v>
      </c>
      <c r="M41" s="4">
        <v>0</v>
      </c>
      <c r="N41" s="4">
        <f t="shared" si="15"/>
        <v>4830</v>
      </c>
      <c r="O41" s="14">
        <f>N41/E41</f>
        <v>0.60022368584565677</v>
      </c>
      <c r="P41" s="4">
        <v>19</v>
      </c>
      <c r="Q41" s="4">
        <f t="shared" si="10"/>
        <v>950</v>
      </c>
      <c r="R41" s="4">
        <f t="shared" si="11"/>
        <v>950000</v>
      </c>
      <c r="S41" s="4">
        <v>2768.43</v>
      </c>
      <c r="T41" s="4">
        <f t="shared" si="12"/>
        <v>52600.17</v>
      </c>
      <c r="U41" s="4">
        <v>1717.22</v>
      </c>
      <c r="V41" s="4">
        <v>2000</v>
      </c>
    </row>
    <row r="42" spans="1:22" x14ac:dyDescent="0.35">
      <c r="A42" s="3">
        <v>24</v>
      </c>
      <c r="B42" s="2">
        <v>45879</v>
      </c>
      <c r="C42" s="4"/>
      <c r="D42" s="18"/>
      <c r="E42" s="4">
        <f t="shared" si="17"/>
        <v>8046</v>
      </c>
      <c r="F42" s="4">
        <v>2</v>
      </c>
      <c r="G42" s="14">
        <f t="shared" ref="G42:G63" si="18">F42/E42</f>
        <v>2.4857071836937607E-4</v>
      </c>
      <c r="H42" s="4"/>
      <c r="I42" s="4">
        <f t="shared" ref="I42:I61" si="19">E42-F42-H42</f>
        <v>8044</v>
      </c>
      <c r="J42" s="4">
        <v>169</v>
      </c>
      <c r="K42" s="4">
        <f t="shared" si="14"/>
        <v>5070</v>
      </c>
      <c r="L42" s="4">
        <v>0</v>
      </c>
      <c r="M42" s="4">
        <v>0</v>
      </c>
      <c r="N42" s="4">
        <f t="shared" si="15"/>
        <v>5070</v>
      </c>
      <c r="O42" s="14">
        <f t="shared" ref="O42:O63" si="20">N42/E42</f>
        <v>0.63012677106636839</v>
      </c>
      <c r="P42" s="4">
        <v>19</v>
      </c>
      <c r="Q42" s="4">
        <f t="shared" si="10"/>
        <v>950</v>
      </c>
      <c r="R42" s="4">
        <f t="shared" si="11"/>
        <v>950000</v>
      </c>
      <c r="S42" s="4">
        <v>2768.43</v>
      </c>
      <c r="T42" s="4">
        <f t="shared" si="12"/>
        <v>52600.17</v>
      </c>
      <c r="U42" s="4">
        <v>1717.22</v>
      </c>
      <c r="V42" s="4">
        <v>2000</v>
      </c>
    </row>
    <row r="43" spans="1:22" x14ac:dyDescent="0.35">
      <c r="A43" s="3">
        <v>24</v>
      </c>
      <c r="B43" s="2">
        <v>45880</v>
      </c>
      <c r="C43" s="4"/>
      <c r="D43" s="18"/>
      <c r="E43" s="4">
        <f t="shared" si="17"/>
        <v>8044</v>
      </c>
      <c r="F43" s="4">
        <v>3</v>
      </c>
      <c r="G43" s="14">
        <f t="shared" si="18"/>
        <v>3.7294878170064644E-4</v>
      </c>
      <c r="H43" s="4"/>
      <c r="I43" s="4">
        <f t="shared" si="19"/>
        <v>8041</v>
      </c>
      <c r="J43" s="4">
        <v>169</v>
      </c>
      <c r="K43" s="4">
        <f t="shared" si="14"/>
        <v>5070</v>
      </c>
      <c r="L43" s="4">
        <v>0</v>
      </c>
      <c r="M43" s="4">
        <v>0</v>
      </c>
      <c r="N43" s="4">
        <f t="shared" si="15"/>
        <v>5070</v>
      </c>
      <c r="O43" s="14">
        <f t="shared" si="20"/>
        <v>0.63028344107409251</v>
      </c>
      <c r="P43" s="4">
        <v>19</v>
      </c>
      <c r="Q43" s="4">
        <f t="shared" si="10"/>
        <v>950</v>
      </c>
      <c r="R43" s="4">
        <f t="shared" si="11"/>
        <v>950000</v>
      </c>
      <c r="S43" s="4">
        <v>2768.43</v>
      </c>
      <c r="T43" s="4">
        <f t="shared" si="12"/>
        <v>52600.17</v>
      </c>
      <c r="U43" s="4">
        <v>1768.45</v>
      </c>
      <c r="V43" s="4">
        <v>2000</v>
      </c>
    </row>
    <row r="44" spans="1:22" x14ac:dyDescent="0.35">
      <c r="A44" s="3">
        <v>25</v>
      </c>
      <c r="B44" s="2">
        <v>45881</v>
      </c>
      <c r="C44" s="4"/>
      <c r="D44" s="18"/>
      <c r="E44" s="4">
        <f t="shared" si="17"/>
        <v>8041</v>
      </c>
      <c r="F44" s="4">
        <v>3</v>
      </c>
      <c r="G44" s="14">
        <f t="shared" si="18"/>
        <v>3.7308792438751399E-4</v>
      </c>
      <c r="H44" s="4"/>
      <c r="I44" s="4">
        <f t="shared" si="19"/>
        <v>8038</v>
      </c>
      <c r="J44" s="4">
        <v>180</v>
      </c>
      <c r="K44" s="4">
        <f t="shared" si="14"/>
        <v>5400</v>
      </c>
      <c r="L44" s="4">
        <v>0</v>
      </c>
      <c r="M44" s="4">
        <v>0</v>
      </c>
      <c r="N44" s="4">
        <f t="shared" si="15"/>
        <v>5400</v>
      </c>
      <c r="O44" s="14">
        <f t="shared" si="20"/>
        <v>0.67155826389752515</v>
      </c>
      <c r="P44" s="4">
        <v>19</v>
      </c>
      <c r="Q44" s="4">
        <f t="shared" si="10"/>
        <v>950</v>
      </c>
      <c r="R44" s="4">
        <f t="shared" si="11"/>
        <v>950000</v>
      </c>
      <c r="S44" s="4">
        <v>2768.43</v>
      </c>
      <c r="T44" s="4">
        <f t="shared" si="12"/>
        <v>52600.17</v>
      </c>
      <c r="U44" s="4">
        <v>1768.45</v>
      </c>
      <c r="V44" s="4">
        <v>2200</v>
      </c>
    </row>
    <row r="45" spans="1:22" x14ac:dyDescent="0.35">
      <c r="A45" s="3">
        <v>25</v>
      </c>
      <c r="B45" s="2">
        <v>45882</v>
      </c>
      <c r="C45" s="4"/>
      <c r="D45" s="18"/>
      <c r="E45" s="4">
        <f t="shared" si="17"/>
        <v>8038</v>
      </c>
      <c r="F45" s="4">
        <v>2</v>
      </c>
      <c r="G45" s="14">
        <f t="shared" si="18"/>
        <v>2.488181139586962E-4</v>
      </c>
      <c r="H45" s="4"/>
      <c r="I45" s="4">
        <f t="shared" si="19"/>
        <v>8036</v>
      </c>
      <c r="J45" s="4">
        <v>190</v>
      </c>
      <c r="K45" s="4">
        <f t="shared" si="14"/>
        <v>5700</v>
      </c>
      <c r="L45" s="4">
        <v>0</v>
      </c>
      <c r="M45" s="4">
        <v>0</v>
      </c>
      <c r="N45" s="4">
        <f t="shared" si="15"/>
        <v>5700</v>
      </c>
      <c r="O45" s="14">
        <f t="shared" si="20"/>
        <v>0.7091316247822842</v>
      </c>
      <c r="P45" s="4">
        <v>19</v>
      </c>
      <c r="Q45" s="4">
        <f t="shared" si="10"/>
        <v>950</v>
      </c>
      <c r="R45" s="4">
        <f t="shared" si="11"/>
        <v>950000</v>
      </c>
      <c r="S45" s="4">
        <v>2748.93</v>
      </c>
      <c r="T45" s="4">
        <f t="shared" si="12"/>
        <v>52229.67</v>
      </c>
      <c r="U45" s="4">
        <v>1768.45</v>
      </c>
      <c r="V45" s="4">
        <v>2200</v>
      </c>
    </row>
    <row r="46" spans="1:22" x14ac:dyDescent="0.35">
      <c r="A46" s="3">
        <v>25</v>
      </c>
      <c r="B46" s="2">
        <v>45883</v>
      </c>
      <c r="C46" s="4"/>
      <c r="D46" s="18"/>
      <c r="E46" s="4">
        <f t="shared" si="17"/>
        <v>8036</v>
      </c>
      <c r="F46" s="4">
        <v>2</v>
      </c>
      <c r="G46" s="14">
        <f t="shared" si="18"/>
        <v>2.4888003982080636E-4</v>
      </c>
      <c r="H46" s="4"/>
      <c r="I46" s="4">
        <f t="shared" si="19"/>
        <v>8034</v>
      </c>
      <c r="J46" s="4">
        <v>193</v>
      </c>
      <c r="K46" s="4">
        <f t="shared" si="14"/>
        <v>5790</v>
      </c>
      <c r="L46" s="4">
        <v>0</v>
      </c>
      <c r="M46" s="4">
        <v>0</v>
      </c>
      <c r="N46" s="4">
        <f t="shared" si="15"/>
        <v>5790</v>
      </c>
      <c r="O46" s="14">
        <f t="shared" si="20"/>
        <v>0.72050771528123447</v>
      </c>
      <c r="P46" s="4">
        <v>19</v>
      </c>
      <c r="Q46" s="4">
        <f t="shared" si="10"/>
        <v>950</v>
      </c>
      <c r="R46" s="4">
        <f t="shared" si="11"/>
        <v>950000</v>
      </c>
      <c r="S46" s="4">
        <v>2741.51</v>
      </c>
      <c r="T46" s="4">
        <f t="shared" si="12"/>
        <v>52088.69</v>
      </c>
      <c r="U46" s="4">
        <v>1768.45</v>
      </c>
      <c r="V46" s="4">
        <v>2100</v>
      </c>
    </row>
    <row r="47" spans="1:22" x14ac:dyDescent="0.35">
      <c r="A47" s="3">
        <v>25</v>
      </c>
      <c r="B47" s="2">
        <v>45884</v>
      </c>
      <c r="C47" s="4"/>
      <c r="D47" s="18"/>
      <c r="E47" s="4">
        <f t="shared" si="17"/>
        <v>8034</v>
      </c>
      <c r="F47" s="4">
        <v>3</v>
      </c>
      <c r="G47" s="14">
        <f t="shared" si="18"/>
        <v>3.734129947722181E-4</v>
      </c>
      <c r="H47" s="4"/>
      <c r="I47" s="4">
        <f t="shared" si="19"/>
        <v>8031</v>
      </c>
      <c r="J47" s="4">
        <v>198</v>
      </c>
      <c r="K47" s="4">
        <f t="shared" si="14"/>
        <v>5940</v>
      </c>
      <c r="L47" s="4">
        <v>0</v>
      </c>
      <c r="M47" s="4">
        <v>0</v>
      </c>
      <c r="N47" s="4">
        <f t="shared" si="15"/>
        <v>5940</v>
      </c>
      <c r="O47" s="14">
        <f t="shared" si="20"/>
        <v>0.73935772964899182</v>
      </c>
      <c r="P47" s="4">
        <v>21</v>
      </c>
      <c r="Q47" s="4">
        <f t="shared" si="10"/>
        <v>1050</v>
      </c>
      <c r="R47" s="4">
        <f t="shared" si="11"/>
        <v>1050000</v>
      </c>
      <c r="S47" s="4">
        <v>2751.51</v>
      </c>
      <c r="T47" s="4">
        <f t="shared" si="12"/>
        <v>57781.710000000006</v>
      </c>
      <c r="U47" s="4">
        <v>1768.45</v>
      </c>
      <c r="V47" s="4">
        <v>2300</v>
      </c>
    </row>
    <row r="48" spans="1:22" x14ac:dyDescent="0.35">
      <c r="A48" s="3">
        <v>25</v>
      </c>
      <c r="B48" s="2">
        <v>45885</v>
      </c>
      <c r="C48" s="4"/>
      <c r="D48" s="18"/>
      <c r="E48" s="4">
        <f t="shared" si="17"/>
        <v>8031</v>
      </c>
      <c r="F48" s="4">
        <v>4</v>
      </c>
      <c r="G48" s="14">
        <f t="shared" si="18"/>
        <v>4.9806997883202592E-4</v>
      </c>
      <c r="H48" s="4"/>
      <c r="I48" s="4">
        <f t="shared" si="19"/>
        <v>8027</v>
      </c>
      <c r="J48" s="4">
        <v>201</v>
      </c>
      <c r="K48" s="4">
        <f t="shared" si="14"/>
        <v>6030</v>
      </c>
      <c r="L48" s="4">
        <v>0</v>
      </c>
      <c r="M48" s="4">
        <v>0</v>
      </c>
      <c r="N48" s="4">
        <f t="shared" si="15"/>
        <v>6030</v>
      </c>
      <c r="O48" s="14">
        <f t="shared" si="20"/>
        <v>0.75084049308927903</v>
      </c>
      <c r="P48" s="4">
        <v>20</v>
      </c>
      <c r="Q48" s="4">
        <f t="shared" si="10"/>
        <v>1000</v>
      </c>
      <c r="R48" s="4">
        <f t="shared" si="11"/>
        <v>1000000</v>
      </c>
      <c r="S48" s="4">
        <v>2751.51</v>
      </c>
      <c r="T48" s="4">
        <f t="shared" si="12"/>
        <v>55030.200000000004</v>
      </c>
      <c r="U48" s="4">
        <v>1768.45</v>
      </c>
      <c r="V48" s="4">
        <v>1900</v>
      </c>
    </row>
    <row r="49" spans="1:22" x14ac:dyDescent="0.35">
      <c r="A49" s="3">
        <v>25</v>
      </c>
      <c r="B49" s="2">
        <v>45886</v>
      </c>
      <c r="C49" s="4"/>
      <c r="D49" s="18"/>
      <c r="E49" s="4">
        <f t="shared" ref="E49:E63" si="21">I48</f>
        <v>8027</v>
      </c>
      <c r="F49" s="4">
        <v>3</v>
      </c>
      <c r="G49" s="14">
        <f t="shared" si="18"/>
        <v>3.7373863211660643E-4</v>
      </c>
      <c r="H49" s="4"/>
      <c r="I49" s="4">
        <f t="shared" si="19"/>
        <v>8024</v>
      </c>
      <c r="J49" s="4">
        <v>211</v>
      </c>
      <c r="K49" s="4">
        <f t="shared" si="14"/>
        <v>6330</v>
      </c>
      <c r="L49" s="4">
        <v>0</v>
      </c>
      <c r="M49" s="4">
        <v>0</v>
      </c>
      <c r="N49" s="4">
        <f t="shared" si="15"/>
        <v>6330</v>
      </c>
      <c r="O49" s="14">
        <f t="shared" si="20"/>
        <v>0.78858851376603967</v>
      </c>
      <c r="P49" s="4">
        <v>19</v>
      </c>
      <c r="Q49" s="4">
        <f t="shared" si="10"/>
        <v>950</v>
      </c>
      <c r="R49" s="4">
        <f t="shared" si="11"/>
        <v>950000</v>
      </c>
      <c r="S49" s="4">
        <v>2751.51</v>
      </c>
      <c r="T49" s="4">
        <f t="shared" si="12"/>
        <v>52278.69</v>
      </c>
      <c r="U49" s="4">
        <v>1768.45</v>
      </c>
      <c r="V49" s="4">
        <v>2000</v>
      </c>
    </row>
    <row r="50" spans="1:22" x14ac:dyDescent="0.35">
      <c r="A50" s="3">
        <v>25</v>
      </c>
      <c r="B50" s="2">
        <v>45887</v>
      </c>
      <c r="C50" s="4"/>
      <c r="D50" s="18"/>
      <c r="E50" s="4">
        <f t="shared" si="21"/>
        <v>8024</v>
      </c>
      <c r="F50" s="4">
        <v>3</v>
      </c>
      <c r="G50" s="14">
        <f t="shared" si="18"/>
        <v>3.7387836490528417E-4</v>
      </c>
      <c r="H50" s="4"/>
      <c r="I50" s="4">
        <f t="shared" si="19"/>
        <v>8021</v>
      </c>
      <c r="J50" s="4">
        <v>213</v>
      </c>
      <c r="K50" s="4">
        <f t="shared" si="14"/>
        <v>6390</v>
      </c>
      <c r="L50" s="4">
        <v>0</v>
      </c>
      <c r="M50" s="4">
        <v>0</v>
      </c>
      <c r="N50" s="4">
        <f t="shared" si="15"/>
        <v>6390</v>
      </c>
      <c r="O50" s="14">
        <f t="shared" si="20"/>
        <v>0.7963609172482552</v>
      </c>
      <c r="P50" s="4">
        <v>19</v>
      </c>
      <c r="Q50" s="4">
        <f t="shared" si="10"/>
        <v>950</v>
      </c>
      <c r="R50" s="4">
        <f t="shared" si="11"/>
        <v>950000</v>
      </c>
      <c r="S50" s="4">
        <v>2571.7600000000002</v>
      </c>
      <c r="T50" s="4">
        <f t="shared" si="12"/>
        <v>48863.44</v>
      </c>
      <c r="U50" s="4">
        <v>1771.36</v>
      </c>
      <c r="V50" s="4">
        <v>2200</v>
      </c>
    </row>
    <row r="51" spans="1:22" x14ac:dyDescent="0.35">
      <c r="A51" s="3">
        <v>26</v>
      </c>
      <c r="B51" s="2">
        <v>45888</v>
      </c>
      <c r="C51" s="4"/>
      <c r="D51" s="18"/>
      <c r="E51" s="4">
        <f t="shared" si="21"/>
        <v>8021</v>
      </c>
      <c r="F51" s="4">
        <v>3</v>
      </c>
      <c r="G51" s="14">
        <f t="shared" si="18"/>
        <v>3.7401820221917467E-4</v>
      </c>
      <c r="H51" s="4"/>
      <c r="I51" s="4">
        <f t="shared" si="19"/>
        <v>8018</v>
      </c>
      <c r="J51" s="4">
        <v>213</v>
      </c>
      <c r="K51" s="4">
        <f t="shared" si="14"/>
        <v>6390</v>
      </c>
      <c r="L51" s="4">
        <v>0</v>
      </c>
      <c r="M51" s="4">
        <v>0</v>
      </c>
      <c r="N51" s="4">
        <f t="shared" si="15"/>
        <v>6390</v>
      </c>
      <c r="O51" s="14">
        <f t="shared" si="20"/>
        <v>0.79665877072684199</v>
      </c>
      <c r="P51" s="4">
        <v>19</v>
      </c>
      <c r="Q51" s="4">
        <f t="shared" si="10"/>
        <v>950</v>
      </c>
      <c r="R51" s="4">
        <f t="shared" si="11"/>
        <v>950000</v>
      </c>
      <c r="S51" s="4">
        <v>2571.7600000000002</v>
      </c>
      <c r="T51" s="4">
        <f t="shared" ref="T51:T63" si="22">P51*S51</f>
        <v>48863.44</v>
      </c>
      <c r="U51" s="4">
        <v>1771.36</v>
      </c>
      <c r="V51" s="4">
        <v>2200</v>
      </c>
    </row>
    <row r="52" spans="1:22" x14ac:dyDescent="0.35">
      <c r="A52" s="3">
        <v>26</v>
      </c>
      <c r="B52" s="2">
        <v>45889</v>
      </c>
      <c r="C52" s="4"/>
      <c r="D52" s="18"/>
      <c r="E52" s="4">
        <f t="shared" si="21"/>
        <v>8018</v>
      </c>
      <c r="F52" s="4">
        <v>3</v>
      </c>
      <c r="G52" s="14">
        <f t="shared" si="18"/>
        <v>3.7415814417560486E-4</v>
      </c>
      <c r="H52" s="4"/>
      <c r="I52" s="4">
        <f t="shared" si="19"/>
        <v>8015</v>
      </c>
      <c r="J52" s="4">
        <v>214</v>
      </c>
      <c r="K52" s="4">
        <f t="shared" si="14"/>
        <v>6420</v>
      </c>
      <c r="L52" s="4">
        <v>0</v>
      </c>
      <c r="M52" s="4">
        <v>0</v>
      </c>
      <c r="N52" s="4">
        <f t="shared" si="15"/>
        <v>6420</v>
      </c>
      <c r="O52" s="14">
        <f t="shared" si="20"/>
        <v>0.80069842853579443</v>
      </c>
      <c r="P52" s="4">
        <v>20</v>
      </c>
      <c r="Q52" s="4">
        <f t="shared" si="10"/>
        <v>1000</v>
      </c>
      <c r="R52" s="4">
        <f t="shared" si="11"/>
        <v>1000000</v>
      </c>
      <c r="S52" s="4">
        <v>2571.7600000000002</v>
      </c>
      <c r="T52" s="4">
        <f t="shared" si="22"/>
        <v>51435.200000000004</v>
      </c>
      <c r="U52" s="4">
        <v>1771.36</v>
      </c>
      <c r="V52" s="4">
        <v>2100</v>
      </c>
    </row>
    <row r="53" spans="1:22" x14ac:dyDescent="0.35">
      <c r="A53" s="3">
        <v>26</v>
      </c>
      <c r="B53" s="2">
        <v>45890</v>
      </c>
      <c r="C53" s="4"/>
      <c r="D53" s="18"/>
      <c r="E53" s="4">
        <f t="shared" si="21"/>
        <v>8015</v>
      </c>
      <c r="F53" s="4">
        <v>2</v>
      </c>
      <c r="G53" s="14">
        <f t="shared" si="18"/>
        <v>2.4953212726138492E-4</v>
      </c>
      <c r="H53" s="4"/>
      <c r="I53" s="4">
        <f t="shared" si="19"/>
        <v>8013</v>
      </c>
      <c r="J53" s="4">
        <v>216</v>
      </c>
      <c r="K53" s="4">
        <f t="shared" si="14"/>
        <v>6480</v>
      </c>
      <c r="L53" s="4">
        <v>0</v>
      </c>
      <c r="M53" s="4">
        <v>0</v>
      </c>
      <c r="N53" s="4">
        <f t="shared" si="15"/>
        <v>6480</v>
      </c>
      <c r="O53" s="14">
        <f t="shared" si="20"/>
        <v>0.80848409232688712</v>
      </c>
      <c r="P53" s="4">
        <v>20</v>
      </c>
      <c r="Q53" s="4">
        <f t="shared" si="10"/>
        <v>1000</v>
      </c>
      <c r="R53" s="4">
        <f t="shared" si="11"/>
        <v>1000000</v>
      </c>
      <c r="S53" s="4">
        <v>2571.7600000000002</v>
      </c>
      <c r="T53" s="4">
        <f t="shared" si="22"/>
        <v>51435.200000000004</v>
      </c>
      <c r="U53" s="4">
        <v>1771.36</v>
      </c>
      <c r="V53" s="4">
        <v>2100</v>
      </c>
    </row>
    <row r="54" spans="1:22" x14ac:dyDescent="0.35">
      <c r="A54" s="3">
        <v>26</v>
      </c>
      <c r="B54" s="2">
        <v>45891</v>
      </c>
      <c r="C54" s="4"/>
      <c r="D54" s="18"/>
      <c r="E54" s="4">
        <f t="shared" si="21"/>
        <v>8013</v>
      </c>
      <c r="F54" s="4">
        <v>2</v>
      </c>
      <c r="G54" s="14">
        <f t="shared" si="18"/>
        <v>2.4959440908523651E-4</v>
      </c>
      <c r="H54" s="4"/>
      <c r="I54" s="4">
        <f t="shared" si="19"/>
        <v>8011</v>
      </c>
      <c r="J54" s="4">
        <v>219</v>
      </c>
      <c r="K54" s="4">
        <f t="shared" si="14"/>
        <v>6570</v>
      </c>
      <c r="L54" s="4">
        <v>0</v>
      </c>
      <c r="M54" s="4">
        <v>0</v>
      </c>
      <c r="N54" s="4">
        <f t="shared" si="15"/>
        <v>6570</v>
      </c>
      <c r="O54" s="14">
        <f t="shared" si="20"/>
        <v>0.81991763384500183</v>
      </c>
      <c r="P54" s="4">
        <v>20</v>
      </c>
      <c r="Q54" s="4">
        <f t="shared" si="10"/>
        <v>1000</v>
      </c>
      <c r="R54" s="4">
        <f t="shared" si="11"/>
        <v>1000000</v>
      </c>
      <c r="S54" s="4">
        <v>2571.7600000000002</v>
      </c>
      <c r="T54" s="4">
        <f t="shared" si="22"/>
        <v>51435.200000000004</v>
      </c>
      <c r="U54" s="4">
        <v>1771.36</v>
      </c>
      <c r="V54" s="4">
        <v>2500</v>
      </c>
    </row>
    <row r="55" spans="1:22" x14ac:dyDescent="0.35">
      <c r="A55" s="3">
        <v>26</v>
      </c>
      <c r="B55" s="2">
        <v>45892</v>
      </c>
      <c r="C55" s="4"/>
      <c r="D55" s="18"/>
      <c r="E55" s="4">
        <f t="shared" si="21"/>
        <v>8011</v>
      </c>
      <c r="F55" s="4">
        <v>2</v>
      </c>
      <c r="G55" s="14">
        <f t="shared" si="18"/>
        <v>2.4965672200724003E-4</v>
      </c>
      <c r="H55" s="4"/>
      <c r="I55" s="4">
        <f t="shared" si="19"/>
        <v>8009</v>
      </c>
      <c r="J55" s="4">
        <v>222</v>
      </c>
      <c r="K55" s="4">
        <f t="shared" si="14"/>
        <v>6660</v>
      </c>
      <c r="L55" s="4">
        <v>0</v>
      </c>
      <c r="M55" s="4">
        <v>0</v>
      </c>
      <c r="N55" s="4">
        <f t="shared" si="15"/>
        <v>6660</v>
      </c>
      <c r="O55" s="14">
        <f t="shared" si="20"/>
        <v>0.83135688428410937</v>
      </c>
      <c r="P55" s="4">
        <v>20</v>
      </c>
      <c r="Q55" s="4">
        <f t="shared" si="10"/>
        <v>1000</v>
      </c>
      <c r="R55" s="4">
        <f t="shared" si="11"/>
        <v>1000000</v>
      </c>
      <c r="S55" s="4">
        <v>2571.7600000000002</v>
      </c>
      <c r="T55" s="4">
        <f t="shared" si="22"/>
        <v>51435.200000000004</v>
      </c>
      <c r="U55" s="4">
        <v>1771.36</v>
      </c>
      <c r="V55" s="4">
        <v>2400</v>
      </c>
    </row>
    <row r="56" spans="1:22" x14ac:dyDescent="0.35">
      <c r="A56" s="3">
        <v>26</v>
      </c>
      <c r="B56" s="2">
        <v>45893</v>
      </c>
      <c r="C56" s="4"/>
      <c r="D56" s="18"/>
      <c r="E56" s="4">
        <f t="shared" si="21"/>
        <v>8009</v>
      </c>
      <c r="F56" s="4">
        <v>4</v>
      </c>
      <c r="G56" s="14">
        <f t="shared" si="18"/>
        <v>4.9943813210138598E-4</v>
      </c>
      <c r="H56" s="4"/>
      <c r="I56" s="4">
        <f t="shared" si="19"/>
        <v>8005</v>
      </c>
      <c r="J56" s="4">
        <v>225</v>
      </c>
      <c r="K56" s="4">
        <f t="shared" si="14"/>
        <v>6750</v>
      </c>
      <c r="L56" s="4">
        <v>0</v>
      </c>
      <c r="M56" s="4">
        <v>0</v>
      </c>
      <c r="N56" s="4">
        <f t="shared" si="15"/>
        <v>6750</v>
      </c>
      <c r="O56" s="14">
        <f t="shared" si="20"/>
        <v>0.84280184792108881</v>
      </c>
      <c r="P56" s="4">
        <v>20</v>
      </c>
      <c r="Q56" s="4">
        <f t="shared" si="10"/>
        <v>1000</v>
      </c>
      <c r="R56" s="4">
        <f t="shared" si="11"/>
        <v>1000000</v>
      </c>
      <c r="S56" s="4">
        <v>2571.7600000000002</v>
      </c>
      <c r="T56" s="4">
        <f t="shared" si="22"/>
        <v>51435.200000000004</v>
      </c>
      <c r="U56" s="4">
        <v>1771.36</v>
      </c>
      <c r="V56" s="4">
        <v>2400</v>
      </c>
    </row>
    <row r="57" spans="1:22" x14ac:dyDescent="0.35">
      <c r="A57" s="3">
        <v>26</v>
      </c>
      <c r="B57" s="2">
        <v>45894</v>
      </c>
      <c r="C57" s="4"/>
      <c r="D57" s="18"/>
      <c r="E57" s="4">
        <f t="shared" si="21"/>
        <v>8005</v>
      </c>
      <c r="F57" s="4">
        <v>2</v>
      </c>
      <c r="G57" s="14">
        <f t="shared" si="18"/>
        <v>2.4984384759525296E-4</v>
      </c>
      <c r="H57" s="4"/>
      <c r="I57" s="4">
        <f t="shared" si="19"/>
        <v>8003</v>
      </c>
      <c r="J57" s="4">
        <v>225</v>
      </c>
      <c r="K57" s="4">
        <f t="shared" si="14"/>
        <v>6750</v>
      </c>
      <c r="L57" s="4">
        <v>0</v>
      </c>
      <c r="M57" s="4">
        <v>0</v>
      </c>
      <c r="N57" s="4">
        <f t="shared" si="15"/>
        <v>6750</v>
      </c>
      <c r="O57" s="14">
        <f t="shared" si="20"/>
        <v>0.84322298563397879</v>
      </c>
      <c r="P57" s="4">
        <v>20</v>
      </c>
      <c r="Q57" s="4">
        <f t="shared" si="10"/>
        <v>1000</v>
      </c>
      <c r="R57" s="4">
        <f t="shared" si="11"/>
        <v>1000000</v>
      </c>
      <c r="S57" s="4">
        <v>2571.7600000000002</v>
      </c>
      <c r="T57" s="4">
        <f t="shared" si="22"/>
        <v>51435.200000000004</v>
      </c>
      <c r="U57" s="4">
        <v>1824.66</v>
      </c>
      <c r="V57" s="4">
        <v>2300</v>
      </c>
    </row>
    <row r="58" spans="1:22" x14ac:dyDescent="0.35">
      <c r="A58" s="3">
        <v>27</v>
      </c>
      <c r="B58" s="2">
        <v>45895</v>
      </c>
      <c r="C58" s="4"/>
      <c r="D58" s="18"/>
      <c r="E58" s="4">
        <f t="shared" si="21"/>
        <v>8003</v>
      </c>
      <c r="F58" s="4">
        <v>1</v>
      </c>
      <c r="G58" s="14">
        <f t="shared" si="18"/>
        <v>1.2495314257153568E-4</v>
      </c>
      <c r="H58" s="4"/>
      <c r="I58" s="4">
        <f t="shared" si="19"/>
        <v>8002</v>
      </c>
      <c r="J58" s="4">
        <v>228</v>
      </c>
      <c r="K58" s="4">
        <f t="shared" si="14"/>
        <v>6840</v>
      </c>
      <c r="L58" s="4">
        <v>0</v>
      </c>
      <c r="M58" s="4">
        <v>0</v>
      </c>
      <c r="N58" s="4">
        <f t="shared" si="15"/>
        <v>6840</v>
      </c>
      <c r="O58" s="14">
        <f t="shared" si="20"/>
        <v>0.85467949518930397</v>
      </c>
      <c r="P58" s="4">
        <v>20</v>
      </c>
      <c r="Q58" s="4">
        <f t="shared" si="10"/>
        <v>1000</v>
      </c>
      <c r="R58" s="4">
        <f t="shared" si="11"/>
        <v>1000000</v>
      </c>
      <c r="S58" s="4">
        <v>2571.7600000000002</v>
      </c>
      <c r="T58" s="4">
        <f t="shared" si="22"/>
        <v>51435.200000000004</v>
      </c>
      <c r="U58" s="4">
        <v>1824.66</v>
      </c>
      <c r="V58" s="4">
        <v>2400</v>
      </c>
    </row>
    <row r="59" spans="1:22" x14ac:dyDescent="0.35">
      <c r="A59" s="3">
        <v>27</v>
      </c>
      <c r="B59" s="2">
        <v>45896</v>
      </c>
      <c r="C59" s="4"/>
      <c r="D59" s="18"/>
      <c r="E59" s="4">
        <f t="shared" si="21"/>
        <v>8002</v>
      </c>
      <c r="F59" s="4">
        <v>2</v>
      </c>
      <c r="G59" s="14">
        <f t="shared" si="18"/>
        <v>2.4993751562109475E-4</v>
      </c>
      <c r="H59" s="4"/>
      <c r="I59" s="4">
        <f t="shared" si="19"/>
        <v>8000</v>
      </c>
      <c r="J59" s="4">
        <v>232</v>
      </c>
      <c r="K59" s="4">
        <f t="shared" si="14"/>
        <v>6960</v>
      </c>
      <c r="L59" s="4">
        <v>5</v>
      </c>
      <c r="M59" s="4">
        <v>0</v>
      </c>
      <c r="N59" s="4">
        <f t="shared" si="15"/>
        <v>6965</v>
      </c>
      <c r="O59" s="14">
        <f t="shared" si="20"/>
        <v>0.87040739815046242</v>
      </c>
      <c r="P59" s="4">
        <v>20</v>
      </c>
      <c r="Q59" s="4">
        <f t="shared" si="10"/>
        <v>1000</v>
      </c>
      <c r="R59" s="4">
        <f t="shared" si="11"/>
        <v>1000000</v>
      </c>
      <c r="S59" s="4">
        <v>2571.7600000000002</v>
      </c>
      <c r="T59" s="4">
        <f t="shared" si="22"/>
        <v>51435.200000000004</v>
      </c>
      <c r="U59" s="4">
        <v>1824.66</v>
      </c>
      <c r="V59" s="4">
        <v>2000</v>
      </c>
    </row>
    <row r="60" spans="1:22" x14ac:dyDescent="0.35">
      <c r="A60" s="3">
        <v>27</v>
      </c>
      <c r="B60" s="2">
        <v>45897</v>
      </c>
      <c r="C60" s="4"/>
      <c r="D60" s="18"/>
      <c r="E60" s="4">
        <f t="shared" si="21"/>
        <v>8000</v>
      </c>
      <c r="F60" s="4">
        <v>1</v>
      </c>
      <c r="G60" s="14">
        <f t="shared" si="18"/>
        <v>1.25E-4</v>
      </c>
      <c r="H60" s="4"/>
      <c r="I60" s="4">
        <f t="shared" si="19"/>
        <v>7999</v>
      </c>
      <c r="J60" s="4">
        <v>230</v>
      </c>
      <c r="K60" s="4">
        <f t="shared" si="14"/>
        <v>6900</v>
      </c>
      <c r="L60" s="4">
        <v>2</v>
      </c>
      <c r="M60" s="4">
        <v>0</v>
      </c>
      <c r="N60" s="4">
        <f t="shared" si="15"/>
        <v>6902</v>
      </c>
      <c r="O60" s="14">
        <f t="shared" si="20"/>
        <v>0.86275000000000002</v>
      </c>
      <c r="P60" s="4">
        <v>20</v>
      </c>
      <c r="Q60" s="4">
        <f t="shared" si="10"/>
        <v>1000</v>
      </c>
      <c r="R60" s="4">
        <f t="shared" si="11"/>
        <v>1000000</v>
      </c>
      <c r="S60" s="4">
        <v>2571.7600000000002</v>
      </c>
      <c r="T60" s="4">
        <f t="shared" si="22"/>
        <v>51435.200000000004</v>
      </c>
      <c r="U60" s="4">
        <v>1824.66</v>
      </c>
      <c r="V60" s="4">
        <v>2300</v>
      </c>
    </row>
    <row r="61" spans="1:22" x14ac:dyDescent="0.35">
      <c r="A61" s="3">
        <v>27</v>
      </c>
      <c r="B61" s="2">
        <v>45898</v>
      </c>
      <c r="C61" s="4"/>
      <c r="D61" s="18"/>
      <c r="E61" s="4">
        <f t="shared" si="21"/>
        <v>7999</v>
      </c>
      <c r="F61" s="4">
        <v>3</v>
      </c>
      <c r="G61" s="14">
        <f t="shared" si="18"/>
        <v>3.7504688086010754E-4</v>
      </c>
      <c r="H61" s="4"/>
      <c r="I61" s="4">
        <f t="shared" si="19"/>
        <v>7996</v>
      </c>
      <c r="J61" s="4">
        <v>233</v>
      </c>
      <c r="K61" s="4">
        <f t="shared" si="14"/>
        <v>6990</v>
      </c>
      <c r="L61" s="4">
        <v>3</v>
      </c>
      <c r="M61" s="4">
        <v>0</v>
      </c>
      <c r="N61" s="4">
        <f t="shared" si="15"/>
        <v>6993</v>
      </c>
      <c r="O61" s="14">
        <f t="shared" si="20"/>
        <v>0.8742342792849106</v>
      </c>
      <c r="P61" s="4">
        <v>20</v>
      </c>
      <c r="Q61" s="4">
        <f t="shared" si="10"/>
        <v>1000</v>
      </c>
      <c r="R61" s="4">
        <f t="shared" si="11"/>
        <v>1000000</v>
      </c>
      <c r="S61" s="4">
        <v>2571.7600000000002</v>
      </c>
      <c r="T61" s="4">
        <f t="shared" si="22"/>
        <v>51435.200000000004</v>
      </c>
      <c r="U61" s="4">
        <v>1824.66</v>
      </c>
      <c r="V61" s="4">
        <v>2300</v>
      </c>
    </row>
    <row r="62" spans="1:22" x14ac:dyDescent="0.35">
      <c r="A62" s="3">
        <v>27</v>
      </c>
      <c r="B62" s="2">
        <v>45899</v>
      </c>
      <c r="C62" s="4"/>
      <c r="D62" s="18"/>
      <c r="E62" s="4">
        <f t="shared" si="21"/>
        <v>7996</v>
      </c>
      <c r="F62" s="4">
        <v>2</v>
      </c>
      <c r="G62" s="14">
        <f t="shared" si="18"/>
        <v>2.5012506253126561E-4</v>
      </c>
      <c r="H62" s="4"/>
      <c r="I62" s="4">
        <f>E62-F62-H62</f>
        <v>7994</v>
      </c>
      <c r="J62" s="4">
        <v>232</v>
      </c>
      <c r="K62" s="4">
        <f t="shared" si="14"/>
        <v>6960</v>
      </c>
      <c r="L62" s="4">
        <v>0</v>
      </c>
      <c r="M62" s="4">
        <v>0</v>
      </c>
      <c r="N62" s="4">
        <f t="shared" si="15"/>
        <v>6960</v>
      </c>
      <c r="O62" s="14">
        <f t="shared" si="20"/>
        <v>0.87043521760880438</v>
      </c>
      <c r="P62" s="4">
        <v>20</v>
      </c>
      <c r="Q62" s="4">
        <f t="shared" si="10"/>
        <v>1000</v>
      </c>
      <c r="R62" s="4">
        <f t="shared" si="11"/>
        <v>1000000</v>
      </c>
      <c r="S62" s="4">
        <v>2571.7600000000002</v>
      </c>
      <c r="T62" s="4">
        <f t="shared" si="22"/>
        <v>51435.200000000004</v>
      </c>
      <c r="U62" s="4">
        <v>1824.66</v>
      </c>
      <c r="V62" s="4">
        <v>2500</v>
      </c>
    </row>
    <row r="63" spans="1:22" x14ac:dyDescent="0.35">
      <c r="A63" s="3">
        <v>27</v>
      </c>
      <c r="B63" s="2">
        <v>45900</v>
      </c>
      <c r="C63" s="4"/>
      <c r="D63" s="18"/>
      <c r="E63" s="4">
        <f t="shared" si="21"/>
        <v>7994</v>
      </c>
      <c r="F63" s="4">
        <v>3</v>
      </c>
      <c r="G63" s="14">
        <f t="shared" si="18"/>
        <v>3.7528146109582188E-4</v>
      </c>
      <c r="H63" s="4"/>
      <c r="I63" s="4">
        <f>E63-F63-H63</f>
        <v>7991</v>
      </c>
      <c r="J63" s="4">
        <v>230</v>
      </c>
      <c r="K63" s="4">
        <f t="shared" si="14"/>
        <v>6900</v>
      </c>
      <c r="L63" s="4">
        <v>0</v>
      </c>
      <c r="M63" s="4">
        <v>0</v>
      </c>
      <c r="N63" s="4">
        <f t="shared" si="15"/>
        <v>6900</v>
      </c>
      <c r="O63" s="14">
        <f t="shared" si="20"/>
        <v>0.86314736052039032</v>
      </c>
      <c r="P63" s="4">
        <v>20</v>
      </c>
      <c r="Q63" s="4">
        <f t="shared" si="10"/>
        <v>1000</v>
      </c>
      <c r="R63" s="4">
        <f t="shared" si="11"/>
        <v>1000000</v>
      </c>
      <c r="S63" s="4">
        <v>2650.51</v>
      </c>
      <c r="T63" s="4">
        <f t="shared" si="22"/>
        <v>53010.200000000004</v>
      </c>
      <c r="U63" s="4">
        <v>1824.66</v>
      </c>
      <c r="V63" s="4">
        <v>2600</v>
      </c>
    </row>
    <row r="64" spans="1:22" x14ac:dyDescent="0.35">
      <c r="A64" s="3"/>
      <c r="B64" s="2"/>
      <c r="C64" s="4"/>
      <c r="D64" s="18"/>
      <c r="E64" s="4"/>
      <c r="F64" s="4">
        <f>SUM(F33:F63)</f>
        <v>70</v>
      </c>
      <c r="G64" s="14"/>
      <c r="H64" s="4"/>
      <c r="I64" s="4"/>
      <c r="J64" s="4"/>
      <c r="K64" s="4"/>
      <c r="L64" s="4"/>
      <c r="M64" s="4"/>
      <c r="N64" s="4"/>
      <c r="O64" s="14"/>
      <c r="P64" s="4"/>
      <c r="Q64" s="4"/>
      <c r="R64" s="4"/>
      <c r="S64" s="4"/>
      <c r="T64" s="4"/>
    </row>
    <row r="65" spans="1:22" x14ac:dyDescent="0.35">
      <c r="A65" s="3"/>
      <c r="B65" s="2"/>
      <c r="C65" s="4"/>
      <c r="D65" s="18"/>
      <c r="E65" s="4"/>
      <c r="F65" s="4"/>
      <c r="G65" s="14"/>
      <c r="H65" s="4"/>
      <c r="I65" s="4"/>
      <c r="J65" s="4"/>
      <c r="K65" s="4"/>
      <c r="L65" s="4"/>
      <c r="M65" s="4"/>
      <c r="N65" s="4"/>
      <c r="O65" s="14"/>
      <c r="P65" s="4"/>
      <c r="Q65" s="4"/>
      <c r="R65" s="4"/>
      <c r="S65" s="4"/>
      <c r="T65" s="4"/>
    </row>
    <row r="66" spans="1:22" x14ac:dyDescent="0.35">
      <c r="A66" s="1" t="s">
        <v>20</v>
      </c>
      <c r="B66" s="37" t="s">
        <v>1</v>
      </c>
      <c r="C66" s="38" t="s">
        <v>19</v>
      </c>
      <c r="D66" s="38" t="s">
        <v>18</v>
      </c>
      <c r="E66" s="39" t="s">
        <v>2</v>
      </c>
      <c r="F66" s="40" t="s">
        <v>3</v>
      </c>
      <c r="G66" s="41" t="s">
        <v>4</v>
      </c>
      <c r="H66" s="40" t="s">
        <v>5</v>
      </c>
      <c r="I66" s="42" t="s">
        <v>6</v>
      </c>
      <c r="J66" s="43" t="s">
        <v>7</v>
      </c>
      <c r="K66" s="40" t="s">
        <v>8</v>
      </c>
      <c r="L66" s="40" t="s">
        <v>9</v>
      </c>
      <c r="M66" s="40" t="s">
        <v>10</v>
      </c>
      <c r="N66" s="40" t="s">
        <v>11</v>
      </c>
      <c r="O66" s="44" t="s">
        <v>12</v>
      </c>
      <c r="P66" s="43" t="s">
        <v>13</v>
      </c>
      <c r="Q66" s="40" t="s">
        <v>14</v>
      </c>
      <c r="R66" s="45" t="s">
        <v>15</v>
      </c>
      <c r="S66" s="46" t="s">
        <v>16</v>
      </c>
      <c r="T66" s="47" t="s">
        <v>17</v>
      </c>
      <c r="U66" s="48" t="s">
        <v>22</v>
      </c>
      <c r="V66" s="48" t="s">
        <v>24</v>
      </c>
    </row>
    <row r="67" spans="1:22" x14ac:dyDescent="0.35">
      <c r="A67" s="3">
        <v>27</v>
      </c>
      <c r="B67" s="2">
        <v>45901</v>
      </c>
      <c r="C67" s="18"/>
      <c r="D67" s="18"/>
      <c r="E67" s="4">
        <v>7991</v>
      </c>
      <c r="F67" s="4">
        <v>2</v>
      </c>
      <c r="G67" s="14">
        <f t="shared" ref="G67:G96" si="23">F67/E67</f>
        <v>2.5028156676260791E-4</v>
      </c>
      <c r="H67" s="4"/>
      <c r="I67" s="4">
        <f t="shared" ref="I67:I96" si="24">E67-F67-H67</f>
        <v>7989</v>
      </c>
      <c r="J67" s="4">
        <v>237</v>
      </c>
      <c r="K67" s="4">
        <f t="shared" ref="K67:K77" si="25">J67*30</f>
        <v>7110</v>
      </c>
      <c r="L67" s="4">
        <v>0</v>
      </c>
      <c r="M67" s="4">
        <v>0</v>
      </c>
      <c r="N67" s="4">
        <f t="shared" ref="N67:N96" si="26">K67+L67-M67</f>
        <v>7110</v>
      </c>
      <c r="O67" s="14">
        <f t="shared" ref="O67:O85" si="27">N67/E67</f>
        <v>0.88975096984107116</v>
      </c>
      <c r="P67" s="4">
        <v>20</v>
      </c>
      <c r="Q67" s="4">
        <f t="shared" ref="Q67:Q96" si="28">P67*50</f>
        <v>1000</v>
      </c>
      <c r="R67" s="4">
        <f t="shared" ref="R67:R96" si="29">Q67*1000</f>
        <v>1000000</v>
      </c>
      <c r="S67" s="4">
        <v>2650.51</v>
      </c>
      <c r="T67" s="4">
        <f t="shared" ref="T67:T96" si="30">P67*S67</f>
        <v>53010.200000000004</v>
      </c>
      <c r="U67" s="4">
        <v>1820.94</v>
      </c>
      <c r="V67" s="4">
        <v>2700</v>
      </c>
    </row>
    <row r="68" spans="1:22" x14ac:dyDescent="0.35">
      <c r="A68" s="3">
        <v>28</v>
      </c>
      <c r="B68" s="2">
        <v>45902</v>
      </c>
      <c r="C68" s="4"/>
      <c r="D68" s="18"/>
      <c r="E68" s="4">
        <f t="shared" ref="E68:E96" si="31">I67</f>
        <v>7989</v>
      </c>
      <c r="F68" s="4">
        <v>3</v>
      </c>
      <c r="G68" s="14">
        <f t="shared" si="23"/>
        <v>3.7551633496057078E-4</v>
      </c>
      <c r="H68" s="4"/>
      <c r="I68" s="4">
        <f t="shared" si="24"/>
        <v>7986</v>
      </c>
      <c r="J68" s="4">
        <v>237</v>
      </c>
      <c r="K68" s="4">
        <f t="shared" si="25"/>
        <v>7110</v>
      </c>
      <c r="L68" s="4">
        <v>0</v>
      </c>
      <c r="M68" s="4">
        <v>0</v>
      </c>
      <c r="N68" s="4">
        <f t="shared" si="26"/>
        <v>7110</v>
      </c>
      <c r="O68" s="14">
        <f t="shared" si="27"/>
        <v>0.88997371385655277</v>
      </c>
      <c r="P68" s="4">
        <v>20</v>
      </c>
      <c r="Q68" s="4">
        <f t="shared" si="28"/>
        <v>1000</v>
      </c>
      <c r="R68" s="4">
        <f t="shared" si="29"/>
        <v>1000000</v>
      </c>
      <c r="S68" s="4">
        <v>2650.51</v>
      </c>
      <c r="T68" s="4">
        <f t="shared" si="30"/>
        <v>53010.200000000004</v>
      </c>
      <c r="U68" s="4">
        <v>1820.94</v>
      </c>
      <c r="V68" s="4">
        <v>2700</v>
      </c>
    </row>
    <row r="69" spans="1:22" x14ac:dyDescent="0.35">
      <c r="A69" s="3">
        <v>28</v>
      </c>
      <c r="B69" s="2">
        <v>45903</v>
      </c>
      <c r="C69" s="4"/>
      <c r="D69" s="18"/>
      <c r="E69" s="4">
        <f t="shared" si="31"/>
        <v>7986</v>
      </c>
      <c r="F69" s="4">
        <v>1</v>
      </c>
      <c r="G69" s="14">
        <f t="shared" si="23"/>
        <v>1.2521913348359628E-4</v>
      </c>
      <c r="H69" s="4"/>
      <c r="I69" s="4">
        <f t="shared" si="24"/>
        <v>7985</v>
      </c>
      <c r="J69" s="4">
        <v>238</v>
      </c>
      <c r="K69" s="4">
        <f t="shared" si="25"/>
        <v>7140</v>
      </c>
      <c r="L69" s="4">
        <v>0</v>
      </c>
      <c r="M69" s="4">
        <v>0</v>
      </c>
      <c r="N69" s="4">
        <f t="shared" si="26"/>
        <v>7140</v>
      </c>
      <c r="O69" s="14">
        <f t="shared" si="27"/>
        <v>0.89406461307287755</v>
      </c>
      <c r="P69" s="4">
        <v>20</v>
      </c>
      <c r="Q69" s="4">
        <f t="shared" si="28"/>
        <v>1000</v>
      </c>
      <c r="R69" s="4">
        <f t="shared" si="29"/>
        <v>1000000</v>
      </c>
      <c r="S69" s="4">
        <v>2650.51</v>
      </c>
      <c r="T69" s="4">
        <f t="shared" si="30"/>
        <v>53010.200000000004</v>
      </c>
      <c r="U69" s="4">
        <v>1820.94</v>
      </c>
      <c r="V69" s="4">
        <v>2500</v>
      </c>
    </row>
    <row r="70" spans="1:22" x14ac:dyDescent="0.35">
      <c r="A70" s="3">
        <v>28</v>
      </c>
      <c r="B70" s="2">
        <v>45904</v>
      </c>
      <c r="C70" s="19"/>
      <c r="D70" s="19"/>
      <c r="E70" s="4">
        <f t="shared" si="31"/>
        <v>7985</v>
      </c>
      <c r="F70" s="4">
        <v>3</v>
      </c>
      <c r="G70" s="14">
        <f t="shared" si="23"/>
        <v>3.7570444583594242E-4</v>
      </c>
      <c r="H70" s="7"/>
      <c r="I70" s="4">
        <f t="shared" si="24"/>
        <v>7982</v>
      </c>
      <c r="J70" s="4">
        <v>240</v>
      </c>
      <c r="K70" s="4">
        <f t="shared" si="25"/>
        <v>7200</v>
      </c>
      <c r="L70" s="4">
        <v>0</v>
      </c>
      <c r="M70" s="4">
        <v>0</v>
      </c>
      <c r="N70" s="4">
        <f t="shared" si="26"/>
        <v>7200</v>
      </c>
      <c r="O70" s="14">
        <f t="shared" si="27"/>
        <v>0.90169067000626169</v>
      </c>
      <c r="P70" s="4">
        <v>20</v>
      </c>
      <c r="Q70" s="4">
        <f t="shared" si="28"/>
        <v>1000</v>
      </c>
      <c r="R70" s="4">
        <f t="shared" si="29"/>
        <v>1000000</v>
      </c>
      <c r="S70" s="4">
        <v>2650.51</v>
      </c>
      <c r="T70" s="4">
        <f t="shared" si="30"/>
        <v>53010.200000000004</v>
      </c>
      <c r="U70" s="4">
        <v>1820.94</v>
      </c>
      <c r="V70" s="4">
        <v>2600</v>
      </c>
    </row>
    <row r="71" spans="1:22" x14ac:dyDescent="0.35">
      <c r="A71" s="3">
        <v>28</v>
      </c>
      <c r="B71" s="2">
        <v>45905</v>
      </c>
      <c r="C71" s="4"/>
      <c r="D71" s="18"/>
      <c r="E71" s="4">
        <f t="shared" si="31"/>
        <v>7982</v>
      </c>
      <c r="F71" s="4">
        <v>2</v>
      </c>
      <c r="G71" s="14">
        <f t="shared" si="23"/>
        <v>2.5056376847907793E-4</v>
      </c>
      <c r="H71" s="4"/>
      <c r="I71" s="4">
        <f t="shared" si="24"/>
        <v>7980</v>
      </c>
      <c r="J71" s="4">
        <v>238</v>
      </c>
      <c r="K71" s="4">
        <f t="shared" si="25"/>
        <v>7140</v>
      </c>
      <c r="L71" s="4">
        <v>0</v>
      </c>
      <c r="M71" s="4">
        <v>0</v>
      </c>
      <c r="N71" s="4">
        <f t="shared" si="26"/>
        <v>7140</v>
      </c>
      <c r="O71" s="14">
        <f t="shared" si="27"/>
        <v>0.89451265347030817</v>
      </c>
      <c r="P71" s="4">
        <v>20</v>
      </c>
      <c r="Q71" s="4">
        <f t="shared" si="28"/>
        <v>1000</v>
      </c>
      <c r="R71" s="4">
        <f t="shared" si="29"/>
        <v>1000000</v>
      </c>
      <c r="S71" s="4">
        <v>2650.51</v>
      </c>
      <c r="T71" s="4">
        <f t="shared" si="30"/>
        <v>53010.200000000004</v>
      </c>
      <c r="U71" s="4">
        <v>1820.94</v>
      </c>
      <c r="V71" s="4">
        <v>2300</v>
      </c>
    </row>
    <row r="72" spans="1:22" x14ac:dyDescent="0.35">
      <c r="A72" s="3">
        <v>28</v>
      </c>
      <c r="B72" s="2">
        <v>45906</v>
      </c>
      <c r="C72" s="4"/>
      <c r="D72" s="18"/>
      <c r="E72" s="4">
        <f t="shared" si="31"/>
        <v>7980</v>
      </c>
      <c r="F72" s="4">
        <v>1</v>
      </c>
      <c r="G72" s="14">
        <f t="shared" si="23"/>
        <v>1.2531328320802005E-4</v>
      </c>
      <c r="H72" s="4"/>
      <c r="I72" s="4">
        <f t="shared" si="24"/>
        <v>7979</v>
      </c>
      <c r="J72" s="4">
        <v>240</v>
      </c>
      <c r="K72" s="4">
        <f t="shared" si="25"/>
        <v>7200</v>
      </c>
      <c r="L72" s="4">
        <v>0</v>
      </c>
      <c r="M72" s="4">
        <v>0</v>
      </c>
      <c r="N72" s="4">
        <f t="shared" si="26"/>
        <v>7200</v>
      </c>
      <c r="O72" s="14">
        <f t="shared" si="27"/>
        <v>0.90225563909774431</v>
      </c>
      <c r="P72" s="4">
        <v>20</v>
      </c>
      <c r="Q72" s="4">
        <f t="shared" si="28"/>
        <v>1000</v>
      </c>
      <c r="R72" s="4">
        <f t="shared" si="29"/>
        <v>1000000</v>
      </c>
      <c r="S72" s="4">
        <v>2650.51</v>
      </c>
      <c r="T72" s="4">
        <f t="shared" si="30"/>
        <v>53010.200000000004</v>
      </c>
      <c r="U72" s="4">
        <v>1820.94</v>
      </c>
      <c r="V72" s="4">
        <v>2500</v>
      </c>
    </row>
    <row r="73" spans="1:22" x14ac:dyDescent="0.35">
      <c r="A73" s="3">
        <v>28</v>
      </c>
      <c r="B73" s="2">
        <v>45907</v>
      </c>
      <c r="C73" s="4"/>
      <c r="D73" s="18"/>
      <c r="E73" s="4">
        <f t="shared" si="31"/>
        <v>7979</v>
      </c>
      <c r="F73" s="4">
        <v>2</v>
      </c>
      <c r="G73" s="14">
        <f t="shared" si="23"/>
        <v>2.5065797719012406E-4</v>
      </c>
      <c r="H73" s="4"/>
      <c r="I73" s="4">
        <f t="shared" si="24"/>
        <v>7977</v>
      </c>
      <c r="J73" s="4">
        <v>241</v>
      </c>
      <c r="K73" s="4">
        <f t="shared" si="25"/>
        <v>7230</v>
      </c>
      <c r="L73" s="4">
        <v>0</v>
      </c>
      <c r="M73" s="4">
        <v>0</v>
      </c>
      <c r="N73" s="4">
        <f t="shared" si="26"/>
        <v>7230</v>
      </c>
      <c r="O73" s="14">
        <f t="shared" si="27"/>
        <v>0.90612858754229852</v>
      </c>
      <c r="P73" s="4">
        <v>20</v>
      </c>
      <c r="Q73" s="4">
        <f t="shared" si="28"/>
        <v>1000</v>
      </c>
      <c r="R73" s="4">
        <f t="shared" si="29"/>
        <v>1000000</v>
      </c>
      <c r="S73" s="4">
        <v>2650.51</v>
      </c>
      <c r="T73" s="4">
        <f t="shared" si="30"/>
        <v>53010.200000000004</v>
      </c>
      <c r="U73" s="4">
        <v>1820.94</v>
      </c>
      <c r="V73" s="4">
        <v>2400</v>
      </c>
    </row>
    <row r="74" spans="1:22" x14ac:dyDescent="0.35">
      <c r="A74" s="3">
        <v>28</v>
      </c>
      <c r="B74" s="2">
        <v>45908</v>
      </c>
      <c r="C74" s="4"/>
      <c r="D74" s="18"/>
      <c r="E74" s="4">
        <f t="shared" si="31"/>
        <v>7977</v>
      </c>
      <c r="F74" s="4">
        <v>2</v>
      </c>
      <c r="G74" s="14">
        <f t="shared" si="23"/>
        <v>2.5072082236429733E-4</v>
      </c>
      <c r="H74" s="4"/>
      <c r="I74" s="4">
        <f t="shared" si="24"/>
        <v>7975</v>
      </c>
      <c r="J74" s="4">
        <v>242</v>
      </c>
      <c r="K74" s="4">
        <f t="shared" si="25"/>
        <v>7260</v>
      </c>
      <c r="L74" s="4">
        <v>0</v>
      </c>
      <c r="M74" s="4">
        <v>0</v>
      </c>
      <c r="N74" s="4">
        <f t="shared" si="26"/>
        <v>7260</v>
      </c>
      <c r="O74" s="14">
        <f t="shared" si="27"/>
        <v>0.91011658518239935</v>
      </c>
      <c r="P74" s="4">
        <v>20</v>
      </c>
      <c r="Q74" s="4">
        <f t="shared" si="28"/>
        <v>1000</v>
      </c>
      <c r="R74" s="4">
        <f t="shared" si="29"/>
        <v>1000000</v>
      </c>
      <c r="S74" s="4">
        <v>2683.51</v>
      </c>
      <c r="T74" s="4">
        <f t="shared" si="30"/>
        <v>53670.200000000004</v>
      </c>
      <c r="U74" s="4">
        <v>1820.94</v>
      </c>
      <c r="V74" s="4">
        <v>2500</v>
      </c>
    </row>
    <row r="75" spans="1:22" x14ac:dyDescent="0.35">
      <c r="A75" s="3">
        <v>29</v>
      </c>
      <c r="B75" s="2">
        <v>45909</v>
      </c>
      <c r="C75" s="4"/>
      <c r="D75" s="18"/>
      <c r="E75" s="4">
        <f t="shared" si="31"/>
        <v>7975</v>
      </c>
      <c r="F75" s="4">
        <v>3</v>
      </c>
      <c r="G75" s="14">
        <f t="shared" si="23"/>
        <v>3.7617554858934167E-4</v>
      </c>
      <c r="H75" s="4"/>
      <c r="I75" s="4">
        <f t="shared" si="24"/>
        <v>7972</v>
      </c>
      <c r="J75" s="4">
        <v>242</v>
      </c>
      <c r="K75" s="4">
        <f t="shared" si="25"/>
        <v>7260</v>
      </c>
      <c r="L75" s="4">
        <v>0</v>
      </c>
      <c r="M75" s="4">
        <v>0</v>
      </c>
      <c r="N75" s="4">
        <f t="shared" si="26"/>
        <v>7260</v>
      </c>
      <c r="O75" s="14">
        <f t="shared" si="27"/>
        <v>0.91034482758620694</v>
      </c>
      <c r="P75" s="4">
        <v>20</v>
      </c>
      <c r="Q75" s="4">
        <f t="shared" si="28"/>
        <v>1000</v>
      </c>
      <c r="R75" s="4">
        <f t="shared" si="29"/>
        <v>1000000</v>
      </c>
      <c r="S75" s="4">
        <v>2683.51</v>
      </c>
      <c r="T75" s="4">
        <f t="shared" si="30"/>
        <v>53670.200000000004</v>
      </c>
      <c r="U75" s="4">
        <v>1820.94</v>
      </c>
      <c r="V75" s="4">
        <v>2500</v>
      </c>
    </row>
    <row r="76" spans="1:22" x14ac:dyDescent="0.35">
      <c r="A76" s="3">
        <v>29</v>
      </c>
      <c r="B76" s="2">
        <v>45910</v>
      </c>
      <c r="C76" s="4"/>
      <c r="D76" s="18"/>
      <c r="E76" s="4">
        <f t="shared" si="31"/>
        <v>7972</v>
      </c>
      <c r="F76" s="4">
        <v>3</v>
      </c>
      <c r="G76" s="14">
        <f t="shared" si="23"/>
        <v>3.7631710988459609E-4</v>
      </c>
      <c r="H76" s="4"/>
      <c r="I76" s="4">
        <f t="shared" si="24"/>
        <v>7969</v>
      </c>
      <c r="J76" s="4">
        <v>242</v>
      </c>
      <c r="K76" s="4">
        <f t="shared" si="25"/>
        <v>7260</v>
      </c>
      <c r="L76" s="4">
        <v>0</v>
      </c>
      <c r="M76" s="4">
        <v>0</v>
      </c>
      <c r="N76" s="4">
        <f t="shared" si="26"/>
        <v>7260</v>
      </c>
      <c r="O76" s="14">
        <f t="shared" si="27"/>
        <v>0.9106874059207225</v>
      </c>
      <c r="P76" s="4">
        <v>20</v>
      </c>
      <c r="Q76" s="4">
        <f t="shared" si="28"/>
        <v>1000</v>
      </c>
      <c r="R76" s="4">
        <f t="shared" si="29"/>
        <v>1000000</v>
      </c>
      <c r="S76" s="4">
        <v>2683.51</v>
      </c>
      <c r="T76" s="4">
        <f t="shared" si="30"/>
        <v>53670.200000000004</v>
      </c>
      <c r="U76" s="4">
        <v>1820.94</v>
      </c>
      <c r="V76" s="4">
        <v>2500</v>
      </c>
    </row>
    <row r="77" spans="1:22" x14ac:dyDescent="0.35">
      <c r="A77" s="3">
        <v>29</v>
      </c>
      <c r="B77" s="2">
        <v>45911</v>
      </c>
      <c r="C77" s="4"/>
      <c r="D77" s="18"/>
      <c r="E77" s="4">
        <f t="shared" si="31"/>
        <v>7969</v>
      </c>
      <c r="F77" s="4">
        <v>2</v>
      </c>
      <c r="G77" s="14">
        <f t="shared" si="23"/>
        <v>2.5097251850922326E-4</v>
      </c>
      <c r="H77" s="4"/>
      <c r="I77" s="4">
        <f t="shared" si="24"/>
        <v>7967</v>
      </c>
      <c r="J77" s="4">
        <v>242</v>
      </c>
      <c r="K77" s="4">
        <f t="shared" si="25"/>
        <v>7260</v>
      </c>
      <c r="L77" s="4">
        <v>0</v>
      </c>
      <c r="M77" s="4">
        <v>0</v>
      </c>
      <c r="N77" s="4">
        <f t="shared" si="26"/>
        <v>7260</v>
      </c>
      <c r="O77" s="14">
        <f t="shared" si="27"/>
        <v>0.91103024218848039</v>
      </c>
      <c r="P77" s="4">
        <v>20</v>
      </c>
      <c r="Q77" s="4">
        <f t="shared" si="28"/>
        <v>1000</v>
      </c>
      <c r="R77" s="4">
        <f t="shared" si="29"/>
        <v>1000000</v>
      </c>
      <c r="S77" s="4">
        <v>2683.51</v>
      </c>
      <c r="T77" s="4">
        <f t="shared" si="30"/>
        <v>53670.200000000004</v>
      </c>
      <c r="U77" s="4">
        <v>1820.94</v>
      </c>
      <c r="V77" s="4">
        <v>2500</v>
      </c>
    </row>
    <row r="78" spans="1:22" x14ac:dyDescent="0.35">
      <c r="A78" s="3">
        <v>29</v>
      </c>
      <c r="B78" s="2">
        <v>45912</v>
      </c>
      <c r="C78" s="4"/>
      <c r="D78" s="18"/>
      <c r="E78" s="4">
        <f t="shared" si="31"/>
        <v>7967</v>
      </c>
      <c r="F78" s="4">
        <v>2</v>
      </c>
      <c r="G78" s="14">
        <f t="shared" si="23"/>
        <v>2.5103552152629598E-4</v>
      </c>
      <c r="H78" s="4"/>
      <c r="I78" s="4">
        <f t="shared" si="24"/>
        <v>7965</v>
      </c>
      <c r="J78" s="4">
        <v>243</v>
      </c>
      <c r="K78" s="4">
        <f>J78*30</f>
        <v>7290</v>
      </c>
      <c r="L78" s="4">
        <v>0</v>
      </c>
      <c r="M78" s="4">
        <v>0</v>
      </c>
      <c r="N78" s="4">
        <f t="shared" si="26"/>
        <v>7290</v>
      </c>
      <c r="O78" s="14">
        <f t="shared" si="27"/>
        <v>0.91502447596334879</v>
      </c>
      <c r="P78" s="4">
        <v>20</v>
      </c>
      <c r="Q78" s="4">
        <f t="shared" si="28"/>
        <v>1000</v>
      </c>
      <c r="R78" s="4">
        <f t="shared" si="29"/>
        <v>1000000</v>
      </c>
      <c r="S78" s="4">
        <v>2665.93</v>
      </c>
      <c r="T78" s="4">
        <f t="shared" si="30"/>
        <v>53318.6</v>
      </c>
      <c r="U78" s="4">
        <v>1820.94</v>
      </c>
      <c r="V78" s="4">
        <v>2000</v>
      </c>
    </row>
    <row r="79" spans="1:22" x14ac:dyDescent="0.35">
      <c r="A79" s="3">
        <v>29</v>
      </c>
      <c r="B79" s="2">
        <v>45913</v>
      </c>
      <c r="C79" s="4"/>
      <c r="D79" s="18"/>
      <c r="E79" s="4">
        <f t="shared" si="31"/>
        <v>7965</v>
      </c>
      <c r="F79" s="4">
        <v>3</v>
      </c>
      <c r="G79" s="14">
        <f t="shared" si="23"/>
        <v>3.7664783427495291E-4</v>
      </c>
      <c r="H79" s="4"/>
      <c r="I79" s="4">
        <f t="shared" si="24"/>
        <v>7962</v>
      </c>
      <c r="J79" s="4">
        <v>243</v>
      </c>
      <c r="K79" s="4">
        <f t="shared" ref="K79:K96" si="32">J79*30</f>
        <v>7290</v>
      </c>
      <c r="L79" s="4">
        <v>0</v>
      </c>
      <c r="M79" s="4">
        <v>0</v>
      </c>
      <c r="N79" s="4">
        <f t="shared" si="26"/>
        <v>7290</v>
      </c>
      <c r="O79" s="14">
        <f t="shared" si="27"/>
        <v>0.9152542372881356</v>
      </c>
      <c r="P79" s="4">
        <v>20</v>
      </c>
      <c r="Q79" s="4">
        <f t="shared" si="28"/>
        <v>1000</v>
      </c>
      <c r="R79" s="4">
        <f t="shared" si="29"/>
        <v>1000000</v>
      </c>
      <c r="S79" s="4">
        <v>2665.93</v>
      </c>
      <c r="T79" s="4">
        <f t="shared" si="30"/>
        <v>53318.6</v>
      </c>
      <c r="U79" s="4">
        <v>1820.94</v>
      </c>
      <c r="V79" s="4">
        <v>2600</v>
      </c>
    </row>
    <row r="80" spans="1:22" x14ac:dyDescent="0.35">
      <c r="A80" s="3">
        <v>29</v>
      </c>
      <c r="B80" s="2">
        <v>45914</v>
      </c>
      <c r="C80" s="4"/>
      <c r="D80" s="18"/>
      <c r="E80" s="4">
        <f t="shared" si="31"/>
        <v>7962</v>
      </c>
      <c r="F80" s="4">
        <v>3</v>
      </c>
      <c r="G80" s="14">
        <f t="shared" si="23"/>
        <v>3.7678975131876413E-4</v>
      </c>
      <c r="H80" s="4"/>
      <c r="I80" s="4">
        <f t="shared" si="24"/>
        <v>7959</v>
      </c>
      <c r="J80" s="4">
        <v>243</v>
      </c>
      <c r="K80" s="4">
        <f t="shared" si="32"/>
        <v>7290</v>
      </c>
      <c r="L80" s="4">
        <v>0</v>
      </c>
      <c r="M80" s="4">
        <v>0</v>
      </c>
      <c r="N80" s="4">
        <f t="shared" si="26"/>
        <v>7290</v>
      </c>
      <c r="O80" s="14">
        <f t="shared" si="27"/>
        <v>0.91559909570459685</v>
      </c>
      <c r="P80" s="4">
        <v>20</v>
      </c>
      <c r="Q80" s="4">
        <f t="shared" si="28"/>
        <v>1000</v>
      </c>
      <c r="R80" s="4">
        <f t="shared" si="29"/>
        <v>1000000</v>
      </c>
      <c r="S80" s="4">
        <v>2665.93</v>
      </c>
      <c r="T80" s="4">
        <f t="shared" si="30"/>
        <v>53318.6</v>
      </c>
      <c r="U80" s="4">
        <v>1820.94</v>
      </c>
      <c r="V80" s="4">
        <v>2500</v>
      </c>
    </row>
    <row r="81" spans="1:22" x14ac:dyDescent="0.35">
      <c r="A81" s="3">
        <v>29</v>
      </c>
      <c r="B81" s="2">
        <v>45915</v>
      </c>
      <c r="C81" s="4"/>
      <c r="D81" s="18"/>
      <c r="E81" s="4">
        <f t="shared" si="31"/>
        <v>7959</v>
      </c>
      <c r="F81" s="4">
        <v>3</v>
      </c>
      <c r="G81" s="14">
        <f t="shared" si="23"/>
        <v>3.769317753486619E-4</v>
      </c>
      <c r="H81" s="4"/>
      <c r="I81" s="4">
        <f t="shared" si="24"/>
        <v>7956</v>
      </c>
      <c r="J81" s="4">
        <v>245</v>
      </c>
      <c r="K81" s="4">
        <f t="shared" si="32"/>
        <v>7350</v>
      </c>
      <c r="L81" s="4">
        <v>0</v>
      </c>
      <c r="M81" s="4">
        <v>0</v>
      </c>
      <c r="N81" s="4">
        <f t="shared" si="26"/>
        <v>7350</v>
      </c>
      <c r="O81" s="14">
        <f t="shared" si="27"/>
        <v>0.92348284960422167</v>
      </c>
      <c r="P81" s="4">
        <v>20</v>
      </c>
      <c r="Q81" s="4">
        <f t="shared" si="28"/>
        <v>1000</v>
      </c>
      <c r="R81" s="4">
        <f t="shared" si="29"/>
        <v>1000000</v>
      </c>
      <c r="S81" s="4">
        <v>2665.93</v>
      </c>
      <c r="T81" s="4">
        <f t="shared" si="30"/>
        <v>53318.6</v>
      </c>
      <c r="U81" s="4">
        <v>1820.94</v>
      </c>
      <c r="V81" s="4">
        <v>2500</v>
      </c>
    </row>
    <row r="82" spans="1:22" x14ac:dyDescent="0.35">
      <c r="A82" s="3">
        <v>30</v>
      </c>
      <c r="B82" s="2">
        <v>45916</v>
      </c>
      <c r="C82" s="4"/>
      <c r="D82" s="18"/>
      <c r="E82" s="4">
        <f t="shared" si="31"/>
        <v>7956</v>
      </c>
      <c r="F82" s="4">
        <v>1</v>
      </c>
      <c r="G82" s="14">
        <f t="shared" si="23"/>
        <v>1.2569130216189038E-4</v>
      </c>
      <c r="H82" s="4"/>
      <c r="I82" s="4">
        <f t="shared" si="24"/>
        <v>7955</v>
      </c>
      <c r="J82" s="4">
        <v>244</v>
      </c>
      <c r="K82" s="4">
        <f t="shared" si="32"/>
        <v>7320</v>
      </c>
      <c r="L82" s="4">
        <v>0</v>
      </c>
      <c r="M82" s="4">
        <v>0</v>
      </c>
      <c r="N82" s="4">
        <f t="shared" si="26"/>
        <v>7320</v>
      </c>
      <c r="O82" s="14">
        <f t="shared" si="27"/>
        <v>0.92006033182503766</v>
      </c>
      <c r="P82" s="4">
        <v>20</v>
      </c>
      <c r="Q82" s="4">
        <f t="shared" si="28"/>
        <v>1000</v>
      </c>
      <c r="R82" s="4">
        <f t="shared" si="29"/>
        <v>1000000</v>
      </c>
      <c r="S82" s="4">
        <v>2665.93</v>
      </c>
      <c r="T82" s="4">
        <f t="shared" si="30"/>
        <v>53318.6</v>
      </c>
      <c r="U82" s="4">
        <v>1820.94</v>
      </c>
      <c r="V82" s="4">
        <v>2500</v>
      </c>
    </row>
    <row r="83" spans="1:22" x14ac:dyDescent="0.35">
      <c r="A83" s="3">
        <v>30</v>
      </c>
      <c r="B83" s="2">
        <v>45917</v>
      </c>
      <c r="C83" s="4"/>
      <c r="D83" s="18"/>
      <c r="E83" s="4">
        <f t="shared" si="31"/>
        <v>7955</v>
      </c>
      <c r="F83" s="4">
        <v>2</v>
      </c>
      <c r="G83" s="14">
        <f t="shared" si="23"/>
        <v>2.5141420490257699E-4</v>
      </c>
      <c r="H83" s="4"/>
      <c r="I83" s="4">
        <f t="shared" si="24"/>
        <v>7953</v>
      </c>
      <c r="J83" s="4">
        <v>244</v>
      </c>
      <c r="K83" s="4">
        <f t="shared" si="32"/>
        <v>7320</v>
      </c>
      <c r="L83" s="4">
        <v>0</v>
      </c>
      <c r="M83" s="4">
        <v>0</v>
      </c>
      <c r="N83" s="4">
        <f t="shared" si="26"/>
        <v>7320</v>
      </c>
      <c r="O83" s="14">
        <f t="shared" si="27"/>
        <v>0.92017598994343175</v>
      </c>
      <c r="P83" s="4">
        <v>20</v>
      </c>
      <c r="Q83" s="4">
        <f t="shared" si="28"/>
        <v>1000</v>
      </c>
      <c r="R83" s="4">
        <f t="shared" si="29"/>
        <v>1000000</v>
      </c>
      <c r="S83" s="4">
        <v>2665.93</v>
      </c>
      <c r="T83" s="4">
        <f t="shared" si="30"/>
        <v>53318.6</v>
      </c>
      <c r="U83" s="4">
        <v>1820.94</v>
      </c>
      <c r="V83" s="4">
        <v>2400</v>
      </c>
    </row>
    <row r="84" spans="1:22" x14ac:dyDescent="0.35">
      <c r="A84" s="3">
        <v>30</v>
      </c>
      <c r="B84" s="2">
        <v>45918</v>
      </c>
      <c r="C84" s="4"/>
      <c r="D84" s="18"/>
      <c r="E84" s="4">
        <f t="shared" si="31"/>
        <v>7953</v>
      </c>
      <c r="F84" s="4">
        <v>1</v>
      </c>
      <c r="G84" s="14">
        <f t="shared" si="23"/>
        <v>1.257387149503332E-4</v>
      </c>
      <c r="H84" s="4"/>
      <c r="I84" s="4">
        <f t="shared" si="24"/>
        <v>7952</v>
      </c>
      <c r="J84" s="4">
        <v>244</v>
      </c>
      <c r="K84" s="4">
        <f t="shared" si="32"/>
        <v>7320</v>
      </c>
      <c r="L84" s="4">
        <v>0</v>
      </c>
      <c r="M84" s="4">
        <v>0</v>
      </c>
      <c r="N84" s="4">
        <f t="shared" si="26"/>
        <v>7320</v>
      </c>
      <c r="O84" s="14">
        <f t="shared" si="27"/>
        <v>0.92040739343643907</v>
      </c>
      <c r="P84" s="4">
        <v>20</v>
      </c>
      <c r="Q84" s="4">
        <f t="shared" si="28"/>
        <v>1000</v>
      </c>
      <c r="R84" s="4">
        <f t="shared" si="29"/>
        <v>1000000</v>
      </c>
      <c r="S84" s="4">
        <v>2665.93</v>
      </c>
      <c r="T84" s="4">
        <f t="shared" si="30"/>
        <v>53318.6</v>
      </c>
      <c r="U84" s="4">
        <v>1820.94</v>
      </c>
      <c r="V84" s="4">
        <v>2400</v>
      </c>
    </row>
    <row r="85" spans="1:22" x14ac:dyDescent="0.35">
      <c r="A85" s="3">
        <v>30</v>
      </c>
      <c r="B85" s="2">
        <v>45919</v>
      </c>
      <c r="C85" s="4"/>
      <c r="D85" s="18"/>
      <c r="E85" s="4">
        <f t="shared" si="31"/>
        <v>7952</v>
      </c>
      <c r="F85" s="4">
        <v>3</v>
      </c>
      <c r="G85" s="14">
        <f t="shared" si="23"/>
        <v>3.7726358148893358E-4</v>
      </c>
      <c r="H85" s="4"/>
      <c r="I85" s="4">
        <f t="shared" si="24"/>
        <v>7949</v>
      </c>
      <c r="J85" s="4">
        <v>244</v>
      </c>
      <c r="K85" s="4">
        <f t="shared" si="32"/>
        <v>7320</v>
      </c>
      <c r="L85" s="4">
        <v>0</v>
      </c>
      <c r="M85" s="4">
        <v>0</v>
      </c>
      <c r="N85" s="4">
        <f t="shared" si="26"/>
        <v>7320</v>
      </c>
      <c r="O85" s="14">
        <f t="shared" si="27"/>
        <v>0.92052313883299797</v>
      </c>
      <c r="P85" s="4">
        <v>20</v>
      </c>
      <c r="Q85" s="4">
        <f t="shared" si="28"/>
        <v>1000</v>
      </c>
      <c r="R85" s="4">
        <f t="shared" si="29"/>
        <v>1000000</v>
      </c>
      <c r="S85" s="4">
        <v>2665.93</v>
      </c>
      <c r="T85" s="4">
        <f t="shared" si="30"/>
        <v>53318.6</v>
      </c>
      <c r="U85" s="4">
        <v>1820.94</v>
      </c>
      <c r="V85" s="4">
        <v>2600</v>
      </c>
    </row>
    <row r="86" spans="1:22" x14ac:dyDescent="0.35">
      <c r="A86" s="3">
        <v>30</v>
      </c>
      <c r="B86" s="2">
        <v>45920</v>
      </c>
      <c r="C86" s="4"/>
      <c r="D86" s="18"/>
      <c r="E86" s="4">
        <f t="shared" si="31"/>
        <v>7949</v>
      </c>
      <c r="F86" s="4">
        <v>2</v>
      </c>
      <c r="G86" s="14">
        <f t="shared" si="23"/>
        <v>2.5160397534281041E-4</v>
      </c>
      <c r="H86" s="4"/>
      <c r="I86" s="4">
        <f t="shared" si="24"/>
        <v>7947</v>
      </c>
      <c r="J86" s="4">
        <v>244</v>
      </c>
      <c r="K86" s="4">
        <f t="shared" si="32"/>
        <v>7320</v>
      </c>
      <c r="L86" s="4">
        <v>0</v>
      </c>
      <c r="M86" s="4">
        <v>0</v>
      </c>
      <c r="N86" s="4">
        <f t="shared" si="26"/>
        <v>7320</v>
      </c>
      <c r="O86" s="14">
        <f t="shared" ref="O86:O96" si="33">N86/E86</f>
        <v>0.92087054975468607</v>
      </c>
      <c r="P86" s="4">
        <v>20</v>
      </c>
      <c r="Q86" s="4">
        <f t="shared" si="28"/>
        <v>1000</v>
      </c>
      <c r="R86" s="4">
        <f t="shared" si="29"/>
        <v>1000000</v>
      </c>
      <c r="S86" s="4">
        <v>2665.93</v>
      </c>
      <c r="T86" s="4">
        <f t="shared" si="30"/>
        <v>53318.6</v>
      </c>
      <c r="U86" s="4">
        <v>1820.94</v>
      </c>
      <c r="V86" s="4">
        <v>2300</v>
      </c>
    </row>
    <row r="87" spans="1:22" x14ac:dyDescent="0.35">
      <c r="A87" s="3">
        <v>30</v>
      </c>
      <c r="B87" s="2">
        <v>45921</v>
      </c>
      <c r="C87" s="4"/>
      <c r="D87" s="18"/>
      <c r="E87" s="4">
        <f t="shared" si="31"/>
        <v>7947</v>
      </c>
      <c r="F87" s="4">
        <v>1</v>
      </c>
      <c r="G87" s="14">
        <f t="shared" si="23"/>
        <v>1.2583364791745311E-4</v>
      </c>
      <c r="H87" s="4"/>
      <c r="I87" s="4">
        <f t="shared" si="24"/>
        <v>7946</v>
      </c>
      <c r="J87" s="4">
        <v>245</v>
      </c>
      <c r="K87" s="4">
        <f t="shared" si="32"/>
        <v>7350</v>
      </c>
      <c r="L87" s="4">
        <v>0</v>
      </c>
      <c r="M87" s="4">
        <v>0</v>
      </c>
      <c r="N87" s="4">
        <f t="shared" si="26"/>
        <v>7350</v>
      </c>
      <c r="O87" s="14">
        <f t="shared" si="33"/>
        <v>0.92487731219328051</v>
      </c>
      <c r="P87" s="4">
        <v>20</v>
      </c>
      <c r="Q87" s="4">
        <f t="shared" si="28"/>
        <v>1000</v>
      </c>
      <c r="R87" s="4">
        <f t="shared" si="29"/>
        <v>1000000</v>
      </c>
      <c r="S87" s="4">
        <v>2665.93</v>
      </c>
      <c r="T87" s="4">
        <f t="shared" si="30"/>
        <v>53318.6</v>
      </c>
      <c r="U87" s="4">
        <v>1820.94</v>
      </c>
      <c r="V87" s="4">
        <v>2600</v>
      </c>
    </row>
    <row r="88" spans="1:22" x14ac:dyDescent="0.35">
      <c r="A88" s="3">
        <v>30</v>
      </c>
      <c r="B88" s="2">
        <v>45922</v>
      </c>
      <c r="C88" s="4"/>
      <c r="D88" s="18"/>
      <c r="E88" s="4">
        <f t="shared" si="31"/>
        <v>7946</v>
      </c>
      <c r="F88" s="4">
        <v>2</v>
      </c>
      <c r="G88" s="14">
        <f t="shared" si="23"/>
        <v>2.5169896803423108E-4</v>
      </c>
      <c r="H88" s="4"/>
      <c r="I88" s="4">
        <f t="shared" si="24"/>
        <v>7944</v>
      </c>
      <c r="J88" s="4">
        <v>244</v>
      </c>
      <c r="K88" s="4">
        <f t="shared" si="32"/>
        <v>7320</v>
      </c>
      <c r="L88" s="4">
        <v>0</v>
      </c>
      <c r="M88" s="4">
        <v>0</v>
      </c>
      <c r="N88" s="4">
        <f t="shared" si="26"/>
        <v>7320</v>
      </c>
      <c r="O88" s="14">
        <f t="shared" si="33"/>
        <v>0.92121822300528566</v>
      </c>
      <c r="P88" s="4">
        <v>20</v>
      </c>
      <c r="Q88" s="4">
        <f t="shared" si="28"/>
        <v>1000</v>
      </c>
      <c r="R88" s="4">
        <f t="shared" si="29"/>
        <v>1000000</v>
      </c>
      <c r="S88" s="4">
        <v>2690.93</v>
      </c>
      <c r="T88" s="4">
        <f t="shared" si="30"/>
        <v>53818.6</v>
      </c>
      <c r="U88" s="4">
        <v>1820.94</v>
      </c>
      <c r="V88" s="4">
        <v>2500</v>
      </c>
    </row>
    <row r="89" spans="1:22" x14ac:dyDescent="0.35">
      <c r="A89" s="3">
        <v>31</v>
      </c>
      <c r="B89" s="2">
        <v>45923</v>
      </c>
      <c r="C89" s="4"/>
      <c r="D89" s="18"/>
      <c r="E89" s="4">
        <f t="shared" si="31"/>
        <v>7944</v>
      </c>
      <c r="F89" s="4">
        <v>0</v>
      </c>
      <c r="G89" s="14">
        <f t="shared" si="23"/>
        <v>0</v>
      </c>
      <c r="H89" s="4"/>
      <c r="I89" s="4">
        <f t="shared" si="24"/>
        <v>7944</v>
      </c>
      <c r="J89" s="4">
        <v>246</v>
      </c>
      <c r="K89" s="4">
        <f t="shared" si="32"/>
        <v>7380</v>
      </c>
      <c r="L89" s="4">
        <v>0</v>
      </c>
      <c r="M89" s="4">
        <v>0</v>
      </c>
      <c r="N89" s="4">
        <f t="shared" si="26"/>
        <v>7380</v>
      </c>
      <c r="O89" s="14">
        <f t="shared" si="33"/>
        <v>0.92900302114803623</v>
      </c>
      <c r="P89" s="4">
        <v>20</v>
      </c>
      <c r="Q89" s="4">
        <f t="shared" si="28"/>
        <v>1000</v>
      </c>
      <c r="R89" s="4">
        <f t="shared" si="29"/>
        <v>1000000</v>
      </c>
      <c r="S89" s="4">
        <v>2690.93</v>
      </c>
      <c r="T89" s="4">
        <f t="shared" si="30"/>
        <v>53818.6</v>
      </c>
      <c r="U89" s="4">
        <v>1820.94</v>
      </c>
      <c r="V89" s="4">
        <v>2100</v>
      </c>
    </row>
    <row r="90" spans="1:22" x14ac:dyDescent="0.35">
      <c r="A90" s="3">
        <v>31</v>
      </c>
      <c r="B90" s="2">
        <v>45924</v>
      </c>
      <c r="C90" s="4"/>
      <c r="D90" s="18"/>
      <c r="E90" s="4">
        <f t="shared" si="31"/>
        <v>7944</v>
      </c>
      <c r="F90" s="4">
        <v>0</v>
      </c>
      <c r="G90" s="14">
        <f t="shared" si="23"/>
        <v>0</v>
      </c>
      <c r="H90" s="4"/>
      <c r="I90" s="4">
        <f t="shared" si="24"/>
        <v>7944</v>
      </c>
      <c r="J90" s="4">
        <v>245</v>
      </c>
      <c r="K90" s="4">
        <f t="shared" si="32"/>
        <v>7350</v>
      </c>
      <c r="L90" s="4">
        <v>0</v>
      </c>
      <c r="M90" s="4">
        <v>0</v>
      </c>
      <c r="N90" s="4">
        <f t="shared" si="26"/>
        <v>7350</v>
      </c>
      <c r="O90" s="14">
        <f t="shared" si="33"/>
        <v>0.92522658610271902</v>
      </c>
      <c r="P90" s="4">
        <v>20</v>
      </c>
      <c r="Q90" s="4">
        <f t="shared" si="28"/>
        <v>1000</v>
      </c>
      <c r="R90" s="4">
        <f t="shared" si="29"/>
        <v>1000000</v>
      </c>
      <c r="S90" s="4">
        <v>2690.93</v>
      </c>
      <c r="T90" s="4">
        <f t="shared" si="30"/>
        <v>53818.6</v>
      </c>
      <c r="U90" s="4">
        <v>1820.94</v>
      </c>
      <c r="V90" s="4">
        <v>2700</v>
      </c>
    </row>
    <row r="91" spans="1:22" x14ac:dyDescent="0.35">
      <c r="A91" s="3">
        <v>31</v>
      </c>
      <c r="B91" s="2">
        <v>45925</v>
      </c>
      <c r="C91" s="4"/>
      <c r="D91" s="18"/>
      <c r="E91" s="4">
        <f t="shared" si="31"/>
        <v>7944</v>
      </c>
      <c r="F91" s="4">
        <v>2</v>
      </c>
      <c r="G91" s="14">
        <f t="shared" si="23"/>
        <v>2.5176233635448137E-4</v>
      </c>
      <c r="H91" s="4"/>
      <c r="I91" s="4">
        <f t="shared" si="24"/>
        <v>7942</v>
      </c>
      <c r="J91" s="4">
        <v>245</v>
      </c>
      <c r="K91" s="4">
        <f t="shared" si="32"/>
        <v>7350</v>
      </c>
      <c r="L91" s="4">
        <v>0</v>
      </c>
      <c r="M91" s="4">
        <v>0</v>
      </c>
      <c r="N91" s="4">
        <f t="shared" si="26"/>
        <v>7350</v>
      </c>
      <c r="O91" s="14">
        <f t="shared" si="33"/>
        <v>0.92522658610271902</v>
      </c>
      <c r="P91" s="4">
        <v>20</v>
      </c>
      <c r="Q91" s="4">
        <f t="shared" si="28"/>
        <v>1000</v>
      </c>
      <c r="R91" s="4">
        <f t="shared" si="29"/>
        <v>1000000</v>
      </c>
      <c r="S91" s="4">
        <v>2690.93</v>
      </c>
      <c r="T91" s="4">
        <f t="shared" si="30"/>
        <v>53818.6</v>
      </c>
      <c r="U91" s="4">
        <v>1820.94</v>
      </c>
      <c r="V91" s="4">
        <v>2400</v>
      </c>
    </row>
    <row r="92" spans="1:22" x14ac:dyDescent="0.35">
      <c r="A92" s="3">
        <v>31</v>
      </c>
      <c r="B92" s="2">
        <v>45926</v>
      </c>
      <c r="C92" s="4"/>
      <c r="D92" s="18"/>
      <c r="E92" s="4">
        <f t="shared" si="31"/>
        <v>7942</v>
      </c>
      <c r="F92" s="4">
        <v>1</v>
      </c>
      <c r="G92" s="14">
        <f t="shared" si="23"/>
        <v>1.2591286829513975E-4</v>
      </c>
      <c r="H92" s="4"/>
      <c r="I92" s="4">
        <f t="shared" si="24"/>
        <v>7941</v>
      </c>
      <c r="J92" s="4">
        <v>245</v>
      </c>
      <c r="K92" s="4">
        <f t="shared" si="32"/>
        <v>7350</v>
      </c>
      <c r="L92" s="4">
        <v>0</v>
      </c>
      <c r="M92" s="4">
        <v>0</v>
      </c>
      <c r="N92" s="4">
        <f t="shared" si="26"/>
        <v>7350</v>
      </c>
      <c r="O92" s="14">
        <f t="shared" si="33"/>
        <v>0.92545958196927725</v>
      </c>
      <c r="P92" s="4">
        <v>20</v>
      </c>
      <c r="Q92" s="4">
        <f t="shared" si="28"/>
        <v>1000</v>
      </c>
      <c r="R92" s="4">
        <f t="shared" si="29"/>
        <v>1000000</v>
      </c>
      <c r="S92" s="4">
        <v>2690.93</v>
      </c>
      <c r="T92" s="4">
        <f t="shared" si="30"/>
        <v>53818.6</v>
      </c>
      <c r="U92" s="4">
        <v>1820.94</v>
      </c>
      <c r="V92" s="4">
        <v>2500</v>
      </c>
    </row>
    <row r="93" spans="1:22" x14ac:dyDescent="0.35">
      <c r="A93" s="3">
        <v>31</v>
      </c>
      <c r="B93" s="2">
        <v>45927</v>
      </c>
      <c r="C93" s="4"/>
      <c r="D93" s="18"/>
      <c r="E93" s="4">
        <f t="shared" si="31"/>
        <v>7941</v>
      </c>
      <c r="F93" s="4">
        <v>2</v>
      </c>
      <c r="G93" s="14">
        <f t="shared" si="23"/>
        <v>2.518574486840448E-4</v>
      </c>
      <c r="H93" s="4"/>
      <c r="I93" s="4">
        <f t="shared" si="24"/>
        <v>7939</v>
      </c>
      <c r="J93" s="4">
        <v>245</v>
      </c>
      <c r="K93" s="4">
        <f t="shared" si="32"/>
        <v>7350</v>
      </c>
      <c r="L93" s="4">
        <v>0</v>
      </c>
      <c r="M93" s="4">
        <v>0</v>
      </c>
      <c r="N93" s="4">
        <f t="shared" si="26"/>
        <v>7350</v>
      </c>
      <c r="O93" s="14">
        <f t="shared" si="33"/>
        <v>0.92557612391386479</v>
      </c>
      <c r="P93" s="4">
        <v>20</v>
      </c>
      <c r="Q93" s="4">
        <f t="shared" si="28"/>
        <v>1000</v>
      </c>
      <c r="R93" s="4">
        <f t="shared" si="29"/>
        <v>1000000</v>
      </c>
      <c r="S93" s="4">
        <v>2690.93</v>
      </c>
      <c r="T93" s="4">
        <f t="shared" si="30"/>
        <v>53818.6</v>
      </c>
      <c r="U93" s="4">
        <v>1820.94</v>
      </c>
      <c r="V93" s="4">
        <v>2300</v>
      </c>
    </row>
    <row r="94" spans="1:22" x14ac:dyDescent="0.35">
      <c r="A94" s="3">
        <v>31</v>
      </c>
      <c r="B94" s="2">
        <v>45928</v>
      </c>
      <c r="C94" s="4"/>
      <c r="D94" s="18"/>
      <c r="E94" s="4">
        <f t="shared" si="31"/>
        <v>7939</v>
      </c>
      <c r="F94" s="4">
        <v>0</v>
      </c>
      <c r="G94" s="14">
        <f t="shared" si="23"/>
        <v>0</v>
      </c>
      <c r="H94" s="4"/>
      <c r="I94" s="4">
        <f t="shared" si="24"/>
        <v>7939</v>
      </c>
      <c r="J94" s="4">
        <v>244</v>
      </c>
      <c r="K94" s="4">
        <f t="shared" si="32"/>
        <v>7320</v>
      </c>
      <c r="L94" s="4">
        <v>0</v>
      </c>
      <c r="M94" s="4">
        <v>0</v>
      </c>
      <c r="N94" s="4">
        <f t="shared" si="26"/>
        <v>7320</v>
      </c>
      <c r="O94" s="14">
        <f t="shared" si="33"/>
        <v>0.92203048242851748</v>
      </c>
      <c r="P94" s="4">
        <v>20</v>
      </c>
      <c r="Q94" s="4">
        <f t="shared" si="28"/>
        <v>1000</v>
      </c>
      <c r="R94" s="4">
        <f t="shared" si="29"/>
        <v>1000000</v>
      </c>
      <c r="S94" s="4">
        <v>2690.93</v>
      </c>
      <c r="T94" s="4">
        <f t="shared" si="30"/>
        <v>53818.6</v>
      </c>
      <c r="U94" s="4">
        <v>1820.94</v>
      </c>
      <c r="V94" s="4">
        <v>2300</v>
      </c>
    </row>
    <row r="95" spans="1:22" x14ac:dyDescent="0.35">
      <c r="A95" s="3">
        <v>32</v>
      </c>
      <c r="B95" s="2">
        <v>45929</v>
      </c>
      <c r="C95" s="4"/>
      <c r="D95" s="18"/>
      <c r="E95" s="4">
        <f t="shared" si="31"/>
        <v>7939</v>
      </c>
      <c r="F95" s="4">
        <v>2</v>
      </c>
      <c r="G95" s="14">
        <f t="shared" si="23"/>
        <v>2.5192089683839276E-4</v>
      </c>
      <c r="H95" s="4"/>
      <c r="I95" s="4">
        <f t="shared" si="24"/>
        <v>7937</v>
      </c>
      <c r="J95" s="4">
        <v>244</v>
      </c>
      <c r="K95" s="4">
        <f t="shared" si="32"/>
        <v>7320</v>
      </c>
      <c r="L95" s="4">
        <v>0</v>
      </c>
      <c r="M95" s="4">
        <v>0</v>
      </c>
      <c r="N95" s="4">
        <f t="shared" si="26"/>
        <v>7320</v>
      </c>
      <c r="O95" s="14">
        <f t="shared" si="33"/>
        <v>0.92203048242851748</v>
      </c>
      <c r="P95" s="4">
        <v>20</v>
      </c>
      <c r="Q95" s="4">
        <f t="shared" si="28"/>
        <v>1000</v>
      </c>
      <c r="R95" s="4">
        <f t="shared" si="29"/>
        <v>1000000</v>
      </c>
      <c r="S95" s="4">
        <v>2690.93</v>
      </c>
      <c r="T95" s="4">
        <f t="shared" si="30"/>
        <v>53818.6</v>
      </c>
      <c r="U95" s="4">
        <v>1820.94</v>
      </c>
      <c r="V95" s="4">
        <v>2500</v>
      </c>
    </row>
    <row r="96" spans="1:22" x14ac:dyDescent="0.35">
      <c r="A96" s="3">
        <v>32</v>
      </c>
      <c r="B96" s="2">
        <v>45930</v>
      </c>
      <c r="C96" s="4"/>
      <c r="D96" s="18"/>
      <c r="E96" s="4">
        <f t="shared" si="31"/>
        <v>7937</v>
      </c>
      <c r="F96" s="4">
        <v>1</v>
      </c>
      <c r="G96" s="14">
        <f t="shared" si="23"/>
        <v>1.2599218848431397E-4</v>
      </c>
      <c r="H96" s="4"/>
      <c r="I96" s="4">
        <f t="shared" si="24"/>
        <v>7936</v>
      </c>
      <c r="J96" s="4">
        <v>244</v>
      </c>
      <c r="K96" s="4">
        <f t="shared" si="32"/>
        <v>7320</v>
      </c>
      <c r="L96" s="4">
        <v>0</v>
      </c>
      <c r="M96" s="4">
        <v>0</v>
      </c>
      <c r="N96" s="4">
        <f t="shared" si="26"/>
        <v>7320</v>
      </c>
      <c r="O96" s="14">
        <f t="shared" si="33"/>
        <v>0.92226281970517832</v>
      </c>
      <c r="P96" s="4">
        <v>20</v>
      </c>
      <c r="Q96" s="4">
        <f t="shared" si="28"/>
        <v>1000</v>
      </c>
      <c r="R96" s="4">
        <f t="shared" si="29"/>
        <v>1000000</v>
      </c>
      <c r="S96" s="4">
        <v>2676.09</v>
      </c>
      <c r="T96" s="4">
        <f t="shared" si="30"/>
        <v>53521.8</v>
      </c>
      <c r="U96" s="4">
        <v>1820.94</v>
      </c>
      <c r="V96" s="4">
        <v>2500</v>
      </c>
    </row>
    <row r="97" spans="1:22" x14ac:dyDescent="0.35">
      <c r="A97" s="3"/>
      <c r="B97" s="2"/>
      <c r="C97" s="4"/>
      <c r="D97" s="18"/>
      <c r="E97" s="4"/>
      <c r="F97" s="4">
        <f>SUM(F67:F96)</f>
        <v>55</v>
      </c>
      <c r="G97" s="14"/>
      <c r="H97" s="4"/>
      <c r="I97" s="4"/>
      <c r="J97" s="4"/>
      <c r="K97" s="4"/>
      <c r="L97" s="4"/>
      <c r="M97" s="4"/>
      <c r="N97" s="4"/>
      <c r="O97" s="14"/>
      <c r="P97" s="4"/>
      <c r="Q97" s="4"/>
      <c r="R97" s="4"/>
      <c r="S97" s="4"/>
      <c r="T97" s="4"/>
    </row>
    <row r="98" spans="1:22" x14ac:dyDescent="0.35">
      <c r="A98" s="3"/>
      <c r="B98" s="2"/>
      <c r="C98" s="4"/>
      <c r="D98" s="18"/>
      <c r="E98" s="4"/>
      <c r="F98" s="4"/>
      <c r="G98" s="14"/>
      <c r="H98" s="4"/>
      <c r="I98" s="4"/>
      <c r="J98" s="4"/>
      <c r="K98" s="4"/>
      <c r="L98" s="4"/>
      <c r="M98" s="4"/>
      <c r="N98" s="4"/>
      <c r="O98" s="14"/>
      <c r="P98" s="4"/>
      <c r="Q98" s="4"/>
      <c r="R98" s="4"/>
      <c r="S98" s="4"/>
      <c r="T98" s="4"/>
    </row>
    <row r="99" spans="1:22" x14ac:dyDescent="0.35">
      <c r="A99" s="1" t="s">
        <v>20</v>
      </c>
      <c r="B99" s="37" t="s">
        <v>1</v>
      </c>
      <c r="C99" s="38" t="s">
        <v>19</v>
      </c>
      <c r="D99" s="38" t="s">
        <v>18</v>
      </c>
      <c r="E99" s="39" t="s">
        <v>2</v>
      </c>
      <c r="F99" s="40" t="s">
        <v>3</v>
      </c>
      <c r="G99" s="41" t="s">
        <v>4</v>
      </c>
      <c r="H99" s="40" t="s">
        <v>5</v>
      </c>
      <c r="I99" s="42" t="s">
        <v>6</v>
      </c>
      <c r="J99" s="43" t="s">
        <v>7</v>
      </c>
      <c r="K99" s="40" t="s">
        <v>8</v>
      </c>
      <c r="L99" s="40" t="s">
        <v>9</v>
      </c>
      <c r="M99" s="40" t="s">
        <v>10</v>
      </c>
      <c r="N99" s="40" t="s">
        <v>11</v>
      </c>
      <c r="O99" s="44" t="s">
        <v>12</v>
      </c>
      <c r="P99" s="43" t="s">
        <v>13</v>
      </c>
      <c r="Q99" s="40" t="s">
        <v>14</v>
      </c>
      <c r="R99" s="45" t="s">
        <v>15</v>
      </c>
      <c r="S99" s="46" t="s">
        <v>16</v>
      </c>
      <c r="T99" s="47" t="s">
        <v>17</v>
      </c>
      <c r="U99" s="48" t="s">
        <v>22</v>
      </c>
      <c r="V99" s="48" t="s">
        <v>24</v>
      </c>
    </row>
    <row r="100" spans="1:22" x14ac:dyDescent="0.35">
      <c r="A100" s="3">
        <v>32</v>
      </c>
      <c r="B100" s="2">
        <v>45931</v>
      </c>
      <c r="C100" s="18"/>
      <c r="D100" s="18"/>
      <c r="E100" s="4">
        <v>7936</v>
      </c>
      <c r="F100" s="4">
        <v>1</v>
      </c>
      <c r="G100" s="14">
        <f t="shared" ref="G100:G130" si="34">F100/E100</f>
        <v>1.2600806451612903E-4</v>
      </c>
      <c r="H100" s="4"/>
      <c r="I100" s="4">
        <f t="shared" ref="I100:I130" si="35">E100-F100-H100</f>
        <v>7935</v>
      </c>
      <c r="J100" s="4">
        <v>244</v>
      </c>
      <c r="K100" s="4">
        <f t="shared" ref="K100:K130" si="36">J100*30</f>
        <v>7320</v>
      </c>
      <c r="L100" s="4">
        <v>0</v>
      </c>
      <c r="M100" s="4">
        <v>0</v>
      </c>
      <c r="N100" s="4">
        <f t="shared" ref="N100:N126" si="37">K100+L100-M100</f>
        <v>7320</v>
      </c>
      <c r="O100" s="14">
        <f t="shared" ref="O100:O130" si="38">N100/E100</f>
        <v>0.9223790322580645</v>
      </c>
      <c r="P100" s="4">
        <v>20</v>
      </c>
      <c r="Q100" s="4">
        <f t="shared" ref="Q100:Q130" si="39">P100*50</f>
        <v>1000</v>
      </c>
      <c r="R100" s="4">
        <f t="shared" ref="R100:R120" si="40">Q100*1000</f>
        <v>1000000</v>
      </c>
      <c r="S100" s="4">
        <v>2676.09</v>
      </c>
      <c r="T100" s="4">
        <f t="shared" ref="T100:T130" si="41">P100*S100</f>
        <v>53521.8</v>
      </c>
      <c r="U100" s="4">
        <v>1820.94</v>
      </c>
      <c r="V100" s="4">
        <v>2500</v>
      </c>
    </row>
    <row r="101" spans="1:22" x14ac:dyDescent="0.35">
      <c r="A101" s="3">
        <v>32</v>
      </c>
      <c r="B101" s="2">
        <v>45932</v>
      </c>
      <c r="C101" s="4"/>
      <c r="D101" s="18"/>
      <c r="E101" s="4">
        <f t="shared" ref="E101:E130" si="42">I100</f>
        <v>7935</v>
      </c>
      <c r="F101" s="4">
        <v>2</v>
      </c>
      <c r="G101" s="14">
        <f t="shared" si="34"/>
        <v>2.5204788909892879E-4</v>
      </c>
      <c r="H101" s="4"/>
      <c r="I101" s="4">
        <f t="shared" si="35"/>
        <v>7933</v>
      </c>
      <c r="J101" s="4">
        <v>246</v>
      </c>
      <c r="K101" s="4">
        <f t="shared" si="36"/>
        <v>7380</v>
      </c>
      <c r="L101" s="4">
        <v>0</v>
      </c>
      <c r="M101" s="4">
        <v>0</v>
      </c>
      <c r="N101" s="4">
        <f t="shared" si="37"/>
        <v>7380</v>
      </c>
      <c r="O101" s="14">
        <f t="shared" si="38"/>
        <v>0.93005671077504726</v>
      </c>
      <c r="P101" s="4">
        <v>20</v>
      </c>
      <c r="Q101" s="4">
        <f t="shared" si="39"/>
        <v>1000</v>
      </c>
      <c r="R101" s="4">
        <f t="shared" si="40"/>
        <v>1000000</v>
      </c>
      <c r="S101" s="4">
        <v>2676.09</v>
      </c>
      <c r="T101" s="4">
        <f t="shared" si="41"/>
        <v>53521.8</v>
      </c>
      <c r="U101" s="4">
        <v>1820.94</v>
      </c>
      <c r="V101" s="4">
        <v>2400</v>
      </c>
    </row>
    <row r="102" spans="1:22" x14ac:dyDescent="0.35">
      <c r="A102" s="3">
        <v>32</v>
      </c>
      <c r="B102" s="2">
        <v>45933</v>
      </c>
      <c r="C102" s="19"/>
      <c r="D102" s="19"/>
      <c r="E102" s="4">
        <f t="shared" si="42"/>
        <v>7933</v>
      </c>
      <c r="F102" s="4">
        <v>2</v>
      </c>
      <c r="G102" s="14">
        <f t="shared" si="34"/>
        <v>2.5211143325349803E-4</v>
      </c>
      <c r="H102" s="7"/>
      <c r="I102" s="4">
        <f t="shared" si="35"/>
        <v>7931</v>
      </c>
      <c r="J102" s="4">
        <v>246</v>
      </c>
      <c r="K102" s="4">
        <f t="shared" si="36"/>
        <v>7380</v>
      </c>
      <c r="L102" s="4">
        <v>0</v>
      </c>
      <c r="M102" s="4">
        <v>0</v>
      </c>
      <c r="N102" s="4">
        <f t="shared" si="37"/>
        <v>7380</v>
      </c>
      <c r="O102" s="14">
        <f t="shared" si="38"/>
        <v>0.93029118870540783</v>
      </c>
      <c r="P102" s="4">
        <v>20</v>
      </c>
      <c r="Q102" s="4">
        <f t="shared" si="39"/>
        <v>1000</v>
      </c>
      <c r="R102" s="4">
        <f t="shared" si="40"/>
        <v>1000000</v>
      </c>
      <c r="S102" s="4">
        <v>2676.09</v>
      </c>
      <c r="T102" s="4">
        <f t="shared" si="41"/>
        <v>53521.8</v>
      </c>
      <c r="U102" s="4">
        <v>1820.94</v>
      </c>
      <c r="V102" s="4">
        <v>2300</v>
      </c>
    </row>
    <row r="103" spans="1:22" x14ac:dyDescent="0.35">
      <c r="A103" s="3">
        <v>32</v>
      </c>
      <c r="B103" s="2">
        <v>45934</v>
      </c>
      <c r="C103" s="4"/>
      <c r="D103" s="18"/>
      <c r="E103" s="4">
        <f t="shared" si="42"/>
        <v>7931</v>
      </c>
      <c r="F103" s="4">
        <v>1</v>
      </c>
      <c r="G103" s="14">
        <f t="shared" si="34"/>
        <v>1.2608750472828143E-4</v>
      </c>
      <c r="H103" s="4"/>
      <c r="I103" s="4">
        <f t="shared" si="35"/>
        <v>7930</v>
      </c>
      <c r="J103" s="4">
        <v>244</v>
      </c>
      <c r="K103" s="4">
        <f t="shared" si="36"/>
        <v>7320</v>
      </c>
      <c r="L103" s="4">
        <v>0</v>
      </c>
      <c r="M103" s="4">
        <v>0</v>
      </c>
      <c r="N103" s="4">
        <f t="shared" si="37"/>
        <v>7320</v>
      </c>
      <c r="O103" s="14">
        <f t="shared" si="38"/>
        <v>0.92296053461102001</v>
      </c>
      <c r="P103" s="4">
        <v>20</v>
      </c>
      <c r="Q103" s="4">
        <f t="shared" si="39"/>
        <v>1000</v>
      </c>
      <c r="R103" s="4">
        <f t="shared" si="40"/>
        <v>1000000</v>
      </c>
      <c r="S103" s="4">
        <v>2568.1799999999998</v>
      </c>
      <c r="T103" s="4">
        <f t="shared" si="41"/>
        <v>51363.6</v>
      </c>
      <c r="U103" s="4">
        <v>1820.94</v>
      </c>
      <c r="V103" s="4">
        <v>2300</v>
      </c>
    </row>
    <row r="104" spans="1:22" x14ac:dyDescent="0.35">
      <c r="A104" s="3">
        <v>32</v>
      </c>
      <c r="B104" s="2">
        <v>45935</v>
      </c>
      <c r="C104" s="4"/>
      <c r="D104" s="18"/>
      <c r="E104" s="4">
        <f t="shared" si="42"/>
        <v>7930</v>
      </c>
      <c r="F104" s="4">
        <v>2</v>
      </c>
      <c r="G104" s="14">
        <f t="shared" si="34"/>
        <v>2.5220680958385876E-4</v>
      </c>
      <c r="H104" s="4"/>
      <c r="I104" s="4">
        <f t="shared" si="35"/>
        <v>7928</v>
      </c>
      <c r="J104" s="4">
        <v>244</v>
      </c>
      <c r="K104" s="4">
        <f t="shared" si="36"/>
        <v>7320</v>
      </c>
      <c r="L104" s="4">
        <v>0</v>
      </c>
      <c r="M104" s="4">
        <v>0</v>
      </c>
      <c r="N104" s="4">
        <f t="shared" si="37"/>
        <v>7320</v>
      </c>
      <c r="O104" s="14">
        <f t="shared" si="38"/>
        <v>0.92307692307692313</v>
      </c>
      <c r="P104" s="4">
        <v>20</v>
      </c>
      <c r="Q104" s="4">
        <f t="shared" si="39"/>
        <v>1000</v>
      </c>
      <c r="R104" s="4">
        <f t="shared" si="40"/>
        <v>1000000</v>
      </c>
      <c r="S104" s="4">
        <v>2568.1799999999998</v>
      </c>
      <c r="T104" s="4">
        <f t="shared" si="41"/>
        <v>51363.6</v>
      </c>
      <c r="U104" s="4">
        <v>1820.94</v>
      </c>
      <c r="V104" s="4">
        <v>2300</v>
      </c>
    </row>
    <row r="105" spans="1:22" x14ac:dyDescent="0.35">
      <c r="A105" s="3">
        <v>32</v>
      </c>
      <c r="B105" s="2">
        <v>45936</v>
      </c>
      <c r="C105" s="4"/>
      <c r="D105" s="18"/>
      <c r="E105" s="4">
        <f t="shared" si="42"/>
        <v>7928</v>
      </c>
      <c r="F105" s="4">
        <v>2</v>
      </c>
      <c r="G105" s="14">
        <f t="shared" si="34"/>
        <v>2.5227043390514632E-4</v>
      </c>
      <c r="H105" s="4"/>
      <c r="I105" s="4">
        <f t="shared" si="35"/>
        <v>7926</v>
      </c>
      <c r="J105" s="4">
        <v>237</v>
      </c>
      <c r="K105" s="4">
        <f t="shared" si="36"/>
        <v>7110</v>
      </c>
      <c r="L105" s="4">
        <v>0</v>
      </c>
      <c r="M105" s="4">
        <v>0</v>
      </c>
      <c r="N105" s="4">
        <f t="shared" si="37"/>
        <v>7110</v>
      </c>
      <c r="O105" s="14">
        <f t="shared" si="38"/>
        <v>0.89682139253279514</v>
      </c>
      <c r="P105" s="4">
        <v>20</v>
      </c>
      <c r="Q105" s="4">
        <f t="shared" si="39"/>
        <v>1000</v>
      </c>
      <c r="R105" s="4">
        <f t="shared" si="40"/>
        <v>1000000</v>
      </c>
      <c r="S105" s="4">
        <v>2568.1799999999998</v>
      </c>
      <c r="T105" s="4">
        <f t="shared" si="41"/>
        <v>51363.6</v>
      </c>
      <c r="U105" s="4">
        <v>1820.94</v>
      </c>
      <c r="V105" s="4">
        <v>2200</v>
      </c>
    </row>
    <row r="106" spans="1:22" x14ac:dyDescent="0.35">
      <c r="A106" s="3">
        <v>33</v>
      </c>
      <c r="B106" s="2">
        <v>45937</v>
      </c>
      <c r="C106" s="4"/>
      <c r="D106" s="18"/>
      <c r="E106" s="4">
        <f t="shared" si="42"/>
        <v>7926</v>
      </c>
      <c r="F106" s="4">
        <v>2</v>
      </c>
      <c r="G106" s="14">
        <f t="shared" si="34"/>
        <v>2.5233409033560434E-4</v>
      </c>
      <c r="H106" s="4"/>
      <c r="I106" s="4">
        <f t="shared" si="35"/>
        <v>7924</v>
      </c>
      <c r="J106" s="4">
        <v>239</v>
      </c>
      <c r="K106" s="4">
        <f t="shared" si="36"/>
        <v>7170</v>
      </c>
      <c r="L106" s="4">
        <v>0</v>
      </c>
      <c r="M106" s="4">
        <v>0</v>
      </c>
      <c r="N106" s="4">
        <f t="shared" si="37"/>
        <v>7170</v>
      </c>
      <c r="O106" s="14">
        <f t="shared" si="38"/>
        <v>0.9046177138531416</v>
      </c>
      <c r="P106" s="4">
        <v>20</v>
      </c>
      <c r="Q106" s="4">
        <f t="shared" si="39"/>
        <v>1000</v>
      </c>
      <c r="R106" s="4">
        <f t="shared" si="40"/>
        <v>1000000</v>
      </c>
      <c r="S106" s="4">
        <v>2568.1799999999998</v>
      </c>
      <c r="T106" s="4">
        <f t="shared" si="41"/>
        <v>51363.6</v>
      </c>
      <c r="U106" s="4">
        <v>1820.94</v>
      </c>
      <c r="V106" s="4">
        <v>1900</v>
      </c>
    </row>
    <row r="107" spans="1:22" x14ac:dyDescent="0.35">
      <c r="A107" s="3">
        <v>33</v>
      </c>
      <c r="B107" s="2">
        <v>45938</v>
      </c>
      <c r="C107" s="4"/>
      <c r="D107" s="18"/>
      <c r="E107" s="4">
        <f t="shared" si="42"/>
        <v>7924</v>
      </c>
      <c r="F107" s="4">
        <v>3</v>
      </c>
      <c r="G107" s="14">
        <f t="shared" si="34"/>
        <v>3.7859666834931852E-4</v>
      </c>
      <c r="H107" s="4"/>
      <c r="I107" s="4">
        <f t="shared" si="35"/>
        <v>7921</v>
      </c>
      <c r="J107" s="4">
        <v>232</v>
      </c>
      <c r="K107" s="4">
        <f t="shared" si="36"/>
        <v>6960</v>
      </c>
      <c r="L107" s="4">
        <v>0</v>
      </c>
      <c r="M107" s="4">
        <v>0</v>
      </c>
      <c r="N107" s="4">
        <f t="shared" si="37"/>
        <v>6960</v>
      </c>
      <c r="O107" s="14">
        <f t="shared" si="38"/>
        <v>0.87834427057041897</v>
      </c>
      <c r="P107" s="4">
        <v>20</v>
      </c>
      <c r="Q107" s="4">
        <f t="shared" si="39"/>
        <v>1000</v>
      </c>
      <c r="R107" s="4">
        <f t="shared" si="40"/>
        <v>1000000</v>
      </c>
      <c r="S107" s="4">
        <v>2568.1799999999998</v>
      </c>
      <c r="T107" s="4">
        <f t="shared" si="41"/>
        <v>51363.6</v>
      </c>
      <c r="U107" s="4">
        <v>1820.94</v>
      </c>
      <c r="V107" s="4">
        <v>1900</v>
      </c>
    </row>
    <row r="108" spans="1:22" x14ac:dyDescent="0.35">
      <c r="A108" s="3">
        <v>33</v>
      </c>
      <c r="B108" s="2">
        <v>45939</v>
      </c>
      <c r="C108" s="4"/>
      <c r="D108" s="18"/>
      <c r="E108" s="4">
        <f t="shared" si="42"/>
        <v>7921</v>
      </c>
      <c r="F108" s="4">
        <v>3</v>
      </c>
      <c r="G108" s="14">
        <f t="shared" si="34"/>
        <v>3.7874005807347558E-4</v>
      </c>
      <c r="H108" s="4"/>
      <c r="I108" s="4">
        <f t="shared" si="35"/>
        <v>7918</v>
      </c>
      <c r="J108" s="4">
        <v>226</v>
      </c>
      <c r="K108" s="4">
        <f t="shared" si="36"/>
        <v>6780</v>
      </c>
      <c r="L108" s="4">
        <v>0</v>
      </c>
      <c r="M108" s="4">
        <v>0</v>
      </c>
      <c r="N108" s="4">
        <f t="shared" si="37"/>
        <v>6780</v>
      </c>
      <c r="O108" s="14">
        <f t="shared" si="38"/>
        <v>0.85595253124605475</v>
      </c>
      <c r="P108" s="4">
        <v>20</v>
      </c>
      <c r="Q108" s="4">
        <f t="shared" si="39"/>
        <v>1000</v>
      </c>
      <c r="R108" s="4">
        <f t="shared" si="40"/>
        <v>1000000</v>
      </c>
      <c r="S108" s="4">
        <v>2568.1799999999998</v>
      </c>
      <c r="T108" s="4">
        <f t="shared" si="41"/>
        <v>51363.6</v>
      </c>
      <c r="U108" s="4">
        <v>1820.94</v>
      </c>
      <c r="V108" s="4">
        <v>1900</v>
      </c>
    </row>
    <row r="109" spans="1:22" x14ac:dyDescent="0.35">
      <c r="A109" s="3">
        <v>33</v>
      </c>
      <c r="B109" s="2">
        <v>45940</v>
      </c>
      <c r="C109" s="4"/>
      <c r="D109" s="18"/>
      <c r="E109" s="4">
        <f t="shared" si="42"/>
        <v>7918</v>
      </c>
      <c r="F109" s="4">
        <v>2</v>
      </c>
      <c r="G109" s="14">
        <f t="shared" si="34"/>
        <v>2.5258903763576663E-4</v>
      </c>
      <c r="H109" s="4"/>
      <c r="I109" s="4">
        <f t="shared" si="35"/>
        <v>7916</v>
      </c>
      <c r="J109" s="4">
        <v>217</v>
      </c>
      <c r="K109" s="4">
        <f t="shared" si="36"/>
        <v>6510</v>
      </c>
      <c r="L109" s="4">
        <v>0</v>
      </c>
      <c r="M109" s="4">
        <v>0</v>
      </c>
      <c r="N109" s="4">
        <f t="shared" si="37"/>
        <v>6510</v>
      </c>
      <c r="O109" s="14">
        <f t="shared" si="38"/>
        <v>0.82217731750442036</v>
      </c>
      <c r="P109" s="4">
        <v>17</v>
      </c>
      <c r="Q109" s="4">
        <f t="shared" si="39"/>
        <v>850</v>
      </c>
      <c r="R109" s="4">
        <f t="shared" si="40"/>
        <v>850000</v>
      </c>
      <c r="S109" s="4">
        <v>2568.1799999999998</v>
      </c>
      <c r="T109" s="4">
        <f t="shared" si="41"/>
        <v>43659.06</v>
      </c>
      <c r="U109" s="4">
        <v>1820.94</v>
      </c>
      <c r="V109" s="4">
        <v>2100</v>
      </c>
    </row>
    <row r="110" spans="1:22" x14ac:dyDescent="0.35">
      <c r="A110" s="3">
        <v>33</v>
      </c>
      <c r="B110" s="2">
        <v>45941</v>
      </c>
      <c r="C110" s="4"/>
      <c r="D110" s="18"/>
      <c r="E110" s="4">
        <f t="shared" si="42"/>
        <v>7916</v>
      </c>
      <c r="F110" s="4">
        <v>3</v>
      </c>
      <c r="G110" s="14">
        <f t="shared" si="34"/>
        <v>3.7897928246589187E-4</v>
      </c>
      <c r="H110" s="4"/>
      <c r="I110" s="4">
        <f t="shared" si="35"/>
        <v>7913</v>
      </c>
      <c r="J110" s="4">
        <v>208</v>
      </c>
      <c r="K110" s="4">
        <f t="shared" si="36"/>
        <v>6240</v>
      </c>
      <c r="L110" s="4">
        <v>0</v>
      </c>
      <c r="M110" s="4">
        <v>0</v>
      </c>
      <c r="N110" s="4">
        <f t="shared" si="37"/>
        <v>6240</v>
      </c>
      <c r="O110" s="14">
        <f t="shared" si="38"/>
        <v>0.7882769075290551</v>
      </c>
      <c r="P110" s="4">
        <v>17</v>
      </c>
      <c r="Q110" s="4">
        <f t="shared" si="39"/>
        <v>850</v>
      </c>
      <c r="R110" s="4">
        <f t="shared" si="40"/>
        <v>850000</v>
      </c>
      <c r="S110" s="4">
        <v>2568.1799999999998</v>
      </c>
      <c r="T110" s="4">
        <f t="shared" si="41"/>
        <v>43659.06</v>
      </c>
      <c r="U110" s="4">
        <v>1820.94</v>
      </c>
      <c r="V110" s="4">
        <v>2000</v>
      </c>
    </row>
    <row r="111" spans="1:22" x14ac:dyDescent="0.35">
      <c r="A111" s="3">
        <v>33</v>
      </c>
      <c r="B111" s="2">
        <v>45942</v>
      </c>
      <c r="C111" s="4"/>
      <c r="D111" s="18"/>
      <c r="E111" s="4">
        <f t="shared" si="42"/>
        <v>7913</v>
      </c>
      <c r="F111" s="4">
        <v>3</v>
      </c>
      <c r="G111" s="14">
        <f t="shared" si="34"/>
        <v>3.7912296221407808E-4</v>
      </c>
      <c r="H111" s="4"/>
      <c r="I111" s="4">
        <f t="shared" si="35"/>
        <v>7910</v>
      </c>
      <c r="J111" s="4">
        <v>217</v>
      </c>
      <c r="K111" s="4">
        <f t="shared" si="36"/>
        <v>6510</v>
      </c>
      <c r="L111" s="4">
        <v>0</v>
      </c>
      <c r="M111" s="4">
        <v>0</v>
      </c>
      <c r="N111" s="4">
        <f t="shared" si="37"/>
        <v>6510</v>
      </c>
      <c r="O111" s="14">
        <f t="shared" si="38"/>
        <v>0.82269682800454946</v>
      </c>
      <c r="P111" s="4">
        <v>17</v>
      </c>
      <c r="Q111" s="4">
        <f t="shared" si="39"/>
        <v>850</v>
      </c>
      <c r="R111" s="4">
        <f t="shared" si="40"/>
        <v>850000</v>
      </c>
      <c r="S111" s="4">
        <v>2568.1799999999998</v>
      </c>
      <c r="T111" s="4">
        <f t="shared" si="41"/>
        <v>43659.06</v>
      </c>
      <c r="U111" s="4">
        <v>1820.94</v>
      </c>
      <c r="V111" s="4">
        <v>1700</v>
      </c>
    </row>
    <row r="112" spans="1:22" x14ac:dyDescent="0.35">
      <c r="A112" s="3">
        <v>33</v>
      </c>
      <c r="B112" s="2">
        <v>45943</v>
      </c>
      <c r="C112" s="4"/>
      <c r="D112" s="18"/>
      <c r="E112" s="4">
        <f t="shared" si="42"/>
        <v>7910</v>
      </c>
      <c r="F112" s="4">
        <v>2</v>
      </c>
      <c r="G112" s="14">
        <f t="shared" si="34"/>
        <v>2.5284450063211124E-4</v>
      </c>
      <c r="H112" s="4"/>
      <c r="I112" s="4">
        <f t="shared" si="35"/>
        <v>7908</v>
      </c>
      <c r="J112" s="4">
        <v>194</v>
      </c>
      <c r="K112" s="4">
        <f t="shared" si="36"/>
        <v>5820</v>
      </c>
      <c r="L112" s="4">
        <v>0</v>
      </c>
      <c r="M112" s="4">
        <v>0</v>
      </c>
      <c r="N112" s="4">
        <f t="shared" si="37"/>
        <v>5820</v>
      </c>
      <c r="O112" s="14">
        <f t="shared" si="38"/>
        <v>0.73577749683944371</v>
      </c>
      <c r="P112" s="4">
        <v>17</v>
      </c>
      <c r="Q112" s="4">
        <f t="shared" si="39"/>
        <v>850</v>
      </c>
      <c r="R112" s="4">
        <f t="shared" si="40"/>
        <v>850000</v>
      </c>
      <c r="S112" s="4">
        <v>2568.1799999999998</v>
      </c>
      <c r="T112" s="4">
        <f t="shared" si="41"/>
        <v>43659.06</v>
      </c>
      <c r="U112" s="4">
        <v>1820.94</v>
      </c>
      <c r="V112" s="4">
        <v>1900</v>
      </c>
    </row>
    <row r="113" spans="1:22" x14ac:dyDescent="0.35">
      <c r="A113" s="3">
        <v>34</v>
      </c>
      <c r="B113" s="2">
        <v>45944</v>
      </c>
      <c r="C113" s="4"/>
      <c r="D113" s="18"/>
      <c r="E113" s="4">
        <f t="shared" si="42"/>
        <v>7908</v>
      </c>
      <c r="F113" s="4">
        <v>4</v>
      </c>
      <c r="G113" s="14">
        <f t="shared" si="34"/>
        <v>5.0581689428426911E-4</v>
      </c>
      <c r="H113" s="4"/>
      <c r="I113" s="4">
        <f t="shared" si="35"/>
        <v>7904</v>
      </c>
      <c r="J113" s="4">
        <v>189</v>
      </c>
      <c r="K113" s="4">
        <f t="shared" si="36"/>
        <v>5670</v>
      </c>
      <c r="L113" s="4">
        <v>3</v>
      </c>
      <c r="M113" s="4">
        <v>0</v>
      </c>
      <c r="N113" s="4">
        <f t="shared" si="37"/>
        <v>5673</v>
      </c>
      <c r="O113" s="14">
        <f t="shared" si="38"/>
        <v>0.71737481031866468</v>
      </c>
      <c r="P113" s="4">
        <v>17</v>
      </c>
      <c r="Q113" s="4">
        <f t="shared" si="39"/>
        <v>850</v>
      </c>
      <c r="R113" s="4">
        <f t="shared" si="40"/>
        <v>850000</v>
      </c>
      <c r="S113" s="4">
        <v>2568.1799999999998</v>
      </c>
      <c r="T113" s="4">
        <f t="shared" si="41"/>
        <v>43659.06</v>
      </c>
      <c r="U113" s="4">
        <v>1820.94</v>
      </c>
      <c r="V113" s="4">
        <v>2600</v>
      </c>
    </row>
    <row r="114" spans="1:22" x14ac:dyDescent="0.35">
      <c r="A114" s="3">
        <v>34</v>
      </c>
      <c r="B114" s="2">
        <v>45945</v>
      </c>
      <c r="C114" s="4"/>
      <c r="D114" s="18"/>
      <c r="E114" s="4">
        <f t="shared" si="42"/>
        <v>7904</v>
      </c>
      <c r="F114" s="4">
        <v>4</v>
      </c>
      <c r="G114" s="14">
        <f t="shared" si="34"/>
        <v>5.0607287449392713E-4</v>
      </c>
      <c r="H114" s="4"/>
      <c r="I114" s="4">
        <f t="shared" si="35"/>
        <v>7900</v>
      </c>
      <c r="J114" s="4">
        <v>185</v>
      </c>
      <c r="K114" s="4">
        <f t="shared" si="36"/>
        <v>5550</v>
      </c>
      <c r="L114" s="4">
        <v>0</v>
      </c>
      <c r="M114" s="4">
        <v>0</v>
      </c>
      <c r="N114" s="4">
        <f t="shared" si="37"/>
        <v>5550</v>
      </c>
      <c r="O114" s="14">
        <f t="shared" si="38"/>
        <v>0.70217611336032393</v>
      </c>
      <c r="P114" s="4">
        <v>17</v>
      </c>
      <c r="Q114" s="4">
        <f t="shared" si="39"/>
        <v>850</v>
      </c>
      <c r="R114" s="4">
        <f t="shared" si="40"/>
        <v>850000</v>
      </c>
      <c r="S114" s="4">
        <v>2568.1799999999998</v>
      </c>
      <c r="T114" s="4">
        <f t="shared" si="41"/>
        <v>43659.06</v>
      </c>
      <c r="U114" s="4">
        <v>1820.94</v>
      </c>
      <c r="V114" s="4">
        <v>1900</v>
      </c>
    </row>
    <row r="115" spans="1:22" x14ac:dyDescent="0.35">
      <c r="A115" s="3">
        <v>34</v>
      </c>
      <c r="B115" s="2">
        <v>45946</v>
      </c>
      <c r="C115" s="4"/>
      <c r="D115" s="18"/>
      <c r="E115" s="4">
        <f t="shared" si="42"/>
        <v>7900</v>
      </c>
      <c r="F115" s="4">
        <v>2</v>
      </c>
      <c r="G115" s="14">
        <f t="shared" si="34"/>
        <v>2.5316455696202533E-4</v>
      </c>
      <c r="H115" s="4"/>
      <c r="I115" s="4">
        <f t="shared" si="35"/>
        <v>7898</v>
      </c>
      <c r="J115" s="4">
        <v>181</v>
      </c>
      <c r="K115" s="4">
        <f t="shared" si="36"/>
        <v>5430</v>
      </c>
      <c r="L115" s="4">
        <v>0</v>
      </c>
      <c r="M115" s="4">
        <v>0</v>
      </c>
      <c r="N115" s="4">
        <f t="shared" si="37"/>
        <v>5430</v>
      </c>
      <c r="O115" s="14">
        <f t="shared" si="38"/>
        <v>0.68734177215189873</v>
      </c>
      <c r="P115" s="4">
        <v>17</v>
      </c>
      <c r="Q115" s="4">
        <f t="shared" si="39"/>
        <v>850</v>
      </c>
      <c r="R115" s="4">
        <f t="shared" si="40"/>
        <v>850000</v>
      </c>
      <c r="S115" s="4">
        <v>2568.1799999999998</v>
      </c>
      <c r="T115" s="4">
        <f t="shared" si="41"/>
        <v>43659.06</v>
      </c>
      <c r="U115" s="4">
        <v>1820.94</v>
      </c>
      <c r="V115" s="4">
        <v>1800</v>
      </c>
    </row>
    <row r="116" spans="1:22" x14ac:dyDescent="0.35">
      <c r="A116" s="3">
        <v>34</v>
      </c>
      <c r="B116" s="2">
        <v>45947</v>
      </c>
      <c r="C116" s="4"/>
      <c r="D116" s="18"/>
      <c r="E116" s="4">
        <f t="shared" si="42"/>
        <v>7898</v>
      </c>
      <c r="F116" s="4">
        <v>2</v>
      </c>
      <c r="G116" s="14">
        <f t="shared" si="34"/>
        <v>2.5322866548493288E-4</v>
      </c>
      <c r="H116" s="4"/>
      <c r="I116" s="4">
        <f t="shared" si="35"/>
        <v>7896</v>
      </c>
      <c r="J116" s="4">
        <v>175</v>
      </c>
      <c r="K116" s="4">
        <f t="shared" si="36"/>
        <v>5250</v>
      </c>
      <c r="L116" s="4">
        <v>0</v>
      </c>
      <c r="M116" s="4">
        <v>0</v>
      </c>
      <c r="N116" s="4">
        <f t="shared" si="37"/>
        <v>5250</v>
      </c>
      <c r="O116" s="14">
        <f t="shared" si="38"/>
        <v>0.66472524689794887</v>
      </c>
      <c r="P116" s="4">
        <v>18</v>
      </c>
      <c r="Q116" s="4">
        <f t="shared" si="39"/>
        <v>900</v>
      </c>
      <c r="R116" s="4">
        <f t="shared" si="40"/>
        <v>900000</v>
      </c>
      <c r="S116" s="4">
        <v>2568.1799999999998</v>
      </c>
      <c r="T116" s="4">
        <f t="shared" si="41"/>
        <v>46227.24</v>
      </c>
      <c r="U116" s="4">
        <v>1820.94</v>
      </c>
      <c r="V116" s="4">
        <v>1700</v>
      </c>
    </row>
    <row r="117" spans="1:22" x14ac:dyDescent="0.35">
      <c r="A117" s="3">
        <v>34</v>
      </c>
      <c r="B117" s="2">
        <v>45948</v>
      </c>
      <c r="C117" s="4"/>
      <c r="D117" s="18"/>
      <c r="E117" s="4">
        <f t="shared" si="42"/>
        <v>7896</v>
      </c>
      <c r="F117" s="4">
        <v>2</v>
      </c>
      <c r="G117" s="14">
        <f t="shared" si="34"/>
        <v>2.5329280648429586E-4</v>
      </c>
      <c r="H117" s="4"/>
      <c r="I117" s="4">
        <f t="shared" si="35"/>
        <v>7894</v>
      </c>
      <c r="J117" s="4">
        <v>173</v>
      </c>
      <c r="K117" s="4">
        <f t="shared" si="36"/>
        <v>5190</v>
      </c>
      <c r="L117" s="4">
        <v>0</v>
      </c>
      <c r="M117" s="4">
        <v>0</v>
      </c>
      <c r="N117" s="4">
        <f t="shared" si="37"/>
        <v>5190</v>
      </c>
      <c r="O117" s="14">
        <f t="shared" si="38"/>
        <v>0.65729483282674772</v>
      </c>
      <c r="P117" s="4">
        <v>18</v>
      </c>
      <c r="Q117" s="4">
        <f t="shared" si="39"/>
        <v>900</v>
      </c>
      <c r="R117" s="4">
        <f t="shared" si="40"/>
        <v>900000</v>
      </c>
      <c r="S117" s="4">
        <v>2568.1799999999998</v>
      </c>
      <c r="T117" s="4">
        <f t="shared" si="41"/>
        <v>46227.24</v>
      </c>
      <c r="U117" s="4">
        <v>1820.94</v>
      </c>
      <c r="V117" s="4">
        <v>1800</v>
      </c>
    </row>
    <row r="118" spans="1:22" x14ac:dyDescent="0.35">
      <c r="A118" s="3">
        <v>34</v>
      </c>
      <c r="B118" s="2">
        <v>45949</v>
      </c>
      <c r="C118" s="4"/>
      <c r="D118" s="18"/>
      <c r="E118" s="4">
        <f t="shared" si="42"/>
        <v>7894</v>
      </c>
      <c r="F118" s="4">
        <v>2</v>
      </c>
      <c r="G118" s="14">
        <f t="shared" si="34"/>
        <v>2.533569799847986E-4</v>
      </c>
      <c r="H118" s="4"/>
      <c r="I118" s="4">
        <f t="shared" si="35"/>
        <v>7892</v>
      </c>
      <c r="J118" s="4">
        <v>167</v>
      </c>
      <c r="K118" s="4">
        <f t="shared" si="36"/>
        <v>5010</v>
      </c>
      <c r="L118" s="4">
        <v>0</v>
      </c>
      <c r="M118" s="4">
        <v>0</v>
      </c>
      <c r="N118" s="4">
        <f t="shared" si="37"/>
        <v>5010</v>
      </c>
      <c r="O118" s="14">
        <f t="shared" si="38"/>
        <v>0.63465923486192044</v>
      </c>
      <c r="P118" s="4">
        <v>18</v>
      </c>
      <c r="Q118" s="4">
        <f t="shared" si="39"/>
        <v>900</v>
      </c>
      <c r="R118" s="4">
        <f t="shared" si="40"/>
        <v>900000</v>
      </c>
      <c r="S118" s="4">
        <v>2568.1799999999998</v>
      </c>
      <c r="T118" s="4">
        <f t="shared" si="41"/>
        <v>46227.24</v>
      </c>
      <c r="U118" s="4">
        <v>1820.94</v>
      </c>
      <c r="V118" s="4">
        <v>1900</v>
      </c>
    </row>
    <row r="119" spans="1:22" x14ac:dyDescent="0.35">
      <c r="A119" s="3">
        <v>34</v>
      </c>
      <c r="B119" s="2">
        <v>45950</v>
      </c>
      <c r="C119" s="4"/>
      <c r="D119" s="18"/>
      <c r="E119" s="4">
        <f t="shared" si="42"/>
        <v>7892</v>
      </c>
      <c r="F119" s="4">
        <v>3</v>
      </c>
      <c r="G119" s="14">
        <f t="shared" si="34"/>
        <v>3.8013177901672583E-4</v>
      </c>
      <c r="H119" s="4"/>
      <c r="I119" s="4">
        <f t="shared" si="35"/>
        <v>7889</v>
      </c>
      <c r="J119" s="4">
        <v>167</v>
      </c>
      <c r="K119" s="4">
        <f t="shared" si="36"/>
        <v>5010</v>
      </c>
      <c r="L119" s="4">
        <v>0</v>
      </c>
      <c r="M119" s="4">
        <v>0</v>
      </c>
      <c r="N119" s="4">
        <f t="shared" si="37"/>
        <v>5010</v>
      </c>
      <c r="O119" s="14">
        <f t="shared" si="38"/>
        <v>0.63482007095793214</v>
      </c>
      <c r="P119" s="4">
        <v>18</v>
      </c>
      <c r="Q119" s="4">
        <f t="shared" si="39"/>
        <v>900</v>
      </c>
      <c r="R119" s="4">
        <f t="shared" si="40"/>
        <v>900000</v>
      </c>
      <c r="S119" s="4">
        <v>2568.1799999999998</v>
      </c>
      <c r="T119" s="4">
        <f t="shared" si="41"/>
        <v>46227.24</v>
      </c>
      <c r="U119" s="4">
        <v>1820.94</v>
      </c>
      <c r="V119" s="4">
        <v>1700</v>
      </c>
    </row>
    <row r="120" spans="1:22" x14ac:dyDescent="0.35">
      <c r="A120" s="3">
        <v>35</v>
      </c>
      <c r="B120" s="2">
        <v>45951</v>
      </c>
      <c r="C120" s="4"/>
      <c r="D120" s="18"/>
      <c r="E120" s="4">
        <f t="shared" si="42"/>
        <v>7889</v>
      </c>
      <c r="F120" s="4">
        <v>3</v>
      </c>
      <c r="G120" s="14">
        <f t="shared" si="34"/>
        <v>3.8027633413613893E-4</v>
      </c>
      <c r="H120" s="4"/>
      <c r="I120" s="4">
        <f t="shared" si="35"/>
        <v>7886</v>
      </c>
      <c r="J120" s="4">
        <v>165</v>
      </c>
      <c r="K120" s="4">
        <f t="shared" si="36"/>
        <v>4950</v>
      </c>
      <c r="L120" s="4">
        <v>0</v>
      </c>
      <c r="M120" s="4">
        <v>0</v>
      </c>
      <c r="N120" s="4">
        <f t="shared" si="37"/>
        <v>4950</v>
      </c>
      <c r="O120" s="14">
        <f t="shared" si="38"/>
        <v>0.62745595132462928</v>
      </c>
      <c r="P120" s="4">
        <v>18</v>
      </c>
      <c r="Q120" s="4">
        <f t="shared" si="39"/>
        <v>900</v>
      </c>
      <c r="R120" s="4">
        <f t="shared" si="40"/>
        <v>900000</v>
      </c>
      <c r="S120" s="4">
        <v>2568.1799999999998</v>
      </c>
      <c r="T120" s="4">
        <f t="shared" si="41"/>
        <v>46227.24</v>
      </c>
      <c r="U120" s="4">
        <v>1820.94</v>
      </c>
      <c r="V120" s="4">
        <v>1700</v>
      </c>
    </row>
    <row r="121" spans="1:22" x14ac:dyDescent="0.35">
      <c r="A121" s="3">
        <v>35</v>
      </c>
      <c r="B121" s="2">
        <v>45952</v>
      </c>
      <c r="C121" s="4"/>
      <c r="D121" s="18"/>
      <c r="E121" s="4">
        <f t="shared" si="42"/>
        <v>7886</v>
      </c>
      <c r="F121" s="4">
        <v>2</v>
      </c>
      <c r="G121" s="14">
        <f t="shared" si="34"/>
        <v>2.5361399949277199E-4</v>
      </c>
      <c r="H121" s="4"/>
      <c r="I121" s="4">
        <f t="shared" si="35"/>
        <v>7884</v>
      </c>
      <c r="J121" s="4">
        <v>162</v>
      </c>
      <c r="K121" s="4">
        <f t="shared" si="36"/>
        <v>4860</v>
      </c>
      <c r="L121" s="4">
        <v>0</v>
      </c>
      <c r="M121" s="4">
        <v>0</v>
      </c>
      <c r="N121" s="4">
        <f t="shared" si="37"/>
        <v>4860</v>
      </c>
      <c r="O121" s="14">
        <f t="shared" si="38"/>
        <v>0.61628201876743594</v>
      </c>
      <c r="P121" s="4">
        <v>18</v>
      </c>
      <c r="Q121" s="4">
        <f t="shared" si="39"/>
        <v>900</v>
      </c>
      <c r="R121" s="4">
        <f>Q121*1000</f>
        <v>900000</v>
      </c>
      <c r="S121" s="4">
        <v>2568.1799999999998</v>
      </c>
      <c r="T121" s="4">
        <f t="shared" si="41"/>
        <v>46227.24</v>
      </c>
      <c r="U121" s="4">
        <v>1820.94</v>
      </c>
      <c r="V121" s="4">
        <v>1000</v>
      </c>
    </row>
    <row r="122" spans="1:22" x14ac:dyDescent="0.35">
      <c r="A122" s="3">
        <v>35</v>
      </c>
      <c r="B122" s="2">
        <v>45953</v>
      </c>
      <c r="C122" s="4"/>
      <c r="D122" s="18"/>
      <c r="E122" s="4">
        <f t="shared" si="42"/>
        <v>7884</v>
      </c>
      <c r="F122" s="4">
        <v>3</v>
      </c>
      <c r="G122" s="14">
        <f t="shared" si="34"/>
        <v>3.8051750380517502E-4</v>
      </c>
      <c r="H122" s="4"/>
      <c r="I122" s="4">
        <f t="shared" si="35"/>
        <v>7881</v>
      </c>
      <c r="J122" s="4">
        <v>163</v>
      </c>
      <c r="K122" s="4">
        <f t="shared" si="36"/>
        <v>4890</v>
      </c>
      <c r="L122" s="4">
        <v>0</v>
      </c>
      <c r="M122" s="4">
        <v>0</v>
      </c>
      <c r="N122" s="4">
        <f t="shared" si="37"/>
        <v>4890</v>
      </c>
      <c r="O122" s="14">
        <f t="shared" si="38"/>
        <v>0.62024353120243536</v>
      </c>
      <c r="P122" s="4">
        <v>18</v>
      </c>
      <c r="Q122" s="4">
        <f t="shared" si="39"/>
        <v>900</v>
      </c>
      <c r="R122" s="4">
        <f>Q122*1000</f>
        <v>900000</v>
      </c>
      <c r="S122" s="4">
        <v>2568.1799999999998</v>
      </c>
      <c r="T122" s="4">
        <f t="shared" si="41"/>
        <v>46227.24</v>
      </c>
      <c r="U122" s="4">
        <v>1820.94</v>
      </c>
      <c r="V122" s="4">
        <v>1000</v>
      </c>
    </row>
    <row r="123" spans="1:22" x14ac:dyDescent="0.35">
      <c r="A123" s="3">
        <v>35</v>
      </c>
      <c r="B123" s="2">
        <v>45954</v>
      </c>
      <c r="C123" s="4"/>
      <c r="D123" s="18"/>
      <c r="E123" s="4">
        <f t="shared" si="42"/>
        <v>7881</v>
      </c>
      <c r="F123" s="4">
        <v>3</v>
      </c>
      <c r="G123" s="14">
        <f t="shared" si="34"/>
        <v>3.8066235249333843E-4</v>
      </c>
      <c r="H123" s="4"/>
      <c r="I123" s="4">
        <f t="shared" si="35"/>
        <v>7878</v>
      </c>
      <c r="J123" s="4">
        <v>158</v>
      </c>
      <c r="K123" s="4">
        <f t="shared" si="36"/>
        <v>4740</v>
      </c>
      <c r="L123" s="4">
        <v>0</v>
      </c>
      <c r="M123" s="4">
        <v>0</v>
      </c>
      <c r="N123" s="4">
        <f t="shared" si="37"/>
        <v>4740</v>
      </c>
      <c r="O123" s="14">
        <f t="shared" si="38"/>
        <v>0.60144651693947471</v>
      </c>
      <c r="P123" s="4">
        <v>18</v>
      </c>
      <c r="Q123" s="4">
        <f t="shared" si="39"/>
        <v>900</v>
      </c>
      <c r="R123" s="4">
        <f>Q123*1000</f>
        <v>900000</v>
      </c>
      <c r="S123" s="4">
        <v>2568.1799999999998</v>
      </c>
      <c r="T123" s="4">
        <f t="shared" si="41"/>
        <v>46227.24</v>
      </c>
      <c r="U123" s="4">
        <v>1820.94</v>
      </c>
      <c r="V123" s="4">
        <v>1500</v>
      </c>
    </row>
    <row r="124" spans="1:22" x14ac:dyDescent="0.35">
      <c r="A124" s="3">
        <v>35</v>
      </c>
      <c r="B124" s="2">
        <v>45955</v>
      </c>
      <c r="C124" s="4"/>
      <c r="D124" s="18"/>
      <c r="E124" s="4">
        <f t="shared" si="42"/>
        <v>7878</v>
      </c>
      <c r="F124" s="4">
        <v>4</v>
      </c>
      <c r="G124" s="14">
        <f t="shared" si="34"/>
        <v>5.0774308200050779E-4</v>
      </c>
      <c r="H124" s="4"/>
      <c r="I124" s="4">
        <f t="shared" si="35"/>
        <v>7874</v>
      </c>
      <c r="J124" s="4">
        <v>163</v>
      </c>
      <c r="K124" s="4">
        <f t="shared" si="36"/>
        <v>4890</v>
      </c>
      <c r="L124" s="4">
        <v>0</v>
      </c>
      <c r="M124" s="4">
        <v>0</v>
      </c>
      <c r="N124" s="4">
        <f t="shared" si="37"/>
        <v>4890</v>
      </c>
      <c r="O124" s="14">
        <f t="shared" si="38"/>
        <v>0.62071591774562074</v>
      </c>
      <c r="P124" s="4">
        <v>18</v>
      </c>
      <c r="Q124" s="4">
        <f t="shared" si="39"/>
        <v>900</v>
      </c>
      <c r="R124" s="4">
        <f t="shared" ref="R124:R130" si="43">Q124*1000</f>
        <v>900000</v>
      </c>
      <c r="S124" s="4">
        <v>2568.1799999999998</v>
      </c>
      <c r="T124" s="4">
        <f t="shared" si="41"/>
        <v>46227.24</v>
      </c>
      <c r="U124" s="4">
        <v>1820.94</v>
      </c>
      <c r="V124" s="4">
        <v>2200</v>
      </c>
    </row>
    <row r="125" spans="1:22" x14ac:dyDescent="0.35">
      <c r="A125" s="3">
        <v>35</v>
      </c>
      <c r="B125" s="2">
        <v>45956</v>
      </c>
      <c r="C125" s="4"/>
      <c r="D125" s="18"/>
      <c r="E125" s="4">
        <f t="shared" si="42"/>
        <v>7874</v>
      </c>
      <c r="F125" s="4">
        <v>3</v>
      </c>
      <c r="G125" s="14">
        <f t="shared" si="34"/>
        <v>3.8100076200152399E-4</v>
      </c>
      <c r="H125" s="4"/>
      <c r="I125" s="4">
        <f t="shared" si="35"/>
        <v>7871</v>
      </c>
      <c r="J125" s="4">
        <v>166</v>
      </c>
      <c r="K125" s="4">
        <f t="shared" si="36"/>
        <v>4980</v>
      </c>
      <c r="L125" s="4">
        <v>0</v>
      </c>
      <c r="M125" s="4">
        <v>0</v>
      </c>
      <c r="N125" s="4">
        <f t="shared" si="37"/>
        <v>4980</v>
      </c>
      <c r="O125" s="14">
        <f t="shared" si="38"/>
        <v>0.63246126492252985</v>
      </c>
      <c r="P125" s="4">
        <v>18</v>
      </c>
      <c r="Q125" s="4">
        <f t="shared" si="39"/>
        <v>900</v>
      </c>
      <c r="R125" s="4">
        <f t="shared" si="43"/>
        <v>900000</v>
      </c>
      <c r="S125" s="4">
        <v>2568.1799999999998</v>
      </c>
      <c r="T125" s="4">
        <f t="shared" si="41"/>
        <v>46227.24</v>
      </c>
      <c r="U125" s="4">
        <v>1820.94</v>
      </c>
      <c r="V125" s="4">
        <v>2000</v>
      </c>
    </row>
    <row r="126" spans="1:22" x14ac:dyDescent="0.35">
      <c r="A126" s="3">
        <v>35</v>
      </c>
      <c r="B126" s="2">
        <v>45957</v>
      </c>
      <c r="C126" s="4"/>
      <c r="D126" s="18"/>
      <c r="E126" s="4">
        <f t="shared" si="42"/>
        <v>7871</v>
      </c>
      <c r="F126" s="4">
        <v>3</v>
      </c>
      <c r="G126" s="14">
        <f t="shared" si="34"/>
        <v>3.8114597890992252E-4</v>
      </c>
      <c r="H126" s="4"/>
      <c r="I126" s="4">
        <f t="shared" si="35"/>
        <v>7868</v>
      </c>
      <c r="J126" s="4">
        <v>173</v>
      </c>
      <c r="K126" s="4">
        <f t="shared" si="36"/>
        <v>5190</v>
      </c>
      <c r="L126" s="4">
        <v>0</v>
      </c>
      <c r="M126" s="4">
        <v>0</v>
      </c>
      <c r="N126" s="4">
        <f t="shared" si="37"/>
        <v>5190</v>
      </c>
      <c r="O126" s="14">
        <f t="shared" si="38"/>
        <v>0.65938254351416592</v>
      </c>
      <c r="P126" s="4">
        <v>18</v>
      </c>
      <c r="Q126" s="4">
        <f t="shared" si="39"/>
        <v>900</v>
      </c>
      <c r="R126" s="4">
        <f t="shared" si="43"/>
        <v>900000</v>
      </c>
      <c r="S126" s="4">
        <v>2568.1799999999998</v>
      </c>
      <c r="T126" s="4">
        <f t="shared" si="41"/>
        <v>46227.24</v>
      </c>
      <c r="U126" s="4">
        <v>1820.94</v>
      </c>
      <c r="V126" s="4">
        <v>1700</v>
      </c>
    </row>
    <row r="127" spans="1:22" x14ac:dyDescent="0.35">
      <c r="A127" s="3">
        <v>36</v>
      </c>
      <c r="B127" s="2">
        <v>45958</v>
      </c>
      <c r="C127" s="4"/>
      <c r="D127" s="18"/>
      <c r="E127" s="4">
        <f t="shared" si="42"/>
        <v>7868</v>
      </c>
      <c r="F127" s="4">
        <v>4</v>
      </c>
      <c r="G127" s="14">
        <f t="shared" si="34"/>
        <v>5.0838840874428064E-4</v>
      </c>
      <c r="H127" s="4"/>
      <c r="I127" s="4">
        <f t="shared" si="35"/>
        <v>7864</v>
      </c>
      <c r="J127" s="4">
        <v>172</v>
      </c>
      <c r="K127" s="4">
        <f t="shared" si="36"/>
        <v>5160</v>
      </c>
      <c r="L127" s="4">
        <v>0</v>
      </c>
      <c r="M127" s="4">
        <v>0</v>
      </c>
      <c r="N127" s="4">
        <f>K127+L127-M127</f>
        <v>5160</v>
      </c>
      <c r="O127" s="14">
        <f t="shared" si="38"/>
        <v>0.65582104728012203</v>
      </c>
      <c r="P127" s="4">
        <v>18</v>
      </c>
      <c r="Q127" s="4">
        <f t="shared" si="39"/>
        <v>900</v>
      </c>
      <c r="R127" s="4">
        <f t="shared" si="43"/>
        <v>900000</v>
      </c>
      <c r="S127" s="4">
        <v>2568.1799999999998</v>
      </c>
      <c r="T127" s="4">
        <f t="shared" si="41"/>
        <v>46227.24</v>
      </c>
      <c r="U127" s="4">
        <v>1820.94</v>
      </c>
      <c r="V127" s="4">
        <v>2000</v>
      </c>
    </row>
    <row r="128" spans="1:22" x14ac:dyDescent="0.35">
      <c r="A128" s="3">
        <v>36</v>
      </c>
      <c r="B128" s="2">
        <v>45959</v>
      </c>
      <c r="C128" s="4"/>
      <c r="D128" s="18"/>
      <c r="E128" s="4">
        <f t="shared" si="42"/>
        <v>7864</v>
      </c>
      <c r="F128" s="4">
        <v>3</v>
      </c>
      <c r="G128" s="14">
        <f t="shared" si="34"/>
        <v>3.8148524923702949E-4</v>
      </c>
      <c r="H128" s="4"/>
      <c r="I128" s="4">
        <f t="shared" si="35"/>
        <v>7861</v>
      </c>
      <c r="J128" s="4">
        <v>172</v>
      </c>
      <c r="K128" s="4">
        <f t="shared" si="36"/>
        <v>5160</v>
      </c>
      <c r="L128" s="4">
        <v>0</v>
      </c>
      <c r="M128" s="4">
        <v>0</v>
      </c>
      <c r="N128" s="4">
        <f>K128+L128-M128</f>
        <v>5160</v>
      </c>
      <c r="O128" s="14">
        <f t="shared" si="38"/>
        <v>0.6561546286876907</v>
      </c>
      <c r="P128" s="4">
        <v>18</v>
      </c>
      <c r="Q128" s="4">
        <f t="shared" si="39"/>
        <v>900</v>
      </c>
      <c r="R128" s="4">
        <f t="shared" si="43"/>
        <v>900000</v>
      </c>
      <c r="S128" s="4">
        <v>2568.1799999999998</v>
      </c>
      <c r="T128" s="4">
        <f t="shared" si="41"/>
        <v>46227.24</v>
      </c>
      <c r="U128" s="4">
        <v>1820.94</v>
      </c>
      <c r="V128" s="4">
        <v>3200</v>
      </c>
    </row>
    <row r="129" spans="1:22" x14ac:dyDescent="0.35">
      <c r="A129" s="3">
        <v>36</v>
      </c>
      <c r="B129" s="2">
        <v>45960</v>
      </c>
      <c r="C129" s="4"/>
      <c r="D129" s="18"/>
      <c r="E129" s="4">
        <f t="shared" si="42"/>
        <v>7861</v>
      </c>
      <c r="F129" s="4">
        <v>2</v>
      </c>
      <c r="G129" s="14">
        <f t="shared" si="34"/>
        <v>2.5442055718102023E-4</v>
      </c>
      <c r="H129" s="4"/>
      <c r="I129" s="4">
        <f t="shared" si="35"/>
        <v>7859</v>
      </c>
      <c r="J129" s="4">
        <v>176</v>
      </c>
      <c r="K129" s="4">
        <f t="shared" si="36"/>
        <v>5280</v>
      </c>
      <c r="L129" s="4">
        <v>0</v>
      </c>
      <c r="M129" s="4">
        <v>0</v>
      </c>
      <c r="N129" s="4">
        <f>K129+L129-M129</f>
        <v>5280</v>
      </c>
      <c r="O129" s="14">
        <f t="shared" si="38"/>
        <v>0.67167027095789344</v>
      </c>
      <c r="P129" s="4">
        <v>18</v>
      </c>
      <c r="Q129" s="4">
        <f t="shared" si="39"/>
        <v>900</v>
      </c>
      <c r="R129" s="4">
        <f t="shared" si="43"/>
        <v>900000</v>
      </c>
      <c r="S129" s="4">
        <v>2568.1799999999998</v>
      </c>
      <c r="T129" s="4">
        <f t="shared" si="41"/>
        <v>46227.24</v>
      </c>
      <c r="U129" s="4">
        <v>1820.94</v>
      </c>
      <c r="V129" s="4">
        <v>1000</v>
      </c>
    </row>
    <row r="130" spans="1:22" x14ac:dyDescent="0.35">
      <c r="A130" s="3">
        <v>36</v>
      </c>
      <c r="B130" s="2">
        <v>45961</v>
      </c>
      <c r="C130" s="4"/>
      <c r="D130" s="18"/>
      <c r="E130" s="4">
        <f t="shared" si="42"/>
        <v>7859</v>
      </c>
      <c r="F130" s="4">
        <v>3</v>
      </c>
      <c r="G130" s="14">
        <f t="shared" si="34"/>
        <v>3.8172795521058657E-4</v>
      </c>
      <c r="H130" s="4"/>
      <c r="I130" s="4">
        <f t="shared" si="35"/>
        <v>7856</v>
      </c>
      <c r="J130" s="4">
        <v>185</v>
      </c>
      <c r="K130" s="4">
        <f t="shared" si="36"/>
        <v>5550</v>
      </c>
      <c r="L130" s="4">
        <v>0</v>
      </c>
      <c r="M130" s="4">
        <v>0</v>
      </c>
      <c r="N130" s="4">
        <f>K130+L130-M130</f>
        <v>5550</v>
      </c>
      <c r="O130" s="14">
        <f t="shared" si="38"/>
        <v>0.70619671713958521</v>
      </c>
      <c r="P130" s="4">
        <v>18</v>
      </c>
      <c r="Q130" s="4">
        <f t="shared" si="39"/>
        <v>900</v>
      </c>
      <c r="R130" s="4">
        <f t="shared" si="43"/>
        <v>900000</v>
      </c>
      <c r="S130" s="4">
        <v>2568.1799999999998</v>
      </c>
      <c r="T130" s="4">
        <f t="shared" si="41"/>
        <v>46227.24</v>
      </c>
      <c r="U130" s="4">
        <v>1820.94</v>
      </c>
      <c r="V130" s="4">
        <v>1700</v>
      </c>
    </row>
    <row r="131" spans="1:22" x14ac:dyDescent="0.35">
      <c r="A131" s="3"/>
      <c r="B131" s="2"/>
      <c r="C131" s="4"/>
      <c r="D131" s="18"/>
      <c r="E131" s="4"/>
      <c r="F131" s="4">
        <f>SUM(F100:F130)</f>
        <v>80</v>
      </c>
      <c r="G131" s="14"/>
      <c r="H131" s="4"/>
      <c r="I131" s="4"/>
      <c r="J131" s="4"/>
      <c r="K131" s="4"/>
      <c r="L131" s="4"/>
      <c r="M131" s="4"/>
      <c r="N131" s="4"/>
      <c r="O131" s="14"/>
      <c r="P131" s="4"/>
      <c r="Q131" s="4"/>
      <c r="R131" s="4"/>
      <c r="S131" s="4"/>
      <c r="T131" s="4"/>
    </row>
    <row r="132" spans="1:22" x14ac:dyDescent="0.35">
      <c r="A132" s="3"/>
      <c r="B132" s="2"/>
      <c r="C132" s="4"/>
      <c r="D132" s="18"/>
      <c r="E132" s="4"/>
      <c r="F132" s="4"/>
      <c r="G132" s="14"/>
      <c r="H132" s="4"/>
      <c r="I132" s="4"/>
      <c r="J132" s="4"/>
      <c r="K132" s="4"/>
      <c r="L132" s="4"/>
      <c r="M132" s="4"/>
      <c r="N132" s="4"/>
      <c r="O132" s="14"/>
      <c r="P132" s="4"/>
      <c r="Q132" s="4"/>
      <c r="R132" s="4"/>
      <c r="S132" s="4"/>
      <c r="T132" s="4"/>
    </row>
    <row r="133" spans="1:22" x14ac:dyDescent="0.35">
      <c r="A133" s="1" t="s">
        <v>20</v>
      </c>
      <c r="B133" s="37" t="s">
        <v>1</v>
      </c>
      <c r="C133" s="38" t="s">
        <v>19</v>
      </c>
      <c r="D133" s="38" t="s">
        <v>18</v>
      </c>
      <c r="E133" s="39" t="s">
        <v>2</v>
      </c>
      <c r="F133" s="40" t="s">
        <v>3</v>
      </c>
      <c r="G133" s="41" t="s">
        <v>4</v>
      </c>
      <c r="H133" s="40" t="s">
        <v>5</v>
      </c>
      <c r="I133" s="42" t="s">
        <v>6</v>
      </c>
      <c r="J133" s="43" t="s">
        <v>7</v>
      </c>
      <c r="K133" s="40" t="s">
        <v>8</v>
      </c>
      <c r="L133" s="40" t="s">
        <v>9</v>
      </c>
      <c r="M133" s="40" t="s">
        <v>10</v>
      </c>
      <c r="N133" s="40" t="s">
        <v>11</v>
      </c>
      <c r="O133" s="44" t="s">
        <v>12</v>
      </c>
      <c r="P133" s="43" t="s">
        <v>13</v>
      </c>
      <c r="Q133" s="40" t="s">
        <v>14</v>
      </c>
      <c r="R133" s="45" t="s">
        <v>15</v>
      </c>
      <c r="S133" s="46" t="s">
        <v>16</v>
      </c>
      <c r="T133" s="47" t="s">
        <v>17</v>
      </c>
      <c r="U133" s="48" t="s">
        <v>22</v>
      </c>
      <c r="V133" s="48" t="s">
        <v>24</v>
      </c>
    </row>
    <row r="134" spans="1:22" x14ac:dyDescent="0.35">
      <c r="A134" s="3">
        <v>36</v>
      </c>
      <c r="B134" s="2">
        <v>45962</v>
      </c>
      <c r="C134" s="18"/>
      <c r="D134" s="18"/>
      <c r="E134" s="4">
        <v>7856</v>
      </c>
      <c r="F134" s="4">
        <v>2</v>
      </c>
      <c r="G134" s="14">
        <f t="shared" ref="G134:G163" si="44">F134/E134</f>
        <v>2.5458248472505089E-4</v>
      </c>
      <c r="H134" s="4"/>
      <c r="I134" s="4">
        <f t="shared" ref="I134:I163" si="45">E134-F134-H134</f>
        <v>7854</v>
      </c>
      <c r="J134" s="4">
        <v>192</v>
      </c>
      <c r="K134" s="4">
        <f t="shared" ref="K134:K163" si="46">J134*30</f>
        <v>5760</v>
      </c>
      <c r="L134" s="4">
        <v>0</v>
      </c>
      <c r="M134" s="4">
        <v>0</v>
      </c>
      <c r="N134" s="4">
        <f t="shared" ref="N134:N159" si="47">K134+L134-M134</f>
        <v>5760</v>
      </c>
      <c r="O134" s="14">
        <f t="shared" ref="O134:O151" si="48">N134/E134</f>
        <v>0.73319755600814662</v>
      </c>
      <c r="P134" s="4">
        <v>18</v>
      </c>
      <c r="Q134" s="4">
        <f t="shared" ref="Q134:Q163" si="49">P134*50</f>
        <v>900</v>
      </c>
      <c r="R134" s="4">
        <f t="shared" ref="R134:R163" si="50">Q134*1000</f>
        <v>900000</v>
      </c>
      <c r="S134" s="4">
        <v>2548.6799999999998</v>
      </c>
      <c r="T134" s="4">
        <f t="shared" ref="T134:T163" si="51">P134*S134</f>
        <v>45876.24</v>
      </c>
      <c r="U134" s="4">
        <v>1820.94</v>
      </c>
      <c r="V134" s="4">
        <v>2100</v>
      </c>
    </row>
    <row r="135" spans="1:22" x14ac:dyDescent="0.35">
      <c r="A135" s="3">
        <v>36</v>
      </c>
      <c r="B135" s="2">
        <v>45963</v>
      </c>
      <c r="C135" s="4"/>
      <c r="D135" s="18"/>
      <c r="E135" s="4">
        <f t="shared" ref="E135:E163" si="52">I134</f>
        <v>7854</v>
      </c>
      <c r="F135" s="4">
        <v>2</v>
      </c>
      <c r="G135" s="14">
        <f t="shared" si="44"/>
        <v>2.5464731347084286E-4</v>
      </c>
      <c r="H135" s="4"/>
      <c r="I135" s="4">
        <f t="shared" si="45"/>
        <v>7852</v>
      </c>
      <c r="J135" s="4">
        <v>196</v>
      </c>
      <c r="K135" s="4">
        <f t="shared" si="46"/>
        <v>5880</v>
      </c>
      <c r="L135" s="4">
        <v>0</v>
      </c>
      <c r="M135" s="4">
        <v>0</v>
      </c>
      <c r="N135" s="4">
        <f t="shared" si="47"/>
        <v>5880</v>
      </c>
      <c r="O135" s="14">
        <f t="shared" si="48"/>
        <v>0.74866310160427807</v>
      </c>
      <c r="P135" s="4">
        <v>18</v>
      </c>
      <c r="Q135" s="4">
        <f t="shared" si="49"/>
        <v>900</v>
      </c>
      <c r="R135" s="4">
        <f t="shared" si="50"/>
        <v>900000</v>
      </c>
      <c r="S135" s="4">
        <v>2548.6799999999998</v>
      </c>
      <c r="T135" s="4">
        <f t="shared" si="51"/>
        <v>45876.24</v>
      </c>
      <c r="U135" s="4">
        <v>1820.94</v>
      </c>
      <c r="V135" s="4">
        <v>2400</v>
      </c>
    </row>
    <row r="136" spans="1:22" x14ac:dyDescent="0.35">
      <c r="A136" s="3">
        <v>36</v>
      </c>
      <c r="B136" s="2">
        <v>45964</v>
      </c>
      <c r="C136" s="19"/>
      <c r="D136" s="19"/>
      <c r="E136" s="4">
        <f t="shared" si="52"/>
        <v>7852</v>
      </c>
      <c r="F136" s="4">
        <v>3</v>
      </c>
      <c r="G136" s="14">
        <f t="shared" si="44"/>
        <v>3.8206826286296485E-4</v>
      </c>
      <c r="H136" s="7"/>
      <c r="I136" s="4">
        <f t="shared" si="45"/>
        <v>7849</v>
      </c>
      <c r="J136" s="4">
        <v>200</v>
      </c>
      <c r="K136" s="4">
        <f t="shared" si="46"/>
        <v>6000</v>
      </c>
      <c r="L136" s="4">
        <v>0</v>
      </c>
      <c r="M136" s="4">
        <v>0</v>
      </c>
      <c r="N136" s="4">
        <f t="shared" si="47"/>
        <v>6000</v>
      </c>
      <c r="O136" s="14">
        <f t="shared" si="48"/>
        <v>0.76413652572592972</v>
      </c>
      <c r="P136" s="4">
        <v>19</v>
      </c>
      <c r="Q136" s="4">
        <f t="shared" si="49"/>
        <v>950</v>
      </c>
      <c r="R136" s="4">
        <f t="shared" si="50"/>
        <v>950000</v>
      </c>
      <c r="S136" s="4">
        <v>2548.6799999999998</v>
      </c>
      <c r="T136" s="4">
        <f t="shared" si="51"/>
        <v>48424.92</v>
      </c>
      <c r="U136" s="4">
        <v>1820.94</v>
      </c>
      <c r="V136" s="4">
        <v>2100</v>
      </c>
    </row>
    <row r="137" spans="1:22" x14ac:dyDescent="0.35">
      <c r="A137" s="3">
        <v>37</v>
      </c>
      <c r="B137" s="2">
        <v>45965</v>
      </c>
      <c r="C137" s="4"/>
      <c r="D137" s="18"/>
      <c r="E137" s="4">
        <f t="shared" si="52"/>
        <v>7849</v>
      </c>
      <c r="F137" s="4">
        <v>3</v>
      </c>
      <c r="G137" s="14">
        <f t="shared" si="44"/>
        <v>3.8221429481462608E-4</v>
      </c>
      <c r="H137" s="4"/>
      <c r="I137" s="4">
        <f t="shared" si="45"/>
        <v>7846</v>
      </c>
      <c r="J137" s="4">
        <v>205</v>
      </c>
      <c r="K137" s="4">
        <f t="shared" si="46"/>
        <v>6150</v>
      </c>
      <c r="L137" s="4">
        <v>0</v>
      </c>
      <c r="M137" s="4">
        <v>0</v>
      </c>
      <c r="N137" s="4">
        <f t="shared" si="47"/>
        <v>6150</v>
      </c>
      <c r="O137" s="14">
        <f t="shared" si="48"/>
        <v>0.78353930436998342</v>
      </c>
      <c r="P137" s="4">
        <v>19</v>
      </c>
      <c r="Q137" s="4">
        <f t="shared" si="49"/>
        <v>950</v>
      </c>
      <c r="R137" s="4">
        <f t="shared" si="50"/>
        <v>950000</v>
      </c>
      <c r="S137" s="4">
        <v>2548.6799999999998</v>
      </c>
      <c r="T137" s="4">
        <f t="shared" si="51"/>
        <v>48424.92</v>
      </c>
      <c r="U137" s="4">
        <v>1820.94</v>
      </c>
      <c r="V137" s="4">
        <v>2100</v>
      </c>
    </row>
    <row r="138" spans="1:22" x14ac:dyDescent="0.35">
      <c r="A138" s="3">
        <v>37</v>
      </c>
      <c r="B138" s="2">
        <v>45966</v>
      </c>
      <c r="C138" s="4"/>
      <c r="D138" s="18"/>
      <c r="E138" s="4">
        <f t="shared" si="52"/>
        <v>7846</v>
      </c>
      <c r="F138" s="4">
        <v>3</v>
      </c>
      <c r="G138" s="14">
        <f t="shared" si="44"/>
        <v>3.8236043843996943E-4</v>
      </c>
      <c r="H138" s="4"/>
      <c r="I138" s="4">
        <f t="shared" si="45"/>
        <v>7843</v>
      </c>
      <c r="J138" s="4">
        <v>211</v>
      </c>
      <c r="K138" s="4">
        <f t="shared" si="46"/>
        <v>6330</v>
      </c>
      <c r="L138" s="4">
        <v>0</v>
      </c>
      <c r="M138" s="4">
        <v>0</v>
      </c>
      <c r="N138" s="4">
        <f t="shared" si="47"/>
        <v>6330</v>
      </c>
      <c r="O138" s="14">
        <f t="shared" si="48"/>
        <v>0.80678052510833542</v>
      </c>
      <c r="P138" s="4">
        <v>19</v>
      </c>
      <c r="Q138" s="4">
        <f t="shared" si="49"/>
        <v>950</v>
      </c>
      <c r="R138" s="4">
        <f t="shared" si="50"/>
        <v>950000</v>
      </c>
      <c r="S138" s="4">
        <v>2548.6799999999998</v>
      </c>
      <c r="T138" s="4">
        <f t="shared" si="51"/>
        <v>48424.92</v>
      </c>
      <c r="U138" s="4">
        <v>1820.94</v>
      </c>
      <c r="V138" s="4">
        <v>2100</v>
      </c>
    </row>
    <row r="139" spans="1:22" x14ac:dyDescent="0.35">
      <c r="A139" s="3">
        <v>37</v>
      </c>
      <c r="B139" s="2">
        <v>45967</v>
      </c>
      <c r="C139" s="4"/>
      <c r="D139" s="18"/>
      <c r="E139" s="4">
        <f t="shared" si="52"/>
        <v>7843</v>
      </c>
      <c r="F139" s="4">
        <v>2</v>
      </c>
      <c r="G139" s="14">
        <f t="shared" si="44"/>
        <v>2.550044625780951E-4</v>
      </c>
      <c r="H139" s="4"/>
      <c r="I139" s="4">
        <f t="shared" si="45"/>
        <v>7841</v>
      </c>
      <c r="J139" s="4">
        <v>215</v>
      </c>
      <c r="K139" s="4">
        <f t="shared" si="46"/>
        <v>6450</v>
      </c>
      <c r="L139" s="4">
        <v>0</v>
      </c>
      <c r="M139" s="4">
        <v>0</v>
      </c>
      <c r="N139" s="4">
        <f t="shared" si="47"/>
        <v>6450</v>
      </c>
      <c r="O139" s="14">
        <f t="shared" si="48"/>
        <v>0.82238939181435677</v>
      </c>
      <c r="P139" s="4">
        <v>19</v>
      </c>
      <c r="Q139" s="4">
        <f t="shared" si="49"/>
        <v>950</v>
      </c>
      <c r="R139" s="4">
        <f t="shared" si="50"/>
        <v>950000</v>
      </c>
      <c r="S139" s="4">
        <v>2548.6799999999998</v>
      </c>
      <c r="T139" s="4">
        <f t="shared" si="51"/>
        <v>48424.92</v>
      </c>
      <c r="U139" s="4">
        <v>1820.94</v>
      </c>
      <c r="V139" s="4">
        <v>2300</v>
      </c>
    </row>
    <row r="140" spans="1:22" x14ac:dyDescent="0.35">
      <c r="A140" s="3">
        <v>37</v>
      </c>
      <c r="B140" s="2">
        <v>45968</v>
      </c>
      <c r="C140" s="4"/>
      <c r="D140" s="18"/>
      <c r="E140" s="4">
        <f t="shared" si="52"/>
        <v>7841</v>
      </c>
      <c r="F140" s="4">
        <v>3</v>
      </c>
      <c r="G140" s="14">
        <f t="shared" si="44"/>
        <v>3.8260425966075756E-4</v>
      </c>
      <c r="H140" s="4"/>
      <c r="I140" s="4">
        <f t="shared" si="45"/>
        <v>7838</v>
      </c>
      <c r="J140" s="4">
        <v>221</v>
      </c>
      <c r="K140" s="4">
        <f t="shared" si="46"/>
        <v>6630</v>
      </c>
      <c r="L140" s="4">
        <v>0</v>
      </c>
      <c r="M140" s="4">
        <v>0</v>
      </c>
      <c r="N140" s="4">
        <f t="shared" si="47"/>
        <v>6630</v>
      </c>
      <c r="O140" s="14">
        <f t="shared" si="48"/>
        <v>0.84555541385027422</v>
      </c>
      <c r="P140" s="4">
        <v>20</v>
      </c>
      <c r="Q140" s="4">
        <f t="shared" si="49"/>
        <v>1000</v>
      </c>
      <c r="R140" s="4">
        <f t="shared" si="50"/>
        <v>1000000</v>
      </c>
      <c r="S140" s="4">
        <v>2548.6799999999998</v>
      </c>
      <c r="T140" s="4">
        <f t="shared" si="51"/>
        <v>50973.599999999999</v>
      </c>
      <c r="U140" s="4">
        <v>1820.94</v>
      </c>
      <c r="V140" s="4">
        <v>2300</v>
      </c>
    </row>
    <row r="141" spans="1:22" x14ac:dyDescent="0.35">
      <c r="A141" s="3">
        <v>37</v>
      </c>
      <c r="B141" s="2">
        <v>45969</v>
      </c>
      <c r="C141" s="4"/>
      <c r="D141" s="18"/>
      <c r="E141" s="4">
        <f t="shared" si="52"/>
        <v>7838</v>
      </c>
      <c r="F141" s="4">
        <v>2</v>
      </c>
      <c r="G141" s="14">
        <f t="shared" si="44"/>
        <v>2.5516713447307985E-4</v>
      </c>
      <c r="H141" s="4"/>
      <c r="I141" s="4">
        <f t="shared" si="45"/>
        <v>7836</v>
      </c>
      <c r="J141" s="4">
        <v>226</v>
      </c>
      <c r="K141" s="4">
        <f t="shared" si="46"/>
        <v>6780</v>
      </c>
      <c r="L141" s="4">
        <v>0</v>
      </c>
      <c r="M141" s="4">
        <v>0</v>
      </c>
      <c r="N141" s="4">
        <f t="shared" si="47"/>
        <v>6780</v>
      </c>
      <c r="O141" s="14">
        <f t="shared" si="48"/>
        <v>0.86501658586374075</v>
      </c>
      <c r="P141" s="4">
        <v>20</v>
      </c>
      <c r="Q141" s="4">
        <f t="shared" si="49"/>
        <v>1000</v>
      </c>
      <c r="R141" s="4">
        <f t="shared" si="50"/>
        <v>1000000</v>
      </c>
      <c r="S141" s="4">
        <v>2548.6799999999998</v>
      </c>
      <c r="T141" s="4">
        <f t="shared" si="51"/>
        <v>50973.599999999999</v>
      </c>
      <c r="U141" s="4">
        <v>1820.94</v>
      </c>
      <c r="V141" s="4">
        <v>2100</v>
      </c>
    </row>
    <row r="142" spans="1:22" x14ac:dyDescent="0.35">
      <c r="A142" s="3">
        <v>37</v>
      </c>
      <c r="B142" s="2">
        <v>45970</v>
      </c>
      <c r="C142" s="4"/>
      <c r="D142" s="18"/>
      <c r="E142" s="4">
        <f t="shared" si="52"/>
        <v>7836</v>
      </c>
      <c r="F142" s="4">
        <v>2</v>
      </c>
      <c r="G142" s="14">
        <f t="shared" si="44"/>
        <v>2.5523226135783564E-4</v>
      </c>
      <c r="H142" s="4"/>
      <c r="I142" s="4">
        <f t="shared" si="45"/>
        <v>7834</v>
      </c>
      <c r="J142" s="4">
        <v>226</v>
      </c>
      <c r="K142" s="4">
        <f t="shared" si="46"/>
        <v>6780</v>
      </c>
      <c r="L142" s="4">
        <v>0</v>
      </c>
      <c r="M142" s="4">
        <v>0</v>
      </c>
      <c r="N142" s="4">
        <f t="shared" si="47"/>
        <v>6780</v>
      </c>
      <c r="O142" s="14">
        <f t="shared" si="48"/>
        <v>0.86523736600306278</v>
      </c>
      <c r="P142" s="4">
        <v>20</v>
      </c>
      <c r="Q142" s="4">
        <f t="shared" si="49"/>
        <v>1000</v>
      </c>
      <c r="R142" s="4">
        <f t="shared" si="50"/>
        <v>1000000</v>
      </c>
      <c r="S142" s="4">
        <v>2548.6799999999998</v>
      </c>
      <c r="T142" s="4">
        <f t="shared" si="51"/>
        <v>50973.599999999999</v>
      </c>
      <c r="U142" s="4">
        <v>1820.94</v>
      </c>
      <c r="V142" s="4">
        <v>2400</v>
      </c>
    </row>
    <row r="143" spans="1:22" x14ac:dyDescent="0.35">
      <c r="A143" s="3">
        <v>37</v>
      </c>
      <c r="B143" s="2">
        <v>45971</v>
      </c>
      <c r="C143" s="4"/>
      <c r="D143" s="18"/>
      <c r="E143" s="4">
        <f t="shared" si="52"/>
        <v>7834</v>
      </c>
      <c r="F143" s="4">
        <v>1</v>
      </c>
      <c r="G143" s="14">
        <f t="shared" si="44"/>
        <v>1.2764871074802145E-4</v>
      </c>
      <c r="H143" s="4"/>
      <c r="I143" s="4">
        <f t="shared" si="45"/>
        <v>7833</v>
      </c>
      <c r="J143" s="4">
        <v>226</v>
      </c>
      <c r="K143" s="4">
        <f t="shared" si="46"/>
        <v>6780</v>
      </c>
      <c r="L143" s="4">
        <v>0</v>
      </c>
      <c r="M143" s="4">
        <v>0</v>
      </c>
      <c r="N143" s="4">
        <f t="shared" si="47"/>
        <v>6780</v>
      </c>
      <c r="O143" s="14">
        <f t="shared" si="48"/>
        <v>0.86545825887158545</v>
      </c>
      <c r="P143" s="4">
        <v>20</v>
      </c>
      <c r="Q143" s="4">
        <f t="shared" si="49"/>
        <v>1000</v>
      </c>
      <c r="R143" s="4">
        <f t="shared" si="50"/>
        <v>1000000</v>
      </c>
      <c r="S143" s="4">
        <v>2548.6799999999998</v>
      </c>
      <c r="T143" s="4">
        <f t="shared" si="51"/>
        <v>50973.599999999999</v>
      </c>
      <c r="U143" s="4">
        <v>1820.94</v>
      </c>
      <c r="V143" s="4">
        <v>2400</v>
      </c>
    </row>
    <row r="144" spans="1:22" x14ac:dyDescent="0.35">
      <c r="A144" s="3">
        <v>38</v>
      </c>
      <c r="B144" s="2">
        <v>45972</v>
      </c>
      <c r="C144" s="4"/>
      <c r="D144" s="18"/>
      <c r="E144" s="4">
        <f t="shared" si="52"/>
        <v>7833</v>
      </c>
      <c r="F144" s="4">
        <v>2</v>
      </c>
      <c r="G144" s="14">
        <f t="shared" si="44"/>
        <v>2.5533001404315077E-4</v>
      </c>
      <c r="H144" s="4"/>
      <c r="I144" s="4">
        <f t="shared" si="45"/>
        <v>7831</v>
      </c>
      <c r="J144" s="4">
        <v>230</v>
      </c>
      <c r="K144" s="4">
        <f t="shared" si="46"/>
        <v>6900</v>
      </c>
      <c r="L144" s="4">
        <v>0</v>
      </c>
      <c r="M144" s="4">
        <v>0</v>
      </c>
      <c r="N144" s="4">
        <f t="shared" si="47"/>
        <v>6900</v>
      </c>
      <c r="O144" s="14">
        <f t="shared" si="48"/>
        <v>0.88088854844887021</v>
      </c>
      <c r="P144" s="4">
        <v>20</v>
      </c>
      <c r="Q144" s="4">
        <f t="shared" si="49"/>
        <v>1000</v>
      </c>
      <c r="R144" s="4">
        <f t="shared" si="50"/>
        <v>1000000</v>
      </c>
      <c r="S144" s="4">
        <v>2547.1799999999998</v>
      </c>
      <c r="T144" s="4">
        <f t="shared" si="51"/>
        <v>50943.6</v>
      </c>
      <c r="U144" s="4">
        <v>1820.94</v>
      </c>
      <c r="V144" s="4">
        <v>2500</v>
      </c>
    </row>
    <row r="145" spans="1:22" x14ac:dyDescent="0.35">
      <c r="A145" s="3">
        <v>38</v>
      </c>
      <c r="B145" s="2">
        <v>45973</v>
      </c>
      <c r="C145" s="4"/>
      <c r="D145" s="18"/>
      <c r="E145" s="4">
        <f t="shared" si="52"/>
        <v>7831</v>
      </c>
      <c r="F145" s="4">
        <v>4</v>
      </c>
      <c r="G145" s="14">
        <f t="shared" si="44"/>
        <v>5.1079044821861826E-4</v>
      </c>
      <c r="H145" s="4"/>
      <c r="I145" s="4">
        <f t="shared" si="45"/>
        <v>7827</v>
      </c>
      <c r="J145" s="4">
        <v>235</v>
      </c>
      <c r="K145" s="4">
        <f t="shared" si="46"/>
        <v>7050</v>
      </c>
      <c r="L145" s="4">
        <v>8</v>
      </c>
      <c r="M145" s="4">
        <v>0</v>
      </c>
      <c r="N145" s="4">
        <f t="shared" si="47"/>
        <v>7058</v>
      </c>
      <c r="O145" s="14">
        <f t="shared" si="48"/>
        <v>0.90128974588175204</v>
      </c>
      <c r="P145" s="4">
        <v>20</v>
      </c>
      <c r="Q145" s="4">
        <f t="shared" si="49"/>
        <v>1000</v>
      </c>
      <c r="R145" s="4">
        <f t="shared" si="50"/>
        <v>1000000</v>
      </c>
      <c r="S145" s="4">
        <v>2537.6799999999998</v>
      </c>
      <c r="T145" s="4">
        <f t="shared" si="51"/>
        <v>50753.599999999999</v>
      </c>
      <c r="U145" s="4">
        <v>1820.94</v>
      </c>
      <c r="V145" s="4">
        <v>2500</v>
      </c>
    </row>
    <row r="146" spans="1:22" x14ac:dyDescent="0.35">
      <c r="A146" s="3">
        <v>38</v>
      </c>
      <c r="B146" s="2">
        <v>45974</v>
      </c>
      <c r="C146" s="4"/>
      <c r="D146" s="18"/>
      <c r="E146" s="4">
        <f t="shared" si="52"/>
        <v>7827</v>
      </c>
      <c r="F146" s="4">
        <v>4</v>
      </c>
      <c r="G146" s="14">
        <f t="shared" si="44"/>
        <v>5.1105148843746007E-4</v>
      </c>
      <c r="H146" s="14"/>
      <c r="I146" s="4">
        <f t="shared" si="45"/>
        <v>7823</v>
      </c>
      <c r="J146" s="4">
        <v>238</v>
      </c>
      <c r="K146" s="4">
        <f t="shared" si="46"/>
        <v>7140</v>
      </c>
      <c r="L146" s="4">
        <v>6</v>
      </c>
      <c r="M146" s="4">
        <v>0</v>
      </c>
      <c r="N146" s="4">
        <f t="shared" si="47"/>
        <v>7146</v>
      </c>
      <c r="O146" s="14">
        <f t="shared" si="48"/>
        <v>0.91299348409352243</v>
      </c>
      <c r="P146" s="4">
        <v>20</v>
      </c>
      <c r="Q146" s="4">
        <f t="shared" si="49"/>
        <v>1000</v>
      </c>
      <c r="R146" s="4">
        <f t="shared" si="50"/>
        <v>1000000</v>
      </c>
      <c r="S146" s="4">
        <v>2537.6799999999998</v>
      </c>
      <c r="T146" s="4">
        <f t="shared" si="51"/>
        <v>50753.599999999999</v>
      </c>
      <c r="U146" s="4">
        <v>1820.94</v>
      </c>
      <c r="V146" s="4">
        <v>2500</v>
      </c>
    </row>
    <row r="147" spans="1:22" x14ac:dyDescent="0.35">
      <c r="A147" s="3">
        <v>38</v>
      </c>
      <c r="B147" s="2">
        <v>45975</v>
      </c>
      <c r="C147" s="4"/>
      <c r="D147" s="18"/>
      <c r="E147" s="4">
        <f t="shared" si="52"/>
        <v>7823</v>
      </c>
      <c r="F147" s="4">
        <v>3</v>
      </c>
      <c r="G147" s="14">
        <f t="shared" si="44"/>
        <v>3.8348459670203247E-4</v>
      </c>
      <c r="H147" s="4"/>
      <c r="I147" s="4">
        <f t="shared" si="45"/>
        <v>7820</v>
      </c>
      <c r="J147" s="4">
        <v>237</v>
      </c>
      <c r="K147" s="4">
        <f t="shared" si="46"/>
        <v>7110</v>
      </c>
      <c r="L147" s="4">
        <v>3</v>
      </c>
      <c r="M147" s="4">
        <v>0</v>
      </c>
      <c r="N147" s="4">
        <f t="shared" si="47"/>
        <v>7113</v>
      </c>
      <c r="O147" s="14">
        <f t="shared" si="48"/>
        <v>0.90924197878051893</v>
      </c>
      <c r="P147" s="4">
        <v>20</v>
      </c>
      <c r="Q147" s="4">
        <f t="shared" si="49"/>
        <v>1000</v>
      </c>
      <c r="R147" s="4">
        <f t="shared" si="50"/>
        <v>1000000</v>
      </c>
      <c r="S147" s="4">
        <v>2537.6799999999998</v>
      </c>
      <c r="T147" s="4">
        <f t="shared" si="51"/>
        <v>50753.599999999999</v>
      </c>
      <c r="U147" s="4">
        <v>1820.94</v>
      </c>
      <c r="V147" s="4">
        <v>2500</v>
      </c>
    </row>
    <row r="148" spans="1:22" x14ac:dyDescent="0.35">
      <c r="A148" s="3">
        <v>38</v>
      </c>
      <c r="B148" s="2">
        <v>45976</v>
      </c>
      <c r="C148" s="4"/>
      <c r="D148" s="18"/>
      <c r="E148" s="4">
        <f t="shared" si="52"/>
        <v>7820</v>
      </c>
      <c r="F148" s="4">
        <v>4</v>
      </c>
      <c r="G148" s="14">
        <f t="shared" si="44"/>
        <v>5.1150895140664957E-4</v>
      </c>
      <c r="H148" s="4"/>
      <c r="I148" s="4">
        <f t="shared" si="45"/>
        <v>7816</v>
      </c>
      <c r="J148" s="4">
        <v>237</v>
      </c>
      <c r="K148" s="4">
        <f t="shared" si="46"/>
        <v>7110</v>
      </c>
      <c r="L148" s="4">
        <v>3</v>
      </c>
      <c r="M148" s="4">
        <v>0</v>
      </c>
      <c r="N148" s="4">
        <f t="shared" si="47"/>
        <v>7113</v>
      </c>
      <c r="O148" s="14">
        <f t="shared" si="48"/>
        <v>0.90959079283887467</v>
      </c>
      <c r="P148" s="4">
        <v>20</v>
      </c>
      <c r="Q148" s="4">
        <f t="shared" si="49"/>
        <v>1000</v>
      </c>
      <c r="R148" s="4">
        <f t="shared" si="50"/>
        <v>1000000</v>
      </c>
      <c r="S148" s="4">
        <v>2537.6799999999998</v>
      </c>
      <c r="T148" s="4">
        <f t="shared" si="51"/>
        <v>50753.599999999999</v>
      </c>
      <c r="U148" s="4">
        <v>1820.94</v>
      </c>
      <c r="V148" s="4">
        <v>2200</v>
      </c>
    </row>
    <row r="149" spans="1:22" x14ac:dyDescent="0.35">
      <c r="A149" s="3">
        <v>38</v>
      </c>
      <c r="B149" s="2">
        <v>45977</v>
      </c>
      <c r="C149" s="4"/>
      <c r="D149" s="18"/>
      <c r="E149" s="4">
        <f t="shared" si="52"/>
        <v>7816</v>
      </c>
      <c r="F149" s="4">
        <v>3</v>
      </c>
      <c r="G149" s="14">
        <f t="shared" si="44"/>
        <v>3.8382804503582393E-4</v>
      </c>
      <c r="H149" s="4"/>
      <c r="I149" s="4">
        <f t="shared" si="45"/>
        <v>7813</v>
      </c>
      <c r="J149" s="4">
        <v>235</v>
      </c>
      <c r="K149" s="4">
        <f t="shared" si="46"/>
        <v>7050</v>
      </c>
      <c r="L149" s="4">
        <v>3</v>
      </c>
      <c r="M149" s="4">
        <v>0</v>
      </c>
      <c r="N149" s="4">
        <f t="shared" si="47"/>
        <v>7053</v>
      </c>
      <c r="O149" s="14">
        <f t="shared" si="48"/>
        <v>0.9023797338792221</v>
      </c>
      <c r="P149" s="4">
        <v>19</v>
      </c>
      <c r="Q149" s="4">
        <f t="shared" si="49"/>
        <v>950</v>
      </c>
      <c r="R149" s="4">
        <f t="shared" si="50"/>
        <v>950000</v>
      </c>
      <c r="S149" s="4">
        <v>2537.6799999999998</v>
      </c>
      <c r="T149" s="4">
        <f t="shared" si="51"/>
        <v>48215.92</v>
      </c>
      <c r="U149" s="4">
        <v>1820.94</v>
      </c>
      <c r="V149" s="4">
        <v>1800</v>
      </c>
    </row>
    <row r="150" spans="1:22" x14ac:dyDescent="0.35">
      <c r="A150" s="3">
        <v>38</v>
      </c>
      <c r="B150" s="2">
        <v>45978</v>
      </c>
      <c r="C150" s="4"/>
      <c r="D150" s="18"/>
      <c r="E150" s="4">
        <f t="shared" si="52"/>
        <v>7813</v>
      </c>
      <c r="F150" s="4">
        <v>3</v>
      </c>
      <c r="G150" s="14">
        <f t="shared" si="44"/>
        <v>3.8397542557276333E-4</v>
      </c>
      <c r="H150" s="4"/>
      <c r="I150" s="4">
        <f t="shared" si="45"/>
        <v>7810</v>
      </c>
      <c r="J150" s="4">
        <v>233</v>
      </c>
      <c r="K150" s="4">
        <f t="shared" si="46"/>
        <v>6990</v>
      </c>
      <c r="L150" s="4">
        <v>3</v>
      </c>
      <c r="M150" s="4">
        <v>0</v>
      </c>
      <c r="N150" s="4">
        <f t="shared" si="47"/>
        <v>6993</v>
      </c>
      <c r="O150" s="14">
        <f t="shared" si="48"/>
        <v>0.8950467170101114</v>
      </c>
      <c r="P150" s="4">
        <v>19</v>
      </c>
      <c r="Q150" s="4">
        <f t="shared" si="49"/>
        <v>950</v>
      </c>
      <c r="R150" s="4">
        <f t="shared" si="50"/>
        <v>950000</v>
      </c>
      <c r="S150" s="4">
        <v>2537.6799999999998</v>
      </c>
      <c r="T150" s="4">
        <f t="shared" si="51"/>
        <v>48215.92</v>
      </c>
      <c r="U150" s="4">
        <v>1820.94</v>
      </c>
      <c r="V150" s="4">
        <v>3500</v>
      </c>
    </row>
    <row r="151" spans="1:22" x14ac:dyDescent="0.35">
      <c r="A151" s="3">
        <v>39</v>
      </c>
      <c r="B151" s="2">
        <v>45979</v>
      </c>
      <c r="C151" s="4"/>
      <c r="D151" s="18"/>
      <c r="E151" s="4">
        <f t="shared" si="52"/>
        <v>7810</v>
      </c>
      <c r="F151" s="4">
        <v>2</v>
      </c>
      <c r="G151" s="14">
        <f t="shared" si="44"/>
        <v>2.5608194622279127E-4</v>
      </c>
      <c r="H151" s="4"/>
      <c r="I151" s="4">
        <f t="shared" si="45"/>
        <v>7808</v>
      </c>
      <c r="J151" s="4">
        <v>231</v>
      </c>
      <c r="K151" s="4">
        <f t="shared" si="46"/>
        <v>6930</v>
      </c>
      <c r="L151" s="4">
        <v>3</v>
      </c>
      <c r="M151" s="4">
        <v>0</v>
      </c>
      <c r="N151" s="4">
        <f t="shared" si="47"/>
        <v>6933</v>
      </c>
      <c r="O151" s="14">
        <f t="shared" si="48"/>
        <v>0.88770806658130597</v>
      </c>
      <c r="P151" s="4">
        <v>19</v>
      </c>
      <c r="Q151" s="4">
        <f t="shared" si="49"/>
        <v>950</v>
      </c>
      <c r="R151" s="4">
        <f t="shared" si="50"/>
        <v>950000</v>
      </c>
      <c r="S151" s="4">
        <v>2537.6799999999998</v>
      </c>
      <c r="T151" s="4">
        <f t="shared" si="51"/>
        <v>48215.92</v>
      </c>
      <c r="U151" s="4">
        <v>1820.94</v>
      </c>
      <c r="V151" s="4">
        <v>2500</v>
      </c>
    </row>
    <row r="152" spans="1:22" x14ac:dyDescent="0.35">
      <c r="A152" s="3">
        <v>39</v>
      </c>
      <c r="B152" s="2">
        <v>45980</v>
      </c>
      <c r="C152" s="4"/>
      <c r="D152" s="18"/>
      <c r="E152" s="4">
        <f t="shared" si="52"/>
        <v>7808</v>
      </c>
      <c r="F152" s="4">
        <v>2</v>
      </c>
      <c r="G152" s="14">
        <f t="shared" si="44"/>
        <v>2.5614754098360657E-4</v>
      </c>
      <c r="H152" s="4"/>
      <c r="I152" s="4">
        <f t="shared" si="45"/>
        <v>7806</v>
      </c>
      <c r="J152" s="4">
        <v>232</v>
      </c>
      <c r="K152" s="4">
        <f t="shared" si="46"/>
        <v>6960</v>
      </c>
      <c r="L152" s="4">
        <v>1</v>
      </c>
      <c r="M152" s="4">
        <v>0</v>
      </c>
      <c r="N152" s="4">
        <f t="shared" si="47"/>
        <v>6961</v>
      </c>
      <c r="O152" s="14">
        <f t="shared" ref="O152:O163" si="53">N152/E152</f>
        <v>0.89152151639344257</v>
      </c>
      <c r="P152" s="4">
        <v>18</v>
      </c>
      <c r="Q152" s="4">
        <f t="shared" si="49"/>
        <v>900</v>
      </c>
      <c r="R152" s="4">
        <f t="shared" si="50"/>
        <v>900000</v>
      </c>
      <c r="S152" s="4">
        <v>2537.6799999999998</v>
      </c>
      <c r="T152" s="4">
        <f t="shared" si="51"/>
        <v>45678.239999999998</v>
      </c>
      <c r="U152" s="4">
        <v>1820.94</v>
      </c>
      <c r="V152" s="4">
        <v>2400</v>
      </c>
    </row>
    <row r="153" spans="1:22" x14ac:dyDescent="0.35">
      <c r="A153" s="3">
        <v>39</v>
      </c>
      <c r="B153" s="2">
        <v>45981</v>
      </c>
      <c r="C153" s="4"/>
      <c r="D153" s="18"/>
      <c r="E153" s="4">
        <f t="shared" si="52"/>
        <v>7806</v>
      </c>
      <c r="F153" s="4">
        <v>2</v>
      </c>
      <c r="G153" s="14">
        <f t="shared" si="44"/>
        <v>2.5621316935690495E-4</v>
      </c>
      <c r="H153" s="4"/>
      <c r="I153" s="4">
        <f t="shared" si="45"/>
        <v>7804</v>
      </c>
      <c r="J153" s="4">
        <v>234</v>
      </c>
      <c r="K153" s="4">
        <f t="shared" si="46"/>
        <v>7020</v>
      </c>
      <c r="L153" s="4">
        <v>2</v>
      </c>
      <c r="M153" s="4">
        <v>0</v>
      </c>
      <c r="N153" s="4">
        <f t="shared" si="47"/>
        <v>7022</v>
      </c>
      <c r="O153" s="14">
        <f t="shared" si="53"/>
        <v>0.89956443761209326</v>
      </c>
      <c r="P153" s="4">
        <v>20</v>
      </c>
      <c r="Q153" s="4">
        <f t="shared" si="49"/>
        <v>1000</v>
      </c>
      <c r="R153" s="4">
        <f t="shared" si="50"/>
        <v>1000000</v>
      </c>
      <c r="S153" s="4">
        <v>2537.6799999999998</v>
      </c>
      <c r="T153" s="4">
        <f t="shared" si="51"/>
        <v>50753.599999999999</v>
      </c>
      <c r="U153" s="4">
        <v>1820.94</v>
      </c>
      <c r="V153" s="4">
        <v>2400</v>
      </c>
    </row>
    <row r="154" spans="1:22" x14ac:dyDescent="0.35">
      <c r="A154" s="3">
        <v>39</v>
      </c>
      <c r="B154" s="2">
        <v>45982</v>
      </c>
      <c r="C154" s="4"/>
      <c r="D154" s="18"/>
      <c r="E154" s="4">
        <f t="shared" si="52"/>
        <v>7804</v>
      </c>
      <c r="F154" s="4">
        <v>2</v>
      </c>
      <c r="G154" s="14">
        <f t="shared" si="44"/>
        <v>2.5627883136852895E-4</v>
      </c>
      <c r="H154" s="4"/>
      <c r="I154" s="4">
        <f t="shared" si="45"/>
        <v>7802</v>
      </c>
      <c r="J154" s="4">
        <v>234</v>
      </c>
      <c r="K154" s="4">
        <f t="shared" si="46"/>
        <v>7020</v>
      </c>
      <c r="L154" s="4">
        <v>2</v>
      </c>
      <c r="M154" s="4">
        <v>0</v>
      </c>
      <c r="N154" s="4">
        <f t="shared" si="47"/>
        <v>7022</v>
      </c>
      <c r="O154" s="14">
        <f t="shared" si="53"/>
        <v>0.89979497693490518</v>
      </c>
      <c r="P154" s="4">
        <v>21</v>
      </c>
      <c r="Q154" s="4">
        <f t="shared" si="49"/>
        <v>1050</v>
      </c>
      <c r="R154" s="4">
        <f t="shared" si="50"/>
        <v>1050000</v>
      </c>
      <c r="S154" s="4">
        <v>2537.6799999999998</v>
      </c>
      <c r="T154" s="4">
        <f t="shared" si="51"/>
        <v>53291.28</v>
      </c>
      <c r="U154" s="4">
        <v>1820.94</v>
      </c>
      <c r="V154" s="4">
        <v>2500</v>
      </c>
    </row>
    <row r="155" spans="1:22" x14ac:dyDescent="0.35">
      <c r="A155" s="3">
        <v>39</v>
      </c>
      <c r="B155" s="2">
        <v>45983</v>
      </c>
      <c r="C155" s="4"/>
      <c r="D155" s="18"/>
      <c r="E155" s="4">
        <f t="shared" si="52"/>
        <v>7802</v>
      </c>
      <c r="F155" s="4">
        <v>1</v>
      </c>
      <c r="G155" s="14">
        <f t="shared" si="44"/>
        <v>1.281722635221738E-4</v>
      </c>
      <c r="H155" s="4"/>
      <c r="I155" s="4">
        <f t="shared" si="45"/>
        <v>7801</v>
      </c>
      <c r="J155" s="4">
        <v>234</v>
      </c>
      <c r="K155" s="4">
        <f t="shared" si="46"/>
        <v>7020</v>
      </c>
      <c r="L155" s="4">
        <v>0</v>
      </c>
      <c r="M155" s="4">
        <v>0</v>
      </c>
      <c r="N155" s="4">
        <f t="shared" si="47"/>
        <v>7020</v>
      </c>
      <c r="O155" s="14">
        <f t="shared" si="53"/>
        <v>0.89976928992566008</v>
      </c>
      <c r="P155" s="4">
        <v>20</v>
      </c>
      <c r="Q155" s="4">
        <f t="shared" si="49"/>
        <v>1000</v>
      </c>
      <c r="R155" s="4">
        <f t="shared" si="50"/>
        <v>1000000</v>
      </c>
      <c r="S155" s="4">
        <v>2537.6799999999998</v>
      </c>
      <c r="T155" s="4">
        <f t="shared" si="51"/>
        <v>50753.599999999999</v>
      </c>
      <c r="U155" s="4">
        <v>1820.94</v>
      </c>
      <c r="V155" s="4">
        <v>2400</v>
      </c>
    </row>
    <row r="156" spans="1:22" x14ac:dyDescent="0.35">
      <c r="A156" s="3">
        <v>39</v>
      </c>
      <c r="B156" s="2">
        <v>45984</v>
      </c>
      <c r="C156" s="4"/>
      <c r="D156" s="18"/>
      <c r="E156" s="4">
        <f t="shared" si="52"/>
        <v>7801</v>
      </c>
      <c r="F156" s="4">
        <v>3</v>
      </c>
      <c r="G156" s="14">
        <f t="shared" si="44"/>
        <v>3.8456608127163182E-4</v>
      </c>
      <c r="H156" s="4"/>
      <c r="I156" s="4">
        <f t="shared" si="45"/>
        <v>7798</v>
      </c>
      <c r="J156" s="4">
        <v>233</v>
      </c>
      <c r="K156" s="4">
        <f t="shared" si="46"/>
        <v>6990</v>
      </c>
      <c r="L156" s="4">
        <v>0</v>
      </c>
      <c r="M156" s="4">
        <v>0</v>
      </c>
      <c r="N156" s="4">
        <f t="shared" si="47"/>
        <v>6990</v>
      </c>
      <c r="O156" s="14">
        <f t="shared" si="53"/>
        <v>0.89603896936290217</v>
      </c>
      <c r="P156" s="4">
        <v>20</v>
      </c>
      <c r="Q156" s="4">
        <f t="shared" si="49"/>
        <v>1000</v>
      </c>
      <c r="R156" s="4">
        <f t="shared" si="50"/>
        <v>1000000</v>
      </c>
      <c r="S156" s="4">
        <v>2537.6799999999998</v>
      </c>
      <c r="T156" s="4">
        <f t="shared" si="51"/>
        <v>50753.599999999999</v>
      </c>
      <c r="U156" s="4">
        <v>1820.94</v>
      </c>
      <c r="V156" s="4">
        <v>2400</v>
      </c>
    </row>
    <row r="157" spans="1:22" x14ac:dyDescent="0.35">
      <c r="A157" s="3">
        <v>39</v>
      </c>
      <c r="B157" s="2">
        <v>45985</v>
      </c>
      <c r="C157" s="4"/>
      <c r="D157" s="18"/>
      <c r="E157" s="4">
        <f t="shared" si="52"/>
        <v>7798</v>
      </c>
      <c r="F157" s="4">
        <v>2</v>
      </c>
      <c r="G157" s="14">
        <f t="shared" si="44"/>
        <v>2.5647601949217746E-4</v>
      </c>
      <c r="H157" s="4"/>
      <c r="I157" s="4">
        <f t="shared" si="45"/>
        <v>7796</v>
      </c>
      <c r="J157" s="4">
        <v>233</v>
      </c>
      <c r="K157" s="4">
        <f t="shared" si="46"/>
        <v>6990</v>
      </c>
      <c r="L157" s="4">
        <v>0</v>
      </c>
      <c r="M157" s="4">
        <v>0</v>
      </c>
      <c r="N157" s="4">
        <f t="shared" si="47"/>
        <v>6990</v>
      </c>
      <c r="O157" s="14">
        <f t="shared" si="53"/>
        <v>0.89638368812516034</v>
      </c>
      <c r="P157" s="4">
        <v>20</v>
      </c>
      <c r="Q157" s="4">
        <f t="shared" si="49"/>
        <v>1000</v>
      </c>
      <c r="R157" s="4">
        <f t="shared" si="50"/>
        <v>1000000</v>
      </c>
      <c r="S157" s="4">
        <v>2537.6799999999998</v>
      </c>
      <c r="T157" s="4">
        <f t="shared" si="51"/>
        <v>50753.599999999999</v>
      </c>
      <c r="U157" s="4">
        <v>1820.94</v>
      </c>
      <c r="V157" s="4">
        <v>2400</v>
      </c>
    </row>
    <row r="158" spans="1:22" x14ac:dyDescent="0.35">
      <c r="A158" s="3">
        <v>40</v>
      </c>
      <c r="B158" s="2">
        <v>45986</v>
      </c>
      <c r="C158" s="4"/>
      <c r="D158" s="18"/>
      <c r="E158" s="4">
        <f t="shared" si="52"/>
        <v>7796</v>
      </c>
      <c r="F158" s="4">
        <v>1</v>
      </c>
      <c r="G158" s="14">
        <f t="shared" si="44"/>
        <v>1.2827090815802975E-4</v>
      </c>
      <c r="H158" s="4"/>
      <c r="I158" s="4">
        <f t="shared" si="45"/>
        <v>7795</v>
      </c>
      <c r="J158" s="4">
        <v>234</v>
      </c>
      <c r="K158" s="4">
        <f t="shared" si="46"/>
        <v>7020</v>
      </c>
      <c r="L158" s="4">
        <v>1</v>
      </c>
      <c r="M158" s="4">
        <v>0</v>
      </c>
      <c r="N158" s="4">
        <f t="shared" si="47"/>
        <v>7021</v>
      </c>
      <c r="O158" s="14">
        <f t="shared" si="53"/>
        <v>0.90059004617752692</v>
      </c>
      <c r="P158" s="4">
        <v>20</v>
      </c>
      <c r="Q158" s="4">
        <f t="shared" si="49"/>
        <v>1000</v>
      </c>
      <c r="R158" s="4">
        <f t="shared" si="50"/>
        <v>1000000</v>
      </c>
      <c r="S158" s="4">
        <v>2537.6799999999998</v>
      </c>
      <c r="T158" s="4">
        <f t="shared" si="51"/>
        <v>50753.599999999999</v>
      </c>
      <c r="U158" s="4">
        <v>1820.94</v>
      </c>
      <c r="V158" s="4">
        <v>2500</v>
      </c>
    </row>
    <row r="159" spans="1:22" x14ac:dyDescent="0.35">
      <c r="A159" s="3">
        <v>40</v>
      </c>
      <c r="B159" s="2">
        <v>45987</v>
      </c>
      <c r="C159" s="4"/>
      <c r="D159" s="18"/>
      <c r="E159" s="4">
        <f t="shared" si="52"/>
        <v>7795</v>
      </c>
      <c r="F159" s="4">
        <v>3</v>
      </c>
      <c r="G159" s="14">
        <f t="shared" si="44"/>
        <v>3.8486209108402821E-4</v>
      </c>
      <c r="H159" s="4"/>
      <c r="I159" s="4">
        <f t="shared" si="45"/>
        <v>7792</v>
      </c>
      <c r="J159" s="4">
        <v>235</v>
      </c>
      <c r="K159" s="4">
        <f t="shared" si="46"/>
        <v>7050</v>
      </c>
      <c r="L159" s="4">
        <v>0</v>
      </c>
      <c r="M159" s="4">
        <v>0</v>
      </c>
      <c r="N159" s="4">
        <f t="shared" si="47"/>
        <v>7050</v>
      </c>
      <c r="O159" s="14">
        <f t="shared" si="53"/>
        <v>0.90442591404746631</v>
      </c>
      <c r="P159" s="4">
        <v>20</v>
      </c>
      <c r="Q159" s="4">
        <f t="shared" si="49"/>
        <v>1000</v>
      </c>
      <c r="R159" s="4">
        <f t="shared" si="50"/>
        <v>1000000</v>
      </c>
      <c r="S159" s="4">
        <v>2537.6799999999998</v>
      </c>
      <c r="T159" s="4">
        <f t="shared" si="51"/>
        <v>50753.599999999999</v>
      </c>
      <c r="U159" s="4">
        <v>1820.94</v>
      </c>
      <c r="V159" s="4">
        <v>2500</v>
      </c>
    </row>
    <row r="160" spans="1:22" x14ac:dyDescent="0.35">
      <c r="A160" s="3">
        <v>40</v>
      </c>
      <c r="B160" s="2">
        <v>45988</v>
      </c>
      <c r="C160" s="4"/>
      <c r="D160" s="18"/>
      <c r="E160" s="4">
        <f t="shared" si="52"/>
        <v>7792</v>
      </c>
      <c r="F160" s="4">
        <v>2</v>
      </c>
      <c r="G160" s="14">
        <f t="shared" si="44"/>
        <v>2.5667351129363451E-4</v>
      </c>
      <c r="H160" s="4"/>
      <c r="I160" s="4">
        <f t="shared" si="45"/>
        <v>7790</v>
      </c>
      <c r="J160" s="4">
        <v>236</v>
      </c>
      <c r="K160" s="4">
        <f t="shared" si="46"/>
        <v>7080</v>
      </c>
      <c r="L160" s="4">
        <v>0</v>
      </c>
      <c r="M160" s="4">
        <v>0</v>
      </c>
      <c r="N160" s="4">
        <f>K160+L160-M160</f>
        <v>7080</v>
      </c>
      <c r="O160" s="14">
        <f t="shared" si="53"/>
        <v>0.90862422997946612</v>
      </c>
      <c r="P160" s="4">
        <v>20</v>
      </c>
      <c r="Q160" s="4">
        <f t="shared" si="49"/>
        <v>1000</v>
      </c>
      <c r="R160" s="4">
        <f t="shared" si="50"/>
        <v>1000000</v>
      </c>
      <c r="S160" s="4">
        <v>2537.6799999999998</v>
      </c>
      <c r="T160" s="4">
        <f t="shared" si="51"/>
        <v>50753.599999999999</v>
      </c>
      <c r="U160" s="4">
        <v>1820.94</v>
      </c>
      <c r="V160" s="4">
        <v>2500</v>
      </c>
    </row>
    <row r="161" spans="1:22" x14ac:dyDescent="0.35">
      <c r="A161" s="3">
        <v>40</v>
      </c>
      <c r="B161" s="2">
        <v>45989</v>
      </c>
      <c r="C161" s="4"/>
      <c r="D161" s="18"/>
      <c r="E161" s="4">
        <f t="shared" si="52"/>
        <v>7790</v>
      </c>
      <c r="F161" s="4">
        <v>1</v>
      </c>
      <c r="G161" s="14">
        <f t="shared" si="44"/>
        <v>1.2836970474967908E-4</v>
      </c>
      <c r="H161" s="4"/>
      <c r="I161" s="4">
        <f t="shared" si="45"/>
        <v>7789</v>
      </c>
      <c r="J161" s="4">
        <v>235</v>
      </c>
      <c r="K161" s="4">
        <f t="shared" si="46"/>
        <v>7050</v>
      </c>
      <c r="L161" s="4">
        <v>0</v>
      </c>
      <c r="M161" s="4">
        <v>0</v>
      </c>
      <c r="N161" s="4">
        <f>K161+L161-M161</f>
        <v>7050</v>
      </c>
      <c r="O161" s="14">
        <f t="shared" si="53"/>
        <v>0.90500641848523744</v>
      </c>
      <c r="P161" s="4">
        <v>20</v>
      </c>
      <c r="Q161" s="4">
        <f t="shared" si="49"/>
        <v>1000</v>
      </c>
      <c r="R161" s="4">
        <f t="shared" si="50"/>
        <v>1000000</v>
      </c>
      <c r="S161" s="4">
        <v>2537.6799999999998</v>
      </c>
      <c r="T161" s="4">
        <f t="shared" si="51"/>
        <v>50753.599999999999</v>
      </c>
      <c r="U161" s="4">
        <v>1820.94</v>
      </c>
      <c r="V161" s="4">
        <v>2600</v>
      </c>
    </row>
    <row r="162" spans="1:22" x14ac:dyDescent="0.35">
      <c r="A162" s="3">
        <v>40</v>
      </c>
      <c r="B162" s="2">
        <v>45990</v>
      </c>
      <c r="C162" s="4"/>
      <c r="D162" s="18"/>
      <c r="E162" s="4">
        <f t="shared" si="52"/>
        <v>7789</v>
      </c>
      <c r="F162" s="4">
        <v>2</v>
      </c>
      <c r="G162" s="14">
        <f t="shared" si="44"/>
        <v>2.567723712928489E-4</v>
      </c>
      <c r="H162" s="4"/>
      <c r="I162" s="4">
        <f t="shared" si="45"/>
        <v>7787</v>
      </c>
      <c r="J162" s="4">
        <v>235</v>
      </c>
      <c r="K162" s="4">
        <f t="shared" si="46"/>
        <v>7050</v>
      </c>
      <c r="L162" s="4">
        <v>0</v>
      </c>
      <c r="M162" s="4">
        <v>0</v>
      </c>
      <c r="N162" s="4">
        <f>K162+L162-M162</f>
        <v>7050</v>
      </c>
      <c r="O162" s="14">
        <f t="shared" si="53"/>
        <v>0.90512260880729234</v>
      </c>
      <c r="P162" s="4">
        <v>20</v>
      </c>
      <c r="Q162" s="4">
        <f t="shared" si="49"/>
        <v>1000</v>
      </c>
      <c r="R162" s="4">
        <f t="shared" si="50"/>
        <v>1000000</v>
      </c>
      <c r="S162" s="4">
        <v>2537.6799999999998</v>
      </c>
      <c r="T162" s="4">
        <f t="shared" si="51"/>
        <v>50753.599999999999</v>
      </c>
      <c r="U162" s="4">
        <v>1820.94</v>
      </c>
      <c r="V162" s="4">
        <v>2500</v>
      </c>
    </row>
    <row r="163" spans="1:22" x14ac:dyDescent="0.35">
      <c r="A163" s="3">
        <v>40</v>
      </c>
      <c r="B163" s="2">
        <v>45991</v>
      </c>
      <c r="C163" s="4"/>
      <c r="D163" s="18"/>
      <c r="E163" s="4">
        <f t="shared" si="52"/>
        <v>7787</v>
      </c>
      <c r="F163" s="4">
        <v>0</v>
      </c>
      <c r="G163" s="14">
        <f t="shared" si="44"/>
        <v>0</v>
      </c>
      <c r="H163" s="4"/>
      <c r="I163" s="4">
        <f t="shared" si="45"/>
        <v>7787</v>
      </c>
      <c r="J163" s="4">
        <v>235</v>
      </c>
      <c r="K163" s="4">
        <f t="shared" si="46"/>
        <v>7050</v>
      </c>
      <c r="L163" s="4">
        <v>0</v>
      </c>
      <c r="M163" s="4">
        <v>0</v>
      </c>
      <c r="N163" s="4">
        <f>K163+L163-M163</f>
        <v>7050</v>
      </c>
      <c r="O163" s="14">
        <f t="shared" si="53"/>
        <v>0.90535507897778345</v>
      </c>
      <c r="P163" s="4">
        <v>20</v>
      </c>
      <c r="Q163" s="4">
        <f t="shared" si="49"/>
        <v>1000</v>
      </c>
      <c r="R163" s="4">
        <f t="shared" si="50"/>
        <v>1000000</v>
      </c>
      <c r="S163" s="4">
        <v>2537.6799999999998</v>
      </c>
      <c r="T163" s="4">
        <f t="shared" si="51"/>
        <v>50753.599999999999</v>
      </c>
      <c r="U163" s="4">
        <v>1820.94</v>
      </c>
      <c r="V163" s="4">
        <v>2600</v>
      </c>
    </row>
    <row r="164" spans="1:22" x14ac:dyDescent="0.35">
      <c r="A164" s="3"/>
      <c r="B164" s="2"/>
      <c r="C164" s="4"/>
      <c r="D164" s="18"/>
      <c r="E164" s="4"/>
      <c r="F164" s="4">
        <f>SUM(F134:F163)</f>
        <v>69</v>
      </c>
      <c r="G164" s="14"/>
      <c r="H164" s="4"/>
      <c r="I164" s="4"/>
      <c r="J164" s="4"/>
      <c r="K164" s="4"/>
      <c r="L164" s="4"/>
      <c r="M164" s="4"/>
      <c r="N164" s="4"/>
      <c r="O164" s="14"/>
      <c r="P164" s="4"/>
      <c r="Q164" s="4"/>
      <c r="R164" s="4"/>
      <c r="S164" s="4"/>
      <c r="T164" s="4"/>
    </row>
    <row r="165" spans="1:22" x14ac:dyDescent="0.35">
      <c r="A165" s="3"/>
      <c r="B165" s="2"/>
      <c r="C165" s="4"/>
      <c r="D165" s="18"/>
      <c r="E165" s="4"/>
      <c r="F165" s="4"/>
      <c r="G165" s="14"/>
      <c r="H165" s="4"/>
      <c r="I165" s="4"/>
      <c r="J165" s="4"/>
      <c r="K165" s="4"/>
      <c r="L165" s="4"/>
      <c r="M165" s="4"/>
      <c r="N165" s="4"/>
      <c r="O165" s="14"/>
      <c r="P165" s="4"/>
      <c r="Q165" s="4"/>
      <c r="R165" s="4"/>
      <c r="S165" s="4"/>
      <c r="T165" s="4"/>
    </row>
    <row r="166" spans="1:22" x14ac:dyDescent="0.35">
      <c r="A166" s="1" t="s">
        <v>20</v>
      </c>
      <c r="B166" s="37" t="s">
        <v>1</v>
      </c>
      <c r="C166" s="38" t="s">
        <v>19</v>
      </c>
      <c r="D166" s="38" t="s">
        <v>18</v>
      </c>
      <c r="E166" s="39" t="s">
        <v>2</v>
      </c>
      <c r="F166" s="40" t="s">
        <v>3</v>
      </c>
      <c r="G166" s="41" t="s">
        <v>4</v>
      </c>
      <c r="H166" s="40" t="s">
        <v>5</v>
      </c>
      <c r="I166" s="42" t="s">
        <v>6</v>
      </c>
      <c r="J166" s="43" t="s">
        <v>7</v>
      </c>
      <c r="K166" s="40" t="s">
        <v>8</v>
      </c>
      <c r="L166" s="40" t="s">
        <v>9</v>
      </c>
      <c r="M166" s="40" t="s">
        <v>10</v>
      </c>
      <c r="N166" s="40" t="s">
        <v>11</v>
      </c>
      <c r="O166" s="44" t="s">
        <v>12</v>
      </c>
      <c r="P166" s="43" t="s">
        <v>13</v>
      </c>
      <c r="Q166" s="40" t="s">
        <v>14</v>
      </c>
      <c r="R166" s="45" t="s">
        <v>15</v>
      </c>
      <c r="S166" s="46" t="s">
        <v>16</v>
      </c>
      <c r="T166" s="47" t="s">
        <v>17</v>
      </c>
      <c r="U166" s="48" t="s">
        <v>22</v>
      </c>
      <c r="V166" s="48" t="s">
        <v>24</v>
      </c>
    </row>
    <row r="167" spans="1:22" x14ac:dyDescent="0.35">
      <c r="A167" s="3">
        <v>40</v>
      </c>
      <c r="B167" s="2">
        <v>45992</v>
      </c>
      <c r="C167" s="18"/>
      <c r="D167" s="18"/>
      <c r="E167" s="4">
        <v>7787</v>
      </c>
      <c r="F167" s="4">
        <v>2</v>
      </c>
      <c r="G167" s="14">
        <f t="shared" ref="G167:G173" si="54">F167/E167</f>
        <v>2.5683832027738541E-4</v>
      </c>
      <c r="H167" s="4"/>
      <c r="I167" s="4">
        <f t="shared" ref="I167:I197" si="55">E167-F167-H167</f>
        <v>7785</v>
      </c>
      <c r="J167" s="4">
        <v>230</v>
      </c>
      <c r="K167" s="4">
        <f t="shared" ref="K167:K197" si="56">J167*30</f>
        <v>6900</v>
      </c>
      <c r="L167" s="4">
        <v>0</v>
      </c>
      <c r="M167" s="4">
        <v>0</v>
      </c>
      <c r="N167" s="4">
        <f t="shared" ref="N167:N197" si="57">K167+L167-M167</f>
        <v>6900</v>
      </c>
      <c r="O167" s="14">
        <f t="shared" ref="O167:O197" si="58">N167/E167</f>
        <v>0.8860922049569796</v>
      </c>
      <c r="P167" s="4">
        <v>19</v>
      </c>
      <c r="Q167" s="4">
        <f t="shared" ref="Q167:Q197" si="59">P167*50</f>
        <v>950</v>
      </c>
      <c r="R167" s="4">
        <f t="shared" ref="R167:R197" si="60">Q167*1000</f>
        <v>950000</v>
      </c>
      <c r="S167" s="4">
        <v>2541.33</v>
      </c>
      <c r="T167" s="4">
        <f t="shared" ref="T167:T184" si="61">P167*S167</f>
        <v>48285.27</v>
      </c>
      <c r="U167" s="4">
        <v>1820.94</v>
      </c>
      <c r="V167" s="4">
        <v>2100</v>
      </c>
    </row>
    <row r="168" spans="1:22" x14ac:dyDescent="0.35">
      <c r="A168" s="3">
        <v>41</v>
      </c>
      <c r="B168" s="2">
        <v>45993</v>
      </c>
      <c r="C168" s="4"/>
      <c r="D168" s="18"/>
      <c r="E168" s="4">
        <f t="shared" ref="E168:E197" si="62">I167</f>
        <v>7785</v>
      </c>
      <c r="F168" s="4">
        <v>1</v>
      </c>
      <c r="G168" s="14">
        <f t="shared" si="54"/>
        <v>1.2845215157353886E-4</v>
      </c>
      <c r="H168" s="4"/>
      <c r="I168" s="4">
        <f t="shared" si="55"/>
        <v>7784</v>
      </c>
      <c r="J168" s="4">
        <v>235</v>
      </c>
      <c r="K168" s="4">
        <f t="shared" si="56"/>
        <v>7050</v>
      </c>
      <c r="L168" s="4">
        <v>3</v>
      </c>
      <c r="M168" s="4">
        <v>0</v>
      </c>
      <c r="N168" s="4">
        <f t="shared" si="57"/>
        <v>7053</v>
      </c>
      <c r="O168" s="14">
        <f t="shared" si="58"/>
        <v>0.90597302504816957</v>
      </c>
      <c r="P168" s="4">
        <v>19</v>
      </c>
      <c r="Q168" s="4">
        <f t="shared" si="59"/>
        <v>950</v>
      </c>
      <c r="R168" s="4">
        <f t="shared" si="60"/>
        <v>950000</v>
      </c>
      <c r="S168" s="4">
        <v>2541.33</v>
      </c>
      <c r="T168" s="4">
        <f t="shared" si="61"/>
        <v>48285.27</v>
      </c>
      <c r="U168" s="4">
        <v>1820.94</v>
      </c>
      <c r="V168" s="4"/>
    </row>
    <row r="169" spans="1:22" x14ac:dyDescent="0.35">
      <c r="A169" s="3">
        <v>41</v>
      </c>
      <c r="B169" s="2">
        <v>45994</v>
      </c>
      <c r="C169" s="19"/>
      <c r="D169" s="19"/>
      <c r="E169" s="4">
        <f t="shared" si="62"/>
        <v>7784</v>
      </c>
      <c r="F169" s="4">
        <v>0</v>
      </c>
      <c r="G169" s="14">
        <f t="shared" si="54"/>
        <v>0</v>
      </c>
      <c r="H169" s="7"/>
      <c r="I169" s="4">
        <f t="shared" si="55"/>
        <v>7784</v>
      </c>
      <c r="J169" s="4">
        <v>235</v>
      </c>
      <c r="K169" s="4">
        <f t="shared" si="56"/>
        <v>7050</v>
      </c>
      <c r="L169" s="4">
        <v>2</v>
      </c>
      <c r="M169" s="4">
        <v>0</v>
      </c>
      <c r="N169" s="4">
        <f t="shared" si="57"/>
        <v>7052</v>
      </c>
      <c r="O169" s="14">
        <f t="shared" si="58"/>
        <v>0.90596094552929085</v>
      </c>
      <c r="P169" s="4">
        <v>19</v>
      </c>
      <c r="Q169" s="4">
        <f t="shared" si="59"/>
        <v>950</v>
      </c>
      <c r="R169" s="4">
        <f t="shared" si="60"/>
        <v>950000</v>
      </c>
      <c r="S169" s="4">
        <v>2541.33</v>
      </c>
      <c r="T169" s="4">
        <f t="shared" si="61"/>
        <v>48285.27</v>
      </c>
      <c r="U169" s="4">
        <v>1820.94</v>
      </c>
      <c r="V169" s="4">
        <v>2400</v>
      </c>
    </row>
    <row r="170" spans="1:22" x14ac:dyDescent="0.35">
      <c r="A170" s="3">
        <v>41</v>
      </c>
      <c r="B170" s="2">
        <v>45995</v>
      </c>
      <c r="C170" s="4"/>
      <c r="D170" s="18"/>
      <c r="E170" s="4">
        <f t="shared" si="62"/>
        <v>7784</v>
      </c>
      <c r="F170" s="4">
        <v>3</v>
      </c>
      <c r="G170" s="14">
        <f t="shared" si="54"/>
        <v>3.8540596094552927E-4</v>
      </c>
      <c r="H170" s="4"/>
      <c r="I170" s="4">
        <f t="shared" si="55"/>
        <v>7781</v>
      </c>
      <c r="J170" s="4">
        <v>232</v>
      </c>
      <c r="K170" s="4">
        <f t="shared" si="56"/>
        <v>6960</v>
      </c>
      <c r="L170" s="4">
        <v>0</v>
      </c>
      <c r="M170" s="4">
        <v>0</v>
      </c>
      <c r="N170" s="4">
        <f t="shared" si="57"/>
        <v>6960</v>
      </c>
      <c r="O170" s="14">
        <f t="shared" si="58"/>
        <v>0.89414182939362796</v>
      </c>
      <c r="P170" s="4">
        <v>19</v>
      </c>
      <c r="Q170" s="4">
        <f t="shared" si="59"/>
        <v>950</v>
      </c>
      <c r="R170" s="4">
        <f t="shared" si="60"/>
        <v>950000</v>
      </c>
      <c r="S170" s="4">
        <v>2541.33</v>
      </c>
      <c r="T170" s="4">
        <f t="shared" si="61"/>
        <v>48285.27</v>
      </c>
      <c r="U170" s="4">
        <v>1820.94</v>
      </c>
      <c r="V170" s="4">
        <v>2400</v>
      </c>
    </row>
    <row r="171" spans="1:22" x14ac:dyDescent="0.35">
      <c r="A171" s="3">
        <v>41</v>
      </c>
      <c r="B171" s="2">
        <v>45996</v>
      </c>
      <c r="C171" s="4"/>
      <c r="D171" s="18"/>
      <c r="E171" s="4">
        <f t="shared" si="62"/>
        <v>7781</v>
      </c>
      <c r="F171" s="4">
        <v>1</v>
      </c>
      <c r="G171" s="14">
        <f t="shared" si="54"/>
        <v>1.2851818532322323E-4</v>
      </c>
      <c r="H171" s="4"/>
      <c r="I171" s="4">
        <f t="shared" si="55"/>
        <v>7780</v>
      </c>
      <c r="J171" s="4">
        <v>232</v>
      </c>
      <c r="K171" s="4">
        <f t="shared" si="56"/>
        <v>6960</v>
      </c>
      <c r="L171" s="4">
        <v>0</v>
      </c>
      <c r="M171" s="4">
        <v>0</v>
      </c>
      <c r="N171" s="4">
        <f t="shared" si="57"/>
        <v>6960</v>
      </c>
      <c r="O171" s="14">
        <f t="shared" si="58"/>
        <v>0.89448656984963371</v>
      </c>
      <c r="P171" s="4">
        <v>19</v>
      </c>
      <c r="Q171" s="4">
        <f t="shared" si="59"/>
        <v>950</v>
      </c>
      <c r="R171" s="4">
        <f t="shared" si="60"/>
        <v>950000</v>
      </c>
      <c r="S171" s="4">
        <v>2541.33</v>
      </c>
      <c r="T171" s="4">
        <f t="shared" si="61"/>
        <v>48285.27</v>
      </c>
      <c r="U171" s="4">
        <v>1820.94</v>
      </c>
      <c r="V171" s="4">
        <v>2600</v>
      </c>
    </row>
    <row r="172" spans="1:22" x14ac:dyDescent="0.35">
      <c r="A172" s="3">
        <v>41</v>
      </c>
      <c r="B172" s="2">
        <v>45997</v>
      </c>
      <c r="C172" s="4"/>
      <c r="D172" s="18"/>
      <c r="E172" s="4">
        <f t="shared" si="62"/>
        <v>7780</v>
      </c>
      <c r="F172" s="4">
        <v>2</v>
      </c>
      <c r="G172" s="14">
        <f t="shared" si="54"/>
        <v>2.5706940874035988E-4</v>
      </c>
      <c r="H172" s="4"/>
      <c r="I172" s="4">
        <f t="shared" si="55"/>
        <v>7778</v>
      </c>
      <c r="J172" s="4">
        <v>231</v>
      </c>
      <c r="K172" s="4">
        <f t="shared" si="56"/>
        <v>6930</v>
      </c>
      <c r="L172" s="4">
        <v>0</v>
      </c>
      <c r="M172" s="4">
        <v>0</v>
      </c>
      <c r="N172" s="4">
        <f t="shared" si="57"/>
        <v>6930</v>
      </c>
      <c r="O172" s="14">
        <f t="shared" si="58"/>
        <v>0.89074550128534702</v>
      </c>
      <c r="P172" s="4">
        <v>19</v>
      </c>
      <c r="Q172" s="4">
        <f t="shared" si="59"/>
        <v>950</v>
      </c>
      <c r="R172" s="4">
        <f t="shared" si="60"/>
        <v>950000</v>
      </c>
      <c r="S172" s="4">
        <v>2541.33</v>
      </c>
      <c r="T172" s="4">
        <f t="shared" si="61"/>
        <v>48285.27</v>
      </c>
      <c r="U172" s="4">
        <v>1820.94</v>
      </c>
      <c r="V172" s="4">
        <v>2500</v>
      </c>
    </row>
    <row r="173" spans="1:22" x14ac:dyDescent="0.35">
      <c r="A173" s="3">
        <v>41</v>
      </c>
      <c r="B173" s="2">
        <v>45998</v>
      </c>
      <c r="C173" s="4"/>
      <c r="D173" s="18"/>
      <c r="E173" s="4">
        <f t="shared" si="62"/>
        <v>7778</v>
      </c>
      <c r="F173" s="4">
        <v>3</v>
      </c>
      <c r="G173" s="14">
        <f t="shared" si="54"/>
        <v>3.8570326562098228E-4</v>
      </c>
      <c r="H173" s="4"/>
      <c r="I173" s="4">
        <f t="shared" si="55"/>
        <v>7775</v>
      </c>
      <c r="J173" s="4">
        <v>232</v>
      </c>
      <c r="K173" s="4">
        <f t="shared" si="56"/>
        <v>6960</v>
      </c>
      <c r="L173" s="4">
        <v>0</v>
      </c>
      <c r="M173" s="4">
        <v>0</v>
      </c>
      <c r="N173" s="4">
        <f t="shared" si="57"/>
        <v>6960</v>
      </c>
      <c r="O173" s="14">
        <f t="shared" si="58"/>
        <v>0.89483157624067888</v>
      </c>
      <c r="P173" s="4">
        <v>19</v>
      </c>
      <c r="Q173" s="4">
        <f t="shared" si="59"/>
        <v>950</v>
      </c>
      <c r="R173" s="4">
        <f t="shared" si="60"/>
        <v>950000</v>
      </c>
      <c r="S173" s="4">
        <v>2541.33</v>
      </c>
      <c r="T173" s="4">
        <f t="shared" si="61"/>
        <v>48285.27</v>
      </c>
      <c r="U173" s="4">
        <v>1820.94</v>
      </c>
      <c r="V173" s="4">
        <v>2600</v>
      </c>
    </row>
    <row r="174" spans="1:22" x14ac:dyDescent="0.35">
      <c r="A174" s="3">
        <v>41</v>
      </c>
      <c r="B174" s="2">
        <v>45999</v>
      </c>
      <c r="C174" s="4"/>
      <c r="D174" s="18"/>
      <c r="E174" s="4">
        <f t="shared" si="62"/>
        <v>7775</v>
      </c>
      <c r="F174" s="4">
        <v>2</v>
      </c>
      <c r="G174" s="14">
        <f t="shared" ref="G174:G182" si="63">F174/E174</f>
        <v>2.5723472668810288E-4</v>
      </c>
      <c r="H174" s="4"/>
      <c r="I174" s="4">
        <f t="shared" si="55"/>
        <v>7773</v>
      </c>
      <c r="J174" s="4">
        <v>229</v>
      </c>
      <c r="K174" s="4">
        <f t="shared" si="56"/>
        <v>6870</v>
      </c>
      <c r="L174" s="4">
        <v>0</v>
      </c>
      <c r="M174" s="4">
        <v>0</v>
      </c>
      <c r="N174" s="4">
        <f t="shared" si="57"/>
        <v>6870</v>
      </c>
      <c r="O174" s="14">
        <f t="shared" si="58"/>
        <v>0.88360128617363343</v>
      </c>
      <c r="P174" s="4">
        <v>19</v>
      </c>
      <c r="Q174" s="4">
        <f t="shared" si="59"/>
        <v>950</v>
      </c>
      <c r="R174" s="4">
        <f t="shared" si="60"/>
        <v>950000</v>
      </c>
      <c r="S174" s="4">
        <v>2541.33</v>
      </c>
      <c r="T174" s="4">
        <f t="shared" si="61"/>
        <v>48285.27</v>
      </c>
      <c r="U174" s="4">
        <v>1820.94</v>
      </c>
      <c r="V174" s="4">
        <v>2600</v>
      </c>
    </row>
    <row r="175" spans="1:22" x14ac:dyDescent="0.35">
      <c r="A175" s="3">
        <v>42</v>
      </c>
      <c r="B175" s="2">
        <v>46000</v>
      </c>
      <c r="C175" s="4"/>
      <c r="D175" s="18"/>
      <c r="E175" s="4">
        <f t="shared" si="62"/>
        <v>7773</v>
      </c>
      <c r="F175" s="4">
        <v>1</v>
      </c>
      <c r="G175" s="14">
        <f t="shared" si="63"/>
        <v>1.2865045670912132E-4</v>
      </c>
      <c r="H175" s="4"/>
      <c r="I175" s="4">
        <f t="shared" si="55"/>
        <v>7772</v>
      </c>
      <c r="J175" s="4">
        <v>229</v>
      </c>
      <c r="K175" s="4">
        <f t="shared" si="56"/>
        <v>6870</v>
      </c>
      <c r="L175" s="4">
        <v>0</v>
      </c>
      <c r="M175" s="4">
        <v>0</v>
      </c>
      <c r="N175" s="4">
        <f t="shared" si="57"/>
        <v>6870</v>
      </c>
      <c r="O175" s="14">
        <f t="shared" si="58"/>
        <v>0.88382863759166341</v>
      </c>
      <c r="P175" s="4">
        <v>19</v>
      </c>
      <c r="Q175" s="4">
        <f t="shared" si="59"/>
        <v>950</v>
      </c>
      <c r="R175" s="4">
        <f t="shared" si="60"/>
        <v>950000</v>
      </c>
      <c r="S175" s="4">
        <v>2541.33</v>
      </c>
      <c r="T175" s="4">
        <f t="shared" si="61"/>
        <v>48285.27</v>
      </c>
      <c r="U175" s="4">
        <v>1820.94</v>
      </c>
      <c r="V175" s="4">
        <v>3700</v>
      </c>
    </row>
    <row r="176" spans="1:22" x14ac:dyDescent="0.35">
      <c r="A176" s="3">
        <v>42</v>
      </c>
      <c r="B176" s="2">
        <v>46001</v>
      </c>
      <c r="C176" s="4"/>
      <c r="D176" s="18"/>
      <c r="E176" s="4">
        <f t="shared" si="62"/>
        <v>7772</v>
      </c>
      <c r="F176" s="4">
        <v>0</v>
      </c>
      <c r="G176" s="14">
        <f t="shared" si="63"/>
        <v>0</v>
      </c>
      <c r="H176" s="4"/>
      <c r="I176" s="4">
        <f t="shared" si="55"/>
        <v>7772</v>
      </c>
      <c r="J176" s="4">
        <v>230</v>
      </c>
      <c r="K176" s="4">
        <f t="shared" si="56"/>
        <v>6900</v>
      </c>
      <c r="L176" s="4">
        <v>0</v>
      </c>
      <c r="M176" s="4">
        <v>0</v>
      </c>
      <c r="N176" s="4">
        <f t="shared" si="57"/>
        <v>6900</v>
      </c>
      <c r="O176" s="14">
        <f t="shared" si="58"/>
        <v>0.88780236747297991</v>
      </c>
      <c r="P176" s="4">
        <v>19</v>
      </c>
      <c r="Q176" s="4">
        <f t="shared" si="59"/>
        <v>950</v>
      </c>
      <c r="R176" s="4">
        <f t="shared" si="60"/>
        <v>950000</v>
      </c>
      <c r="S176" s="4">
        <v>2541.33</v>
      </c>
      <c r="T176" s="4">
        <f t="shared" si="61"/>
        <v>48285.27</v>
      </c>
      <c r="U176" s="4">
        <v>1820.94</v>
      </c>
      <c r="V176" s="4">
        <v>2200</v>
      </c>
    </row>
    <row r="177" spans="1:22" x14ac:dyDescent="0.35">
      <c r="A177" s="3">
        <v>42</v>
      </c>
      <c r="B177" s="2">
        <v>46002</v>
      </c>
      <c r="C177" s="4"/>
      <c r="D177" s="18"/>
      <c r="E177" s="4">
        <f t="shared" si="62"/>
        <v>7772</v>
      </c>
      <c r="F177" s="4">
        <v>2</v>
      </c>
      <c r="G177" s="14">
        <f t="shared" si="63"/>
        <v>2.5733401955738551E-4</v>
      </c>
      <c r="H177" s="4"/>
      <c r="I177" s="4">
        <f t="shared" si="55"/>
        <v>7770</v>
      </c>
      <c r="J177" s="4">
        <v>231</v>
      </c>
      <c r="K177" s="4">
        <f t="shared" si="56"/>
        <v>6930</v>
      </c>
      <c r="L177" s="4">
        <v>0</v>
      </c>
      <c r="M177" s="4">
        <v>0</v>
      </c>
      <c r="N177" s="4">
        <f t="shared" si="57"/>
        <v>6930</v>
      </c>
      <c r="O177" s="14">
        <f t="shared" si="58"/>
        <v>0.89166237776634072</v>
      </c>
      <c r="P177" s="4">
        <v>19</v>
      </c>
      <c r="Q177" s="4">
        <f t="shared" si="59"/>
        <v>950</v>
      </c>
      <c r="R177" s="4">
        <f t="shared" si="60"/>
        <v>950000</v>
      </c>
      <c r="S177" s="4">
        <v>2541.33</v>
      </c>
      <c r="T177" s="4">
        <f t="shared" si="61"/>
        <v>48285.27</v>
      </c>
      <c r="U177" s="4">
        <v>1820.94</v>
      </c>
      <c r="V177" s="4">
        <v>2500</v>
      </c>
    </row>
    <row r="178" spans="1:22" x14ac:dyDescent="0.35">
      <c r="A178" s="3">
        <v>42</v>
      </c>
      <c r="B178" s="2">
        <v>46003</v>
      </c>
      <c r="C178" s="4"/>
      <c r="D178" s="18"/>
      <c r="E178" s="4">
        <f t="shared" si="62"/>
        <v>7770</v>
      </c>
      <c r="F178" s="4">
        <v>2</v>
      </c>
      <c r="G178" s="14">
        <f t="shared" si="63"/>
        <v>2.5740025740025738E-4</v>
      </c>
      <c r="H178" s="4"/>
      <c r="I178" s="4">
        <f t="shared" si="55"/>
        <v>7768</v>
      </c>
      <c r="J178" s="4">
        <v>230</v>
      </c>
      <c r="K178" s="4">
        <f t="shared" si="56"/>
        <v>6900</v>
      </c>
      <c r="L178" s="4">
        <v>0</v>
      </c>
      <c r="M178" s="4">
        <v>0</v>
      </c>
      <c r="N178" s="4">
        <f t="shared" si="57"/>
        <v>6900</v>
      </c>
      <c r="O178" s="14">
        <f t="shared" si="58"/>
        <v>0.88803088803088803</v>
      </c>
      <c r="P178" s="4">
        <v>19</v>
      </c>
      <c r="Q178" s="4">
        <f t="shared" si="59"/>
        <v>950</v>
      </c>
      <c r="R178" s="4">
        <f t="shared" si="60"/>
        <v>950000</v>
      </c>
      <c r="S178" s="4">
        <v>2541.33</v>
      </c>
      <c r="T178" s="4">
        <f t="shared" si="61"/>
        <v>48285.27</v>
      </c>
      <c r="U178" s="4">
        <v>1820.94</v>
      </c>
      <c r="V178" s="4">
        <v>2300</v>
      </c>
    </row>
    <row r="179" spans="1:22" x14ac:dyDescent="0.35">
      <c r="A179" s="3">
        <v>42</v>
      </c>
      <c r="B179" s="2">
        <v>46004</v>
      </c>
      <c r="C179" s="4"/>
      <c r="D179" s="18"/>
      <c r="E179" s="4">
        <f t="shared" si="62"/>
        <v>7768</v>
      </c>
      <c r="F179" s="4">
        <v>0</v>
      </c>
      <c r="G179" s="14">
        <f t="shared" si="63"/>
        <v>0</v>
      </c>
      <c r="H179" s="4"/>
      <c r="I179" s="4">
        <f t="shared" si="55"/>
        <v>7768</v>
      </c>
      <c r="J179" s="4">
        <v>231</v>
      </c>
      <c r="K179" s="4">
        <f t="shared" si="56"/>
        <v>6930</v>
      </c>
      <c r="L179" s="4">
        <v>0</v>
      </c>
      <c r="M179" s="4">
        <v>0</v>
      </c>
      <c r="N179" s="4">
        <f t="shared" si="57"/>
        <v>6930</v>
      </c>
      <c r="O179" s="14">
        <f t="shared" si="58"/>
        <v>0.89212152420185376</v>
      </c>
      <c r="P179" s="4">
        <v>20</v>
      </c>
      <c r="Q179" s="4">
        <f t="shared" si="59"/>
        <v>1000</v>
      </c>
      <c r="R179" s="4">
        <f t="shared" si="60"/>
        <v>1000000</v>
      </c>
      <c r="S179" s="4">
        <v>2541.33</v>
      </c>
      <c r="T179" s="4">
        <f t="shared" si="61"/>
        <v>50826.6</v>
      </c>
      <c r="U179" s="4">
        <v>1820.94</v>
      </c>
      <c r="V179" s="4">
        <v>2300</v>
      </c>
    </row>
    <row r="180" spans="1:22" x14ac:dyDescent="0.35">
      <c r="A180" s="3">
        <v>42</v>
      </c>
      <c r="B180" s="2">
        <v>46005</v>
      </c>
      <c r="C180" s="4"/>
      <c r="D180" s="18"/>
      <c r="E180" s="4">
        <f t="shared" si="62"/>
        <v>7768</v>
      </c>
      <c r="F180" s="4">
        <v>2</v>
      </c>
      <c r="G180" s="14">
        <f t="shared" si="63"/>
        <v>2.5746652935118434E-4</v>
      </c>
      <c r="H180" s="4"/>
      <c r="I180" s="4">
        <f t="shared" si="55"/>
        <v>7766</v>
      </c>
      <c r="J180" s="4">
        <v>231</v>
      </c>
      <c r="K180" s="4">
        <f t="shared" si="56"/>
        <v>6930</v>
      </c>
      <c r="L180" s="4">
        <v>0</v>
      </c>
      <c r="M180" s="4">
        <v>0</v>
      </c>
      <c r="N180" s="4">
        <f t="shared" si="57"/>
        <v>6930</v>
      </c>
      <c r="O180" s="14">
        <f t="shared" si="58"/>
        <v>0.89212152420185376</v>
      </c>
      <c r="P180" s="4">
        <v>19</v>
      </c>
      <c r="Q180" s="4">
        <f t="shared" si="59"/>
        <v>950</v>
      </c>
      <c r="R180" s="4">
        <f t="shared" si="60"/>
        <v>950000</v>
      </c>
      <c r="S180" s="4">
        <v>2541.33</v>
      </c>
      <c r="T180" s="4">
        <f t="shared" si="61"/>
        <v>48285.27</v>
      </c>
      <c r="U180" s="4">
        <v>1820.94</v>
      </c>
      <c r="V180" s="4">
        <v>2500</v>
      </c>
    </row>
    <row r="181" spans="1:22" x14ac:dyDescent="0.35">
      <c r="A181" s="3">
        <v>42</v>
      </c>
      <c r="B181" s="2">
        <v>46006</v>
      </c>
      <c r="C181" s="4"/>
      <c r="D181" s="18"/>
      <c r="E181" s="4">
        <f t="shared" si="62"/>
        <v>7766</v>
      </c>
      <c r="F181" s="4">
        <v>3</v>
      </c>
      <c r="G181" s="14">
        <f t="shared" si="63"/>
        <v>3.8629925315477725E-4</v>
      </c>
      <c r="H181" s="4"/>
      <c r="I181" s="4">
        <f t="shared" si="55"/>
        <v>7763</v>
      </c>
      <c r="J181" s="4">
        <v>229</v>
      </c>
      <c r="K181" s="4">
        <f t="shared" si="56"/>
        <v>6870</v>
      </c>
      <c r="L181" s="4">
        <v>0</v>
      </c>
      <c r="M181" s="4">
        <v>0</v>
      </c>
      <c r="N181" s="4">
        <f t="shared" si="57"/>
        <v>6870</v>
      </c>
      <c r="O181" s="14">
        <f t="shared" si="58"/>
        <v>0.88462528972443988</v>
      </c>
      <c r="P181" s="4">
        <v>20</v>
      </c>
      <c r="Q181" s="4">
        <f t="shared" si="59"/>
        <v>1000</v>
      </c>
      <c r="R181" s="4">
        <f t="shared" si="60"/>
        <v>1000000</v>
      </c>
      <c r="S181" s="4">
        <v>2541.33</v>
      </c>
      <c r="T181" s="4">
        <f t="shared" si="61"/>
        <v>50826.6</v>
      </c>
      <c r="U181" s="4">
        <v>1820.94</v>
      </c>
      <c r="V181" s="4">
        <v>2400</v>
      </c>
    </row>
    <row r="182" spans="1:22" x14ac:dyDescent="0.35">
      <c r="A182" s="3">
        <v>43</v>
      </c>
      <c r="B182" s="2">
        <v>46007</v>
      </c>
      <c r="C182" s="4"/>
      <c r="D182" s="18"/>
      <c r="E182" s="4">
        <f t="shared" si="62"/>
        <v>7763</v>
      </c>
      <c r="F182" s="4">
        <v>2</v>
      </c>
      <c r="G182" s="14">
        <f t="shared" si="63"/>
        <v>2.5763235862424319E-4</v>
      </c>
      <c r="H182" s="4"/>
      <c r="I182" s="4">
        <f t="shared" si="55"/>
        <v>7761</v>
      </c>
      <c r="J182" s="4">
        <v>227</v>
      </c>
      <c r="K182" s="4">
        <f t="shared" si="56"/>
        <v>6810</v>
      </c>
      <c r="L182" s="4">
        <v>0</v>
      </c>
      <c r="M182" s="4">
        <v>0</v>
      </c>
      <c r="N182" s="4">
        <f t="shared" si="57"/>
        <v>6810</v>
      </c>
      <c r="O182" s="14">
        <f t="shared" si="58"/>
        <v>0.87723818111554808</v>
      </c>
      <c r="P182" s="4">
        <v>20</v>
      </c>
      <c r="Q182" s="4">
        <f t="shared" si="59"/>
        <v>1000</v>
      </c>
      <c r="R182" s="4">
        <f t="shared" si="60"/>
        <v>1000000</v>
      </c>
      <c r="S182" s="4">
        <v>2541.33</v>
      </c>
      <c r="T182" s="4">
        <f t="shared" si="61"/>
        <v>50826.6</v>
      </c>
      <c r="U182" s="4">
        <v>1820.94</v>
      </c>
      <c r="V182" s="4">
        <v>2400</v>
      </c>
    </row>
    <row r="183" spans="1:22" x14ac:dyDescent="0.35">
      <c r="A183" s="3">
        <v>43</v>
      </c>
      <c r="B183" s="2">
        <v>46008</v>
      </c>
      <c r="C183" s="4"/>
      <c r="D183" s="18"/>
      <c r="E183" s="4">
        <f t="shared" si="62"/>
        <v>7761</v>
      </c>
      <c r="F183" s="4">
        <v>1</v>
      </c>
      <c r="G183" s="14">
        <f t="shared" ref="G183:G197" si="64">F183/E183</f>
        <v>1.2884937508053087E-4</v>
      </c>
      <c r="H183" s="4"/>
      <c r="I183" s="4">
        <f t="shared" si="55"/>
        <v>7760</v>
      </c>
      <c r="J183" s="4">
        <v>229</v>
      </c>
      <c r="K183" s="4">
        <f t="shared" si="56"/>
        <v>6870</v>
      </c>
      <c r="L183" s="4">
        <v>0</v>
      </c>
      <c r="M183" s="4">
        <v>0</v>
      </c>
      <c r="N183" s="4">
        <f t="shared" si="57"/>
        <v>6870</v>
      </c>
      <c r="O183" s="14">
        <f t="shared" si="58"/>
        <v>0.88519520680324704</v>
      </c>
      <c r="P183" s="4">
        <v>20</v>
      </c>
      <c r="Q183" s="4">
        <f t="shared" si="59"/>
        <v>1000</v>
      </c>
      <c r="R183" s="4">
        <f t="shared" si="60"/>
        <v>1000000</v>
      </c>
      <c r="S183" s="4">
        <v>2541.33</v>
      </c>
      <c r="T183" s="4">
        <f t="shared" si="61"/>
        <v>50826.6</v>
      </c>
      <c r="U183" s="4">
        <v>1820.94</v>
      </c>
      <c r="V183" s="4">
        <v>2300</v>
      </c>
    </row>
    <row r="184" spans="1:22" x14ac:dyDescent="0.35">
      <c r="A184" s="3">
        <v>43</v>
      </c>
      <c r="B184" s="2">
        <v>46009</v>
      </c>
      <c r="C184" s="4"/>
      <c r="D184" s="18"/>
      <c r="E184" s="4">
        <f t="shared" si="62"/>
        <v>7760</v>
      </c>
      <c r="F184" s="4">
        <v>0</v>
      </c>
      <c r="G184" s="14">
        <f t="shared" si="64"/>
        <v>0</v>
      </c>
      <c r="H184" s="4"/>
      <c r="I184" s="4">
        <f t="shared" si="55"/>
        <v>7760</v>
      </c>
      <c r="J184" s="4">
        <v>230</v>
      </c>
      <c r="K184" s="4">
        <f t="shared" si="56"/>
        <v>6900</v>
      </c>
      <c r="L184" s="4">
        <v>0</v>
      </c>
      <c r="M184" s="4">
        <v>0</v>
      </c>
      <c r="N184" s="4">
        <f t="shared" si="57"/>
        <v>6900</v>
      </c>
      <c r="O184" s="14">
        <f t="shared" si="58"/>
        <v>0.88917525773195871</v>
      </c>
      <c r="P184" s="4">
        <v>20</v>
      </c>
      <c r="Q184" s="4">
        <f t="shared" si="59"/>
        <v>1000</v>
      </c>
      <c r="R184" s="4">
        <f t="shared" si="60"/>
        <v>1000000</v>
      </c>
      <c r="S184" s="4">
        <v>2541.33</v>
      </c>
      <c r="T184" s="4">
        <f t="shared" si="61"/>
        <v>50826.6</v>
      </c>
      <c r="U184" s="4">
        <v>1820.94</v>
      </c>
      <c r="V184" s="4">
        <v>2500</v>
      </c>
    </row>
    <row r="185" spans="1:22" x14ac:dyDescent="0.35">
      <c r="A185" s="3">
        <v>43</v>
      </c>
      <c r="B185" s="2">
        <v>46010</v>
      </c>
      <c r="C185" s="4"/>
      <c r="D185" s="18"/>
      <c r="E185" s="4">
        <f t="shared" si="62"/>
        <v>7760</v>
      </c>
      <c r="F185" s="4">
        <v>0</v>
      </c>
      <c r="G185" s="14">
        <f t="shared" si="64"/>
        <v>0</v>
      </c>
      <c r="H185" s="4"/>
      <c r="I185" s="4">
        <f t="shared" si="55"/>
        <v>7760</v>
      </c>
      <c r="J185" s="4">
        <v>229</v>
      </c>
      <c r="K185" s="4">
        <f t="shared" si="56"/>
        <v>6870</v>
      </c>
      <c r="L185" s="4">
        <v>0</v>
      </c>
      <c r="M185" s="4">
        <v>0</v>
      </c>
      <c r="N185" s="4">
        <f t="shared" si="57"/>
        <v>6870</v>
      </c>
      <c r="O185" s="14">
        <f t="shared" si="58"/>
        <v>0.88530927835051543</v>
      </c>
      <c r="P185" s="4">
        <v>20</v>
      </c>
      <c r="Q185" s="4">
        <f t="shared" si="59"/>
        <v>1000</v>
      </c>
      <c r="R185" s="4">
        <f t="shared" si="60"/>
        <v>1000000</v>
      </c>
      <c r="S185" s="4">
        <v>2541.33</v>
      </c>
      <c r="T185" s="4">
        <f t="shared" ref="T185:T197" si="65">P185*S185</f>
        <v>50826.6</v>
      </c>
      <c r="U185" s="4">
        <v>1820.94</v>
      </c>
      <c r="V185" s="4">
        <v>2500</v>
      </c>
    </row>
    <row r="186" spans="1:22" x14ac:dyDescent="0.35">
      <c r="A186" s="3">
        <v>43</v>
      </c>
      <c r="B186" s="2">
        <v>46011</v>
      </c>
      <c r="C186" s="4"/>
      <c r="D186" s="18"/>
      <c r="E186" s="4">
        <f t="shared" si="62"/>
        <v>7760</v>
      </c>
      <c r="F186" s="4">
        <v>1</v>
      </c>
      <c r="G186" s="14">
        <f t="shared" si="64"/>
        <v>1.288659793814433E-4</v>
      </c>
      <c r="H186" s="4"/>
      <c r="I186" s="4">
        <f t="shared" si="55"/>
        <v>7759</v>
      </c>
      <c r="J186" s="4">
        <v>228</v>
      </c>
      <c r="K186" s="4">
        <f t="shared" si="56"/>
        <v>6840</v>
      </c>
      <c r="L186" s="4">
        <v>0</v>
      </c>
      <c r="M186" s="4">
        <v>0</v>
      </c>
      <c r="N186" s="4">
        <f t="shared" si="57"/>
        <v>6840</v>
      </c>
      <c r="O186" s="14">
        <f t="shared" si="58"/>
        <v>0.88144329896907214</v>
      </c>
      <c r="P186" s="4">
        <v>20</v>
      </c>
      <c r="Q186" s="4">
        <f t="shared" si="59"/>
        <v>1000</v>
      </c>
      <c r="R186" s="4">
        <f t="shared" si="60"/>
        <v>1000000</v>
      </c>
      <c r="S186" s="4">
        <v>2541.33</v>
      </c>
      <c r="T186" s="4">
        <f t="shared" si="65"/>
        <v>50826.6</v>
      </c>
      <c r="U186" s="4">
        <v>1820.94</v>
      </c>
      <c r="V186" s="4">
        <v>1100</v>
      </c>
    </row>
    <row r="187" spans="1:22" x14ac:dyDescent="0.35">
      <c r="A187" s="3">
        <v>43</v>
      </c>
      <c r="B187" s="2">
        <v>46012</v>
      </c>
      <c r="C187" s="4"/>
      <c r="D187" s="18"/>
      <c r="E187" s="4">
        <f t="shared" si="62"/>
        <v>7759</v>
      </c>
      <c r="F187" s="4">
        <v>2</v>
      </c>
      <c r="G187" s="14">
        <f t="shared" si="64"/>
        <v>2.577651759247326E-4</v>
      </c>
      <c r="H187" s="4"/>
      <c r="I187" s="4">
        <f t="shared" si="55"/>
        <v>7757</v>
      </c>
      <c r="J187" s="4">
        <v>232</v>
      </c>
      <c r="K187" s="4">
        <f t="shared" si="56"/>
        <v>6960</v>
      </c>
      <c r="L187" s="4">
        <v>0</v>
      </c>
      <c r="M187" s="4">
        <v>0</v>
      </c>
      <c r="N187" s="4">
        <f t="shared" si="57"/>
        <v>6960</v>
      </c>
      <c r="O187" s="14">
        <f t="shared" si="58"/>
        <v>0.89702281221806934</v>
      </c>
      <c r="P187" s="4">
        <v>20</v>
      </c>
      <c r="Q187" s="4">
        <f t="shared" si="59"/>
        <v>1000</v>
      </c>
      <c r="R187" s="4">
        <f t="shared" si="60"/>
        <v>1000000</v>
      </c>
      <c r="S187" s="4">
        <v>2541.33</v>
      </c>
      <c r="T187" s="4">
        <f t="shared" si="65"/>
        <v>50826.6</v>
      </c>
      <c r="U187" s="4">
        <v>1820.94</v>
      </c>
      <c r="V187" s="4">
        <v>2100</v>
      </c>
    </row>
    <row r="188" spans="1:22" x14ac:dyDescent="0.35">
      <c r="A188" s="3">
        <v>43</v>
      </c>
      <c r="B188" s="2">
        <v>46013</v>
      </c>
      <c r="C188" s="4"/>
      <c r="D188" s="18"/>
      <c r="E188" s="4">
        <f t="shared" si="62"/>
        <v>7757</v>
      </c>
      <c r="F188" s="4">
        <v>1</v>
      </c>
      <c r="G188" s="14">
        <f t="shared" si="64"/>
        <v>1.2891581797086501E-4</v>
      </c>
      <c r="H188" s="4"/>
      <c r="I188" s="4">
        <f t="shared" si="55"/>
        <v>7756</v>
      </c>
      <c r="J188" s="4">
        <v>233</v>
      </c>
      <c r="K188" s="4">
        <f t="shared" si="56"/>
        <v>6990</v>
      </c>
      <c r="L188" s="4">
        <v>0</v>
      </c>
      <c r="M188" s="4">
        <v>0</v>
      </c>
      <c r="N188" s="4">
        <f t="shared" si="57"/>
        <v>6990</v>
      </c>
      <c r="O188" s="14">
        <f t="shared" si="58"/>
        <v>0.90112156761634654</v>
      </c>
      <c r="P188" s="4">
        <v>20</v>
      </c>
      <c r="Q188" s="4">
        <f t="shared" si="59"/>
        <v>1000</v>
      </c>
      <c r="R188" s="4">
        <f t="shared" si="60"/>
        <v>1000000</v>
      </c>
      <c r="S188" s="4">
        <v>2541.33</v>
      </c>
      <c r="T188" s="4">
        <f t="shared" si="65"/>
        <v>50826.6</v>
      </c>
      <c r="U188" s="4">
        <v>1820.94</v>
      </c>
      <c r="V188" s="4">
        <v>2400</v>
      </c>
    </row>
    <row r="189" spans="1:22" x14ac:dyDescent="0.35">
      <c r="A189" s="3">
        <v>44</v>
      </c>
      <c r="B189" s="2">
        <v>46014</v>
      </c>
      <c r="C189" s="4"/>
      <c r="D189" s="18"/>
      <c r="E189" s="4">
        <f t="shared" si="62"/>
        <v>7756</v>
      </c>
      <c r="F189" s="4">
        <v>3</v>
      </c>
      <c r="G189" s="14">
        <f t="shared" si="64"/>
        <v>3.8679731820526046E-4</v>
      </c>
      <c r="H189" s="4"/>
      <c r="I189" s="4">
        <f t="shared" si="55"/>
        <v>7753</v>
      </c>
      <c r="J189" s="4">
        <v>231</v>
      </c>
      <c r="K189" s="4">
        <f t="shared" si="56"/>
        <v>6930</v>
      </c>
      <c r="L189" s="4">
        <v>0</v>
      </c>
      <c r="M189" s="4">
        <v>0</v>
      </c>
      <c r="N189" s="4">
        <f t="shared" si="57"/>
        <v>6930</v>
      </c>
      <c r="O189" s="14">
        <f t="shared" si="58"/>
        <v>0.89350180505415167</v>
      </c>
      <c r="P189" s="4">
        <v>20</v>
      </c>
      <c r="Q189" s="4">
        <f t="shared" si="59"/>
        <v>1000</v>
      </c>
      <c r="R189" s="4">
        <f t="shared" si="60"/>
        <v>1000000</v>
      </c>
      <c r="S189" s="4">
        <v>2541.33</v>
      </c>
      <c r="T189" s="4">
        <f t="shared" si="65"/>
        <v>50826.6</v>
      </c>
      <c r="U189" s="4">
        <v>1820.94</v>
      </c>
      <c r="V189" s="4">
        <v>2500</v>
      </c>
    </row>
    <row r="190" spans="1:22" x14ac:dyDescent="0.35">
      <c r="A190" s="3">
        <v>44</v>
      </c>
      <c r="B190" s="2">
        <v>46015</v>
      </c>
      <c r="C190" s="4"/>
      <c r="D190" s="18"/>
      <c r="E190" s="4">
        <f t="shared" si="62"/>
        <v>7753</v>
      </c>
      <c r="F190" s="4">
        <v>2</v>
      </c>
      <c r="G190" s="14">
        <f t="shared" si="64"/>
        <v>2.5796465884173866E-4</v>
      </c>
      <c r="H190" s="4"/>
      <c r="I190" s="4">
        <f t="shared" si="55"/>
        <v>7751</v>
      </c>
      <c r="J190" s="4">
        <v>231</v>
      </c>
      <c r="K190" s="4">
        <f t="shared" si="56"/>
        <v>6930</v>
      </c>
      <c r="L190" s="4">
        <v>0</v>
      </c>
      <c r="M190" s="4">
        <v>0</v>
      </c>
      <c r="N190" s="4">
        <f t="shared" si="57"/>
        <v>6930</v>
      </c>
      <c r="O190" s="14">
        <f t="shared" si="58"/>
        <v>0.89384754288662449</v>
      </c>
      <c r="P190" s="4">
        <v>20</v>
      </c>
      <c r="Q190" s="4">
        <f t="shared" si="59"/>
        <v>1000</v>
      </c>
      <c r="R190" s="4">
        <f t="shared" si="60"/>
        <v>1000000</v>
      </c>
      <c r="S190" s="4">
        <v>2541.33</v>
      </c>
      <c r="T190" s="4">
        <f t="shared" si="65"/>
        <v>50826.6</v>
      </c>
      <c r="U190" s="4">
        <v>1820.94</v>
      </c>
      <c r="V190" s="4">
        <v>2600</v>
      </c>
    </row>
    <row r="191" spans="1:22" x14ac:dyDescent="0.35">
      <c r="A191" s="3">
        <v>44</v>
      </c>
      <c r="B191" s="2">
        <v>46016</v>
      </c>
      <c r="C191" s="4"/>
      <c r="D191" s="18"/>
      <c r="E191" s="4">
        <f t="shared" si="62"/>
        <v>7751</v>
      </c>
      <c r="F191" s="4">
        <v>1</v>
      </c>
      <c r="G191" s="14">
        <f t="shared" si="64"/>
        <v>1.2901561088891756E-4</v>
      </c>
      <c r="H191" s="4"/>
      <c r="I191" s="4">
        <f t="shared" si="55"/>
        <v>7750</v>
      </c>
      <c r="J191" s="4">
        <v>231</v>
      </c>
      <c r="K191" s="4">
        <f t="shared" si="56"/>
        <v>6930</v>
      </c>
      <c r="L191" s="4">
        <v>0</v>
      </c>
      <c r="M191" s="4">
        <v>0</v>
      </c>
      <c r="N191" s="4">
        <f t="shared" si="57"/>
        <v>6930</v>
      </c>
      <c r="O191" s="14">
        <f t="shared" si="58"/>
        <v>0.89407818346019874</v>
      </c>
      <c r="P191" s="4">
        <v>20</v>
      </c>
      <c r="Q191" s="4">
        <f t="shared" si="59"/>
        <v>1000</v>
      </c>
      <c r="R191" s="4">
        <f t="shared" si="60"/>
        <v>1000000</v>
      </c>
      <c r="S191" s="4">
        <v>2541.33</v>
      </c>
      <c r="T191" s="4">
        <f t="shared" si="65"/>
        <v>50826.6</v>
      </c>
      <c r="U191" s="4">
        <v>1820.94</v>
      </c>
      <c r="V191" s="4">
        <v>2500</v>
      </c>
    </row>
    <row r="192" spans="1:22" x14ac:dyDescent="0.35">
      <c r="A192" s="3">
        <v>44</v>
      </c>
      <c r="B192" s="2">
        <v>46017</v>
      </c>
      <c r="C192" s="4"/>
      <c r="D192" s="18"/>
      <c r="E192" s="4">
        <f t="shared" si="62"/>
        <v>7750</v>
      </c>
      <c r="F192" s="4">
        <v>2</v>
      </c>
      <c r="G192" s="14">
        <f t="shared" si="64"/>
        <v>2.5806451612903227E-4</v>
      </c>
      <c r="H192" s="4"/>
      <c r="I192" s="4">
        <f t="shared" si="55"/>
        <v>7748</v>
      </c>
      <c r="J192" s="4">
        <v>230</v>
      </c>
      <c r="K192" s="4">
        <f t="shared" si="56"/>
        <v>6900</v>
      </c>
      <c r="L192" s="4">
        <v>0</v>
      </c>
      <c r="M192" s="4">
        <v>0</v>
      </c>
      <c r="N192" s="4">
        <f t="shared" si="57"/>
        <v>6900</v>
      </c>
      <c r="O192" s="14">
        <f t="shared" si="58"/>
        <v>0.89032258064516134</v>
      </c>
      <c r="P192" s="4">
        <v>20</v>
      </c>
      <c r="Q192" s="4">
        <f t="shared" si="59"/>
        <v>1000</v>
      </c>
      <c r="R192" s="4">
        <f t="shared" si="60"/>
        <v>1000000</v>
      </c>
      <c r="S192" s="4">
        <v>2541.33</v>
      </c>
      <c r="T192" s="4">
        <f t="shared" si="65"/>
        <v>50826.6</v>
      </c>
      <c r="U192" s="4">
        <v>1820.94</v>
      </c>
      <c r="V192" s="4">
        <v>2600</v>
      </c>
    </row>
    <row r="193" spans="1:22" x14ac:dyDescent="0.35">
      <c r="A193" s="3">
        <v>44</v>
      </c>
      <c r="B193" s="2">
        <v>46018</v>
      </c>
      <c r="C193" s="4"/>
      <c r="D193" s="18"/>
      <c r="E193" s="4">
        <f t="shared" si="62"/>
        <v>7748</v>
      </c>
      <c r="F193" s="4">
        <v>1</v>
      </c>
      <c r="G193" s="14">
        <f t="shared" si="64"/>
        <v>1.2906556530717606E-4</v>
      </c>
      <c r="H193" s="4"/>
      <c r="I193" s="4">
        <f t="shared" si="55"/>
        <v>7747</v>
      </c>
      <c r="J193" s="4">
        <v>230</v>
      </c>
      <c r="K193" s="4">
        <f t="shared" si="56"/>
        <v>6900</v>
      </c>
      <c r="L193" s="4">
        <v>0</v>
      </c>
      <c r="M193" s="4">
        <v>0</v>
      </c>
      <c r="N193" s="4">
        <f t="shared" si="57"/>
        <v>6900</v>
      </c>
      <c r="O193" s="14">
        <f t="shared" si="58"/>
        <v>0.89055240061951468</v>
      </c>
      <c r="P193" s="4">
        <v>20</v>
      </c>
      <c r="Q193" s="4">
        <f t="shared" si="59"/>
        <v>1000</v>
      </c>
      <c r="R193" s="4">
        <f t="shared" si="60"/>
        <v>1000000</v>
      </c>
      <c r="S193" s="4">
        <v>2724.71</v>
      </c>
      <c r="T193" s="4">
        <f t="shared" si="65"/>
        <v>54494.2</v>
      </c>
      <c r="U193" s="4">
        <v>1820.94</v>
      </c>
      <c r="V193" s="4">
        <v>2600</v>
      </c>
    </row>
    <row r="194" spans="1:22" x14ac:dyDescent="0.35">
      <c r="A194" s="3">
        <v>44</v>
      </c>
      <c r="B194" s="2">
        <v>46019</v>
      </c>
      <c r="C194" s="4"/>
      <c r="D194" s="18"/>
      <c r="E194" s="4">
        <f t="shared" si="62"/>
        <v>7747</v>
      </c>
      <c r="F194" s="4">
        <v>2</v>
      </c>
      <c r="G194" s="14">
        <f t="shared" si="64"/>
        <v>2.5816445075513099E-4</v>
      </c>
      <c r="H194" s="4"/>
      <c r="I194" s="4">
        <f t="shared" si="55"/>
        <v>7745</v>
      </c>
      <c r="J194" s="4">
        <v>230</v>
      </c>
      <c r="K194" s="4">
        <f t="shared" si="56"/>
        <v>6900</v>
      </c>
      <c r="L194" s="4">
        <v>0</v>
      </c>
      <c r="M194" s="4">
        <v>0</v>
      </c>
      <c r="N194" s="4">
        <f t="shared" si="57"/>
        <v>6900</v>
      </c>
      <c r="O194" s="14">
        <f t="shared" si="58"/>
        <v>0.89066735510520201</v>
      </c>
      <c r="P194" s="4">
        <v>20</v>
      </c>
      <c r="Q194" s="4">
        <f t="shared" si="59"/>
        <v>1000</v>
      </c>
      <c r="R194" s="4">
        <f t="shared" si="60"/>
        <v>1000000</v>
      </c>
      <c r="S194" s="4">
        <v>2724.71</v>
      </c>
      <c r="T194" s="4">
        <f t="shared" si="65"/>
        <v>54494.2</v>
      </c>
      <c r="U194" s="4">
        <v>1820.94</v>
      </c>
      <c r="V194" s="4">
        <v>2300</v>
      </c>
    </row>
    <row r="195" spans="1:22" x14ac:dyDescent="0.35">
      <c r="A195" s="3">
        <v>44</v>
      </c>
      <c r="B195" s="2">
        <v>46020</v>
      </c>
      <c r="C195" s="4"/>
      <c r="D195" s="18"/>
      <c r="E195" s="4">
        <f t="shared" si="62"/>
        <v>7745</v>
      </c>
      <c r="F195" s="4">
        <v>0</v>
      </c>
      <c r="G195" s="14">
        <f t="shared" si="64"/>
        <v>0</v>
      </c>
      <c r="H195" s="4"/>
      <c r="I195" s="4">
        <f t="shared" si="55"/>
        <v>7745</v>
      </c>
      <c r="J195" s="4">
        <v>228</v>
      </c>
      <c r="K195" s="4">
        <f t="shared" si="56"/>
        <v>6840</v>
      </c>
      <c r="L195" s="4">
        <v>0</v>
      </c>
      <c r="M195" s="4">
        <v>0</v>
      </c>
      <c r="N195" s="4">
        <f t="shared" si="57"/>
        <v>6840</v>
      </c>
      <c r="O195" s="14">
        <f t="shared" si="58"/>
        <v>0.88315041962556484</v>
      </c>
      <c r="P195" s="4">
        <v>20</v>
      </c>
      <c r="Q195" s="4">
        <f t="shared" si="59"/>
        <v>1000</v>
      </c>
      <c r="R195" s="4">
        <f t="shared" si="60"/>
        <v>1000000</v>
      </c>
      <c r="S195" s="4">
        <v>2724.71</v>
      </c>
      <c r="T195" s="4">
        <f t="shared" si="65"/>
        <v>54494.2</v>
      </c>
      <c r="U195" s="4">
        <v>1820.94</v>
      </c>
      <c r="V195" s="4">
        <v>2300</v>
      </c>
    </row>
    <row r="196" spans="1:22" x14ac:dyDescent="0.35">
      <c r="A196" s="3">
        <v>45</v>
      </c>
      <c r="B196" s="2">
        <v>46021</v>
      </c>
      <c r="C196" s="4"/>
      <c r="D196" s="18"/>
      <c r="E196" s="4">
        <f t="shared" si="62"/>
        <v>7745</v>
      </c>
      <c r="F196" s="4">
        <v>2</v>
      </c>
      <c r="G196" s="14">
        <f t="shared" si="64"/>
        <v>2.582311168495804E-4</v>
      </c>
      <c r="H196" s="4"/>
      <c r="I196" s="4">
        <f t="shared" si="55"/>
        <v>7743</v>
      </c>
      <c r="J196" s="4">
        <v>227</v>
      </c>
      <c r="K196" s="4">
        <f t="shared" si="56"/>
        <v>6810</v>
      </c>
      <c r="L196" s="4">
        <v>0</v>
      </c>
      <c r="M196" s="4">
        <v>0</v>
      </c>
      <c r="N196" s="4">
        <f t="shared" si="57"/>
        <v>6810</v>
      </c>
      <c r="O196" s="14">
        <f t="shared" si="58"/>
        <v>0.87927695287282115</v>
      </c>
      <c r="P196" s="4">
        <v>20</v>
      </c>
      <c r="Q196" s="4">
        <f t="shared" si="59"/>
        <v>1000</v>
      </c>
      <c r="R196" s="4">
        <f t="shared" si="60"/>
        <v>1000000</v>
      </c>
      <c r="S196" s="4">
        <v>2724.71</v>
      </c>
      <c r="T196" s="4">
        <f t="shared" si="65"/>
        <v>54494.2</v>
      </c>
      <c r="U196" s="4">
        <v>1820.94</v>
      </c>
      <c r="V196" s="4">
        <v>2100</v>
      </c>
    </row>
    <row r="197" spans="1:22" x14ac:dyDescent="0.35">
      <c r="A197" s="3">
        <v>45</v>
      </c>
      <c r="B197" s="2">
        <v>46022</v>
      </c>
      <c r="C197" s="4"/>
      <c r="D197" s="18"/>
      <c r="E197" s="4">
        <f t="shared" si="62"/>
        <v>7743</v>
      </c>
      <c r="F197" s="4">
        <v>1</v>
      </c>
      <c r="G197" s="14">
        <f t="shared" si="64"/>
        <v>1.2914890869172155E-4</v>
      </c>
      <c r="H197" s="4"/>
      <c r="I197" s="4">
        <f t="shared" si="55"/>
        <v>7742</v>
      </c>
      <c r="J197" s="4">
        <v>224</v>
      </c>
      <c r="K197" s="4">
        <f t="shared" si="56"/>
        <v>6720</v>
      </c>
      <c r="L197" s="4">
        <v>0</v>
      </c>
      <c r="M197" s="4">
        <v>0</v>
      </c>
      <c r="N197" s="4">
        <f t="shared" si="57"/>
        <v>6720</v>
      </c>
      <c r="O197" s="14">
        <f t="shared" si="58"/>
        <v>0.86788066640836881</v>
      </c>
      <c r="P197" s="4">
        <v>20</v>
      </c>
      <c r="Q197" s="4">
        <f t="shared" si="59"/>
        <v>1000</v>
      </c>
      <c r="R197" s="4">
        <f t="shared" si="60"/>
        <v>1000000</v>
      </c>
      <c r="S197" s="4">
        <v>2724.71</v>
      </c>
      <c r="T197" s="4">
        <f t="shared" si="65"/>
        <v>54494.2</v>
      </c>
      <c r="U197" s="4">
        <v>1820.94</v>
      </c>
      <c r="V197" s="4">
        <v>2500</v>
      </c>
    </row>
    <row r="198" spans="1:22" x14ac:dyDescent="0.35">
      <c r="A198" s="3"/>
      <c r="B198" s="2"/>
      <c r="C198" s="4"/>
      <c r="D198" s="18"/>
      <c r="E198" s="4"/>
      <c r="F198" s="4">
        <f>SUM(F167:F197)</f>
        <v>45</v>
      </c>
      <c r="G198" s="14"/>
      <c r="H198" s="4"/>
      <c r="I198" s="4"/>
      <c r="J198" s="4"/>
      <c r="K198" s="4"/>
      <c r="L198" s="4"/>
      <c r="M198" s="4"/>
      <c r="N198" s="4"/>
      <c r="O198" s="14"/>
      <c r="P198" s="4"/>
      <c r="Q198" s="4"/>
      <c r="R198" s="4"/>
      <c r="S198" s="4"/>
      <c r="T198" s="4"/>
    </row>
    <row r="199" spans="1:22" x14ac:dyDescent="0.35">
      <c r="A199" s="3"/>
      <c r="B199" s="2"/>
      <c r="C199" s="4"/>
      <c r="D199" s="18"/>
      <c r="E199" s="4"/>
      <c r="F199" s="4"/>
      <c r="G199" s="14"/>
      <c r="H199" s="4"/>
      <c r="I199" s="4"/>
      <c r="J199" s="4"/>
      <c r="K199" s="4"/>
      <c r="L199" s="4"/>
      <c r="M199" s="4"/>
      <c r="N199" s="4"/>
      <c r="O199" s="14"/>
      <c r="P199" s="4"/>
      <c r="Q199" s="4"/>
      <c r="R199" s="4"/>
      <c r="S199" s="4"/>
      <c r="T199" s="4"/>
    </row>
    <row r="200" spans="1:22" x14ac:dyDescent="0.35">
      <c r="A200" s="1" t="s">
        <v>20</v>
      </c>
      <c r="B200" s="37" t="s">
        <v>1</v>
      </c>
      <c r="C200" s="38" t="s">
        <v>19</v>
      </c>
      <c r="D200" s="38" t="s">
        <v>18</v>
      </c>
      <c r="E200" s="39" t="s">
        <v>2</v>
      </c>
      <c r="F200" s="40" t="s">
        <v>3</v>
      </c>
      <c r="G200" s="41" t="s">
        <v>4</v>
      </c>
      <c r="H200" s="40" t="s">
        <v>5</v>
      </c>
      <c r="I200" s="42" t="s">
        <v>6</v>
      </c>
      <c r="J200" s="43" t="s">
        <v>7</v>
      </c>
      <c r="K200" s="40" t="s">
        <v>8</v>
      </c>
      <c r="L200" s="40" t="s">
        <v>9</v>
      </c>
      <c r="M200" s="40" t="s">
        <v>10</v>
      </c>
      <c r="N200" s="40" t="s">
        <v>11</v>
      </c>
      <c r="O200" s="44" t="s">
        <v>12</v>
      </c>
      <c r="P200" s="43" t="s">
        <v>13</v>
      </c>
      <c r="Q200" s="40" t="s">
        <v>14</v>
      </c>
      <c r="R200" s="45" t="s">
        <v>15</v>
      </c>
      <c r="S200" s="46" t="s">
        <v>16</v>
      </c>
      <c r="T200" s="47" t="s">
        <v>17</v>
      </c>
      <c r="U200" s="48" t="s">
        <v>22</v>
      </c>
      <c r="V200" s="48" t="s">
        <v>24</v>
      </c>
    </row>
    <row r="201" spans="1:22" x14ac:dyDescent="0.35">
      <c r="A201" s="3">
        <v>45</v>
      </c>
      <c r="B201" s="2">
        <v>46023</v>
      </c>
      <c r="C201" s="18"/>
      <c r="D201" s="18"/>
      <c r="E201" s="4">
        <v>7742</v>
      </c>
      <c r="F201" s="4">
        <v>0</v>
      </c>
      <c r="G201" s="14">
        <f t="shared" ref="G201:G231" si="66">F201/E201</f>
        <v>0</v>
      </c>
      <c r="H201" s="4"/>
      <c r="I201" s="4">
        <f t="shared" ref="I201:I231" si="67">E201-F201-H201</f>
        <v>7742</v>
      </c>
      <c r="J201" s="4">
        <v>224</v>
      </c>
      <c r="K201" s="4">
        <f t="shared" ref="K201:K231" si="68">J201*30</f>
        <v>6720</v>
      </c>
      <c r="L201" s="4">
        <v>0</v>
      </c>
      <c r="M201" s="4">
        <v>0</v>
      </c>
      <c r="N201" s="4">
        <f t="shared" ref="N201:N231" si="69">K201+L201-M201</f>
        <v>6720</v>
      </c>
      <c r="O201" s="14">
        <f>N201/E201</f>
        <v>0.86799276672694392</v>
      </c>
      <c r="P201" s="4">
        <v>20</v>
      </c>
      <c r="Q201" s="4">
        <f t="shared" ref="Q201:Q231" si="70">P201*50</f>
        <v>1000</v>
      </c>
      <c r="R201" s="4">
        <f t="shared" ref="R201:R222" si="71">Q201*1000</f>
        <v>1000000</v>
      </c>
      <c r="S201" s="4">
        <v>2724.71</v>
      </c>
      <c r="T201" s="4">
        <f t="shared" ref="T201:T231" si="72">P201*S201</f>
        <v>54494.2</v>
      </c>
      <c r="U201" s="4">
        <v>1820.94</v>
      </c>
      <c r="V201" s="4">
        <v>2600</v>
      </c>
    </row>
    <row r="202" spans="1:22" x14ac:dyDescent="0.35">
      <c r="A202" s="3">
        <v>45</v>
      </c>
      <c r="B202" s="2">
        <v>46024</v>
      </c>
      <c r="C202" s="4"/>
      <c r="D202" s="18"/>
      <c r="E202" s="4">
        <f t="shared" ref="E202:E231" si="73">I201</f>
        <v>7742</v>
      </c>
      <c r="F202" s="4">
        <v>3</v>
      </c>
      <c r="G202" s="14">
        <f t="shared" si="66"/>
        <v>3.8749677086024286E-4</v>
      </c>
      <c r="H202" s="4"/>
      <c r="I202" s="4">
        <f t="shared" si="67"/>
        <v>7739</v>
      </c>
      <c r="J202" s="4">
        <v>226</v>
      </c>
      <c r="K202" s="4">
        <f t="shared" si="68"/>
        <v>6780</v>
      </c>
      <c r="L202" s="4">
        <v>0</v>
      </c>
      <c r="M202" s="4">
        <v>0</v>
      </c>
      <c r="N202" s="4">
        <f t="shared" si="69"/>
        <v>6780</v>
      </c>
      <c r="O202" s="14">
        <f>N202/E202</f>
        <v>0.87574270214414884</v>
      </c>
      <c r="P202" s="4">
        <v>20</v>
      </c>
      <c r="Q202" s="4">
        <f t="shared" si="70"/>
        <v>1000</v>
      </c>
      <c r="R202" s="4">
        <f t="shared" si="71"/>
        <v>1000000</v>
      </c>
      <c r="S202" s="4">
        <v>2724.71</v>
      </c>
      <c r="T202" s="4">
        <f t="shared" si="72"/>
        <v>54494.2</v>
      </c>
      <c r="U202" s="4">
        <v>1820.94</v>
      </c>
      <c r="V202" s="4">
        <v>2600</v>
      </c>
    </row>
    <row r="203" spans="1:22" x14ac:dyDescent="0.35">
      <c r="A203" s="3">
        <v>45</v>
      </c>
      <c r="B203" s="2">
        <v>46025</v>
      </c>
      <c r="C203" s="19"/>
      <c r="D203" s="19"/>
      <c r="E203" s="4">
        <f t="shared" si="73"/>
        <v>7739</v>
      </c>
      <c r="F203" s="4">
        <v>3</v>
      </c>
      <c r="G203" s="14">
        <f t="shared" si="66"/>
        <v>3.8764698281431708E-4</v>
      </c>
      <c r="H203" s="7"/>
      <c r="I203" s="4">
        <f t="shared" si="67"/>
        <v>7736</v>
      </c>
      <c r="J203" s="4">
        <v>229</v>
      </c>
      <c r="K203" s="4">
        <f t="shared" si="68"/>
        <v>6870</v>
      </c>
      <c r="L203" s="4">
        <v>0</v>
      </c>
      <c r="M203" s="4">
        <v>0</v>
      </c>
      <c r="N203" s="4">
        <f t="shared" si="69"/>
        <v>6870</v>
      </c>
      <c r="O203" s="14">
        <f>N203/E203</f>
        <v>0.88771159064478611</v>
      </c>
      <c r="P203" s="4">
        <v>20</v>
      </c>
      <c r="Q203" s="4">
        <f t="shared" si="70"/>
        <v>1000</v>
      </c>
      <c r="R203" s="4">
        <f t="shared" si="71"/>
        <v>1000000</v>
      </c>
      <c r="S203" s="4">
        <v>2724.71</v>
      </c>
      <c r="T203" s="4">
        <f t="shared" si="72"/>
        <v>54494.2</v>
      </c>
      <c r="U203" s="4">
        <v>1820.94</v>
      </c>
      <c r="V203" s="4">
        <v>2500</v>
      </c>
    </row>
    <row r="204" spans="1:22" x14ac:dyDescent="0.35">
      <c r="A204" s="3">
        <v>45</v>
      </c>
      <c r="B204" s="2">
        <v>46026</v>
      </c>
      <c r="C204" s="4"/>
      <c r="D204" s="18"/>
      <c r="E204" s="4">
        <f t="shared" si="73"/>
        <v>7736</v>
      </c>
      <c r="F204" s="4">
        <v>2</v>
      </c>
      <c r="G204" s="14">
        <f t="shared" si="66"/>
        <v>2.5853154084798347E-4</v>
      </c>
      <c r="H204" s="4"/>
      <c r="I204" s="4">
        <f t="shared" si="67"/>
        <v>7734</v>
      </c>
      <c r="J204" s="4">
        <v>229</v>
      </c>
      <c r="K204" s="4">
        <f t="shared" si="68"/>
        <v>6870</v>
      </c>
      <c r="L204" s="4">
        <v>0</v>
      </c>
      <c r="M204" s="4">
        <v>0</v>
      </c>
      <c r="N204" s="4">
        <f t="shared" si="69"/>
        <v>6870</v>
      </c>
      <c r="O204" s="14">
        <f>N204/E204</f>
        <v>0.88805584281282313</v>
      </c>
      <c r="P204" s="4">
        <v>20</v>
      </c>
      <c r="Q204" s="4">
        <f t="shared" si="70"/>
        <v>1000</v>
      </c>
      <c r="R204" s="4">
        <f t="shared" si="71"/>
        <v>1000000</v>
      </c>
      <c r="S204" s="4">
        <v>2724.71</v>
      </c>
      <c r="T204" s="4">
        <f t="shared" si="72"/>
        <v>54494.2</v>
      </c>
      <c r="U204" s="4">
        <v>1820.94</v>
      </c>
      <c r="V204" s="4">
        <v>2500</v>
      </c>
    </row>
    <row r="205" spans="1:22" x14ac:dyDescent="0.35">
      <c r="A205" s="3">
        <v>45</v>
      </c>
      <c r="B205" s="2">
        <v>46027</v>
      </c>
      <c r="C205" s="4"/>
      <c r="D205" s="18"/>
      <c r="E205" s="4">
        <f t="shared" si="73"/>
        <v>7734</v>
      </c>
      <c r="F205" s="4">
        <v>0</v>
      </c>
      <c r="G205" s="14">
        <f t="shared" si="66"/>
        <v>0</v>
      </c>
      <c r="H205" s="4"/>
      <c r="I205" s="4">
        <f t="shared" si="67"/>
        <v>7734</v>
      </c>
      <c r="J205" s="4">
        <v>231</v>
      </c>
      <c r="K205" s="4">
        <f t="shared" si="68"/>
        <v>6930</v>
      </c>
      <c r="L205" s="4">
        <v>0</v>
      </c>
      <c r="M205" s="4">
        <v>0</v>
      </c>
      <c r="N205" s="4">
        <f t="shared" si="69"/>
        <v>6930</v>
      </c>
      <c r="O205" s="14">
        <f t="shared" ref="O205:O231" si="74">N205/E205</f>
        <v>0.89604344453064388</v>
      </c>
      <c r="P205" s="4">
        <v>20</v>
      </c>
      <c r="Q205" s="4">
        <f t="shared" si="70"/>
        <v>1000</v>
      </c>
      <c r="R205" s="4">
        <f t="shared" si="71"/>
        <v>1000000</v>
      </c>
      <c r="S205" s="4">
        <v>2724.71</v>
      </c>
      <c r="T205" s="4">
        <f t="shared" si="72"/>
        <v>54494.2</v>
      </c>
      <c r="U205" s="4">
        <v>1820.94</v>
      </c>
      <c r="V205" s="4">
        <v>2400</v>
      </c>
    </row>
    <row r="206" spans="1:22" x14ac:dyDescent="0.35">
      <c r="A206" s="3">
        <v>46</v>
      </c>
      <c r="B206" s="2">
        <v>46028</v>
      </c>
      <c r="C206" s="4"/>
      <c r="D206" s="18"/>
      <c r="E206" s="4">
        <f t="shared" si="73"/>
        <v>7734</v>
      </c>
      <c r="F206" s="4">
        <v>0</v>
      </c>
      <c r="G206" s="14">
        <f t="shared" si="66"/>
        <v>0</v>
      </c>
      <c r="H206" s="4"/>
      <c r="I206" s="4">
        <f t="shared" si="67"/>
        <v>7734</v>
      </c>
      <c r="J206" s="4">
        <v>232</v>
      </c>
      <c r="K206" s="4">
        <f t="shared" si="68"/>
        <v>6960</v>
      </c>
      <c r="L206" s="4">
        <v>0</v>
      </c>
      <c r="M206" s="4">
        <v>0</v>
      </c>
      <c r="N206" s="4">
        <f t="shared" si="69"/>
        <v>6960</v>
      </c>
      <c r="O206" s="14">
        <f t="shared" si="74"/>
        <v>0.89992242048099302</v>
      </c>
      <c r="P206" s="4">
        <v>20</v>
      </c>
      <c r="Q206" s="4">
        <f t="shared" si="70"/>
        <v>1000</v>
      </c>
      <c r="R206" s="4">
        <f t="shared" si="71"/>
        <v>1000000</v>
      </c>
      <c r="S206" s="4">
        <v>2724.71</v>
      </c>
      <c r="T206" s="4">
        <f t="shared" si="72"/>
        <v>54494.2</v>
      </c>
      <c r="U206" s="4">
        <v>1820.94</v>
      </c>
      <c r="V206" s="4">
        <v>2600</v>
      </c>
    </row>
    <row r="207" spans="1:22" x14ac:dyDescent="0.35">
      <c r="A207" s="3">
        <v>46</v>
      </c>
      <c r="B207" s="2">
        <v>46029</v>
      </c>
      <c r="C207" s="4"/>
      <c r="D207" s="18"/>
      <c r="E207" s="4">
        <f t="shared" si="73"/>
        <v>7734</v>
      </c>
      <c r="F207" s="4">
        <v>2</v>
      </c>
      <c r="G207" s="14">
        <f t="shared" si="66"/>
        <v>2.5859839668994052E-4</v>
      </c>
      <c r="H207" s="4"/>
      <c r="I207" s="4">
        <f t="shared" si="67"/>
        <v>7732</v>
      </c>
      <c r="J207" s="4">
        <v>232</v>
      </c>
      <c r="K207" s="4">
        <f t="shared" si="68"/>
        <v>6960</v>
      </c>
      <c r="L207" s="4">
        <v>0</v>
      </c>
      <c r="M207" s="4">
        <v>0</v>
      </c>
      <c r="N207" s="4">
        <f t="shared" si="69"/>
        <v>6960</v>
      </c>
      <c r="O207" s="14">
        <f t="shared" si="74"/>
        <v>0.89992242048099302</v>
      </c>
      <c r="P207" s="4">
        <v>20</v>
      </c>
      <c r="Q207" s="4">
        <f t="shared" si="70"/>
        <v>1000</v>
      </c>
      <c r="R207" s="4">
        <f t="shared" si="71"/>
        <v>1000000</v>
      </c>
      <c r="S207" s="4">
        <v>2726.71</v>
      </c>
      <c r="T207" s="4">
        <f t="shared" si="72"/>
        <v>54534.2</v>
      </c>
      <c r="U207" s="4">
        <v>1820.94</v>
      </c>
      <c r="V207" s="4">
        <v>2500</v>
      </c>
    </row>
    <row r="208" spans="1:22" x14ac:dyDescent="0.35">
      <c r="A208" s="3">
        <v>46</v>
      </c>
      <c r="B208" s="2">
        <v>46030</v>
      </c>
      <c r="C208" s="4"/>
      <c r="D208" s="18"/>
      <c r="E208" s="4">
        <f t="shared" si="73"/>
        <v>7732</v>
      </c>
      <c r="F208" s="4">
        <v>2</v>
      </c>
      <c r="G208" s="14">
        <f t="shared" si="66"/>
        <v>2.5866528711846869E-4</v>
      </c>
      <c r="H208" s="4"/>
      <c r="I208" s="4">
        <f t="shared" si="67"/>
        <v>7730</v>
      </c>
      <c r="J208" s="4">
        <v>232</v>
      </c>
      <c r="K208" s="4">
        <f t="shared" si="68"/>
        <v>6960</v>
      </c>
      <c r="L208" s="4">
        <v>0</v>
      </c>
      <c r="M208" s="4">
        <v>0</v>
      </c>
      <c r="N208" s="4">
        <f t="shared" si="69"/>
        <v>6960</v>
      </c>
      <c r="O208" s="14">
        <f t="shared" si="74"/>
        <v>0.90015519917227105</v>
      </c>
      <c r="P208" s="4">
        <v>20</v>
      </c>
      <c r="Q208" s="4">
        <f t="shared" si="70"/>
        <v>1000</v>
      </c>
      <c r="R208" s="4">
        <f t="shared" si="71"/>
        <v>1000000</v>
      </c>
      <c r="S208" s="4">
        <v>2842.71</v>
      </c>
      <c r="T208" s="4">
        <f t="shared" si="72"/>
        <v>56854.2</v>
      </c>
      <c r="U208" s="4">
        <v>1820.94</v>
      </c>
      <c r="V208" s="4">
        <v>2700</v>
      </c>
    </row>
    <row r="209" spans="1:22" x14ac:dyDescent="0.35">
      <c r="A209" s="3">
        <v>46</v>
      </c>
      <c r="B209" s="2">
        <v>46031</v>
      </c>
      <c r="C209" s="4"/>
      <c r="D209" s="18"/>
      <c r="E209" s="4">
        <f t="shared" si="73"/>
        <v>7730</v>
      </c>
      <c r="F209" s="4">
        <v>1</v>
      </c>
      <c r="G209" s="14">
        <f t="shared" si="66"/>
        <v>1.2936610608020699E-4</v>
      </c>
      <c r="H209" s="4"/>
      <c r="I209" s="4">
        <f t="shared" si="67"/>
        <v>7729</v>
      </c>
      <c r="J209" s="4">
        <v>230</v>
      </c>
      <c r="K209" s="4">
        <f t="shared" si="68"/>
        <v>6900</v>
      </c>
      <c r="L209" s="4">
        <v>1</v>
      </c>
      <c r="M209" s="4">
        <v>0</v>
      </c>
      <c r="N209" s="4">
        <f t="shared" si="69"/>
        <v>6901</v>
      </c>
      <c r="O209" s="14">
        <f t="shared" si="74"/>
        <v>0.89275549805950838</v>
      </c>
      <c r="P209" s="4">
        <v>20</v>
      </c>
      <c r="Q209" s="4">
        <f t="shared" si="70"/>
        <v>1000</v>
      </c>
      <c r="R209" s="4">
        <f t="shared" si="71"/>
        <v>1000000</v>
      </c>
      <c r="S209" s="4">
        <v>2842.71</v>
      </c>
      <c r="T209" s="4">
        <f t="shared" si="72"/>
        <v>56854.2</v>
      </c>
      <c r="U209" s="4">
        <v>1820.94</v>
      </c>
      <c r="V209" s="4">
        <v>2400</v>
      </c>
    </row>
    <row r="210" spans="1:22" x14ac:dyDescent="0.35">
      <c r="A210" s="3">
        <v>46</v>
      </c>
      <c r="B210" s="2">
        <v>46032</v>
      </c>
      <c r="C210" s="4"/>
      <c r="D210" s="18"/>
      <c r="E210" s="4">
        <f t="shared" si="73"/>
        <v>7729</v>
      </c>
      <c r="F210" s="4">
        <v>2</v>
      </c>
      <c r="G210" s="14">
        <f t="shared" si="66"/>
        <v>2.5876568766981497E-4</v>
      </c>
      <c r="H210" s="4"/>
      <c r="I210" s="4">
        <f t="shared" si="67"/>
        <v>7727</v>
      </c>
      <c r="J210" s="4">
        <v>230</v>
      </c>
      <c r="K210" s="4">
        <f t="shared" si="68"/>
        <v>6900</v>
      </c>
      <c r="L210" s="4">
        <v>1</v>
      </c>
      <c r="M210" s="4">
        <v>0</v>
      </c>
      <c r="N210" s="4">
        <f t="shared" si="69"/>
        <v>6901</v>
      </c>
      <c r="O210" s="14">
        <f t="shared" si="74"/>
        <v>0.89287100530469665</v>
      </c>
      <c r="P210" s="4">
        <v>20</v>
      </c>
      <c r="Q210" s="4">
        <f t="shared" si="70"/>
        <v>1000</v>
      </c>
      <c r="R210" s="4">
        <f t="shared" si="71"/>
        <v>1000000</v>
      </c>
      <c r="S210" s="4">
        <v>2842.71</v>
      </c>
      <c r="T210" s="4">
        <f t="shared" si="72"/>
        <v>56854.2</v>
      </c>
      <c r="U210" s="4">
        <v>1820.94</v>
      </c>
      <c r="V210" s="4">
        <v>2700</v>
      </c>
    </row>
    <row r="211" spans="1:22" x14ac:dyDescent="0.35">
      <c r="A211" s="3">
        <v>46</v>
      </c>
      <c r="B211" s="2">
        <v>46033</v>
      </c>
      <c r="C211" s="4"/>
      <c r="D211" s="18"/>
      <c r="E211" s="4">
        <f t="shared" si="73"/>
        <v>7727</v>
      </c>
      <c r="F211" s="4">
        <v>3</v>
      </c>
      <c r="G211" s="14">
        <f t="shared" si="66"/>
        <v>3.8824899702342438E-4</v>
      </c>
      <c r="H211" s="4"/>
      <c r="I211" s="4">
        <f t="shared" si="67"/>
        <v>7724</v>
      </c>
      <c r="J211" s="4">
        <v>230</v>
      </c>
      <c r="K211" s="4">
        <f t="shared" si="68"/>
        <v>6900</v>
      </c>
      <c r="L211" s="4">
        <v>0</v>
      </c>
      <c r="M211" s="4">
        <v>0</v>
      </c>
      <c r="N211" s="4">
        <f t="shared" si="69"/>
        <v>6900</v>
      </c>
      <c r="O211" s="14">
        <f t="shared" si="74"/>
        <v>0.89297269315387606</v>
      </c>
      <c r="P211" s="4">
        <v>20</v>
      </c>
      <c r="Q211" s="4">
        <f t="shared" si="70"/>
        <v>1000</v>
      </c>
      <c r="R211" s="4">
        <f t="shared" si="71"/>
        <v>1000000</v>
      </c>
      <c r="S211" s="4">
        <v>2842.71</v>
      </c>
      <c r="T211" s="4">
        <f t="shared" si="72"/>
        <v>56854.2</v>
      </c>
      <c r="U211" s="4">
        <v>1820.94</v>
      </c>
      <c r="V211" s="4">
        <v>2600</v>
      </c>
    </row>
    <row r="212" spans="1:22" x14ac:dyDescent="0.35">
      <c r="A212" s="3">
        <v>46</v>
      </c>
      <c r="B212" s="2">
        <v>46034</v>
      </c>
      <c r="C212" s="4"/>
      <c r="D212" s="18"/>
      <c r="E212" s="4">
        <f t="shared" si="73"/>
        <v>7724</v>
      </c>
      <c r="F212" s="4">
        <v>0</v>
      </c>
      <c r="G212" s="14">
        <f t="shared" si="66"/>
        <v>0</v>
      </c>
      <c r="H212" s="4"/>
      <c r="I212" s="4">
        <f t="shared" si="67"/>
        <v>7724</v>
      </c>
      <c r="J212" s="4">
        <v>229</v>
      </c>
      <c r="K212" s="4">
        <f t="shared" si="68"/>
        <v>6870</v>
      </c>
      <c r="L212" s="4">
        <v>0</v>
      </c>
      <c r="M212" s="4">
        <v>0</v>
      </c>
      <c r="N212" s="4">
        <f t="shared" si="69"/>
        <v>6870</v>
      </c>
      <c r="O212" s="14">
        <f t="shared" si="74"/>
        <v>0.88943552563438633</v>
      </c>
      <c r="P212" s="4">
        <v>20</v>
      </c>
      <c r="Q212" s="4">
        <f t="shared" si="70"/>
        <v>1000</v>
      </c>
      <c r="R212" s="4">
        <f t="shared" si="71"/>
        <v>1000000</v>
      </c>
      <c r="S212" s="4">
        <v>2815.33</v>
      </c>
      <c r="T212" s="4">
        <f t="shared" si="72"/>
        <v>56306.6</v>
      </c>
      <c r="U212" s="4">
        <v>1820.94</v>
      </c>
      <c r="V212" s="4">
        <v>2700</v>
      </c>
    </row>
    <row r="213" spans="1:22" x14ac:dyDescent="0.35">
      <c r="A213" s="3">
        <v>47</v>
      </c>
      <c r="B213" s="2">
        <v>46035</v>
      </c>
      <c r="C213" s="4"/>
      <c r="D213" s="18"/>
      <c r="E213" s="4">
        <f t="shared" si="73"/>
        <v>7724</v>
      </c>
      <c r="F213" s="4">
        <v>2</v>
      </c>
      <c r="G213" s="14">
        <f t="shared" si="66"/>
        <v>2.5893319523562919E-4</v>
      </c>
      <c r="H213" s="4"/>
      <c r="I213" s="4">
        <f t="shared" si="67"/>
        <v>7722</v>
      </c>
      <c r="J213" s="4">
        <v>230</v>
      </c>
      <c r="K213" s="4">
        <f t="shared" si="68"/>
        <v>6900</v>
      </c>
      <c r="L213" s="4">
        <v>0</v>
      </c>
      <c r="M213" s="4">
        <v>0</v>
      </c>
      <c r="N213" s="4">
        <f t="shared" si="69"/>
        <v>6900</v>
      </c>
      <c r="O213" s="14">
        <f t="shared" si="74"/>
        <v>0.89331952356292077</v>
      </c>
      <c r="P213" s="4">
        <v>20</v>
      </c>
      <c r="Q213" s="4">
        <f t="shared" si="70"/>
        <v>1000</v>
      </c>
      <c r="R213" s="4">
        <f t="shared" si="71"/>
        <v>1000000</v>
      </c>
      <c r="S213" s="4">
        <v>2815.33</v>
      </c>
      <c r="T213" s="4">
        <f t="shared" si="72"/>
        <v>56306.6</v>
      </c>
      <c r="U213" s="4">
        <v>1820.94</v>
      </c>
      <c r="V213" s="4">
        <v>2700</v>
      </c>
    </row>
    <row r="214" spans="1:22" x14ac:dyDescent="0.35">
      <c r="A214" s="3">
        <v>47</v>
      </c>
      <c r="B214" s="2">
        <v>46036</v>
      </c>
      <c r="C214" s="4"/>
      <c r="D214" s="18"/>
      <c r="E214" s="4">
        <f t="shared" si="73"/>
        <v>7722</v>
      </c>
      <c r="F214" s="4">
        <v>1</v>
      </c>
      <c r="G214" s="14">
        <f t="shared" si="66"/>
        <v>1.2950012950012951E-4</v>
      </c>
      <c r="H214" s="4"/>
      <c r="I214" s="4">
        <f t="shared" si="67"/>
        <v>7721</v>
      </c>
      <c r="J214" s="4">
        <v>229</v>
      </c>
      <c r="K214" s="4">
        <f t="shared" si="68"/>
        <v>6870</v>
      </c>
      <c r="L214" s="4">
        <v>0</v>
      </c>
      <c r="M214" s="4">
        <v>0</v>
      </c>
      <c r="N214" s="4">
        <f t="shared" si="69"/>
        <v>6870</v>
      </c>
      <c r="O214" s="14">
        <f t="shared" si="74"/>
        <v>0.88966588966588966</v>
      </c>
      <c r="P214" s="4">
        <v>20</v>
      </c>
      <c r="Q214" s="4">
        <f t="shared" si="70"/>
        <v>1000</v>
      </c>
      <c r="R214" s="4">
        <f t="shared" si="71"/>
        <v>1000000</v>
      </c>
      <c r="S214" s="4">
        <v>2815.33</v>
      </c>
      <c r="T214" s="4">
        <f t="shared" si="72"/>
        <v>56306.6</v>
      </c>
      <c r="U214" s="4">
        <v>1820.94</v>
      </c>
      <c r="V214" s="4">
        <v>2800</v>
      </c>
    </row>
    <row r="215" spans="1:22" x14ac:dyDescent="0.35">
      <c r="A215" s="3">
        <v>47</v>
      </c>
      <c r="B215" s="2">
        <v>46037</v>
      </c>
      <c r="C215" s="4"/>
      <c r="D215" s="18"/>
      <c r="E215" s="4">
        <f t="shared" si="73"/>
        <v>7721</v>
      </c>
      <c r="F215" s="4">
        <v>2</v>
      </c>
      <c r="G215" s="14">
        <f t="shared" si="66"/>
        <v>2.5903380391141046E-4</v>
      </c>
      <c r="H215" s="4"/>
      <c r="I215" s="4">
        <f t="shared" si="67"/>
        <v>7719</v>
      </c>
      <c r="J215" s="4">
        <v>230</v>
      </c>
      <c r="K215" s="4">
        <f t="shared" si="68"/>
        <v>6900</v>
      </c>
      <c r="L215" s="4">
        <v>0</v>
      </c>
      <c r="M215" s="4">
        <v>0</v>
      </c>
      <c r="N215" s="4">
        <f t="shared" si="69"/>
        <v>6900</v>
      </c>
      <c r="O215" s="14">
        <f t="shared" si="74"/>
        <v>0.89366662349436599</v>
      </c>
      <c r="P215" s="4">
        <v>20</v>
      </c>
      <c r="Q215" s="4">
        <f t="shared" si="70"/>
        <v>1000</v>
      </c>
      <c r="R215" s="4">
        <f t="shared" si="71"/>
        <v>1000000</v>
      </c>
      <c r="S215" s="4">
        <v>2813.33</v>
      </c>
      <c r="T215" s="4">
        <f t="shared" si="72"/>
        <v>56266.6</v>
      </c>
      <c r="U215" s="4">
        <v>1820.94</v>
      </c>
      <c r="V215" s="4">
        <v>2700</v>
      </c>
    </row>
    <row r="216" spans="1:22" x14ac:dyDescent="0.35">
      <c r="A216" s="3">
        <v>47</v>
      </c>
      <c r="B216" s="2">
        <v>46038</v>
      </c>
      <c r="C216" s="4"/>
      <c r="D216" s="18"/>
      <c r="E216" s="4">
        <f t="shared" si="73"/>
        <v>7719</v>
      </c>
      <c r="F216" s="4">
        <v>1</v>
      </c>
      <c r="G216" s="14">
        <f t="shared" si="66"/>
        <v>1.2955045990413266E-4</v>
      </c>
      <c r="H216" s="4"/>
      <c r="I216" s="4">
        <f t="shared" si="67"/>
        <v>7718</v>
      </c>
      <c r="J216" s="4">
        <v>230</v>
      </c>
      <c r="K216" s="4">
        <f t="shared" si="68"/>
        <v>6900</v>
      </c>
      <c r="L216" s="4">
        <v>0</v>
      </c>
      <c r="M216" s="4">
        <v>0</v>
      </c>
      <c r="N216" s="4">
        <f t="shared" si="69"/>
        <v>6900</v>
      </c>
      <c r="O216" s="14">
        <f t="shared" si="74"/>
        <v>0.8938981733385154</v>
      </c>
      <c r="P216" s="4">
        <v>20</v>
      </c>
      <c r="Q216" s="4">
        <f t="shared" si="70"/>
        <v>1000</v>
      </c>
      <c r="R216" s="4">
        <f t="shared" si="71"/>
        <v>1000000</v>
      </c>
      <c r="S216" s="4">
        <v>2813.33</v>
      </c>
      <c r="T216" s="4">
        <f t="shared" si="72"/>
        <v>56266.6</v>
      </c>
      <c r="U216" s="4">
        <v>1820.94</v>
      </c>
      <c r="V216" s="4">
        <v>2900</v>
      </c>
    </row>
    <row r="217" spans="1:22" x14ac:dyDescent="0.35">
      <c r="A217" s="3">
        <v>47</v>
      </c>
      <c r="B217" s="2">
        <v>46039</v>
      </c>
      <c r="C217" s="4"/>
      <c r="D217" s="18"/>
      <c r="E217" s="4">
        <f t="shared" si="73"/>
        <v>7718</v>
      </c>
      <c r="F217" s="4">
        <v>3</v>
      </c>
      <c r="G217" s="14">
        <f t="shared" si="66"/>
        <v>3.8870173620108835E-4</v>
      </c>
      <c r="H217" s="4"/>
      <c r="I217" s="4">
        <f t="shared" si="67"/>
        <v>7715</v>
      </c>
      <c r="J217" s="4">
        <v>232</v>
      </c>
      <c r="K217" s="4">
        <f t="shared" si="68"/>
        <v>6960</v>
      </c>
      <c r="L217" s="4">
        <v>0</v>
      </c>
      <c r="M217" s="4">
        <v>0</v>
      </c>
      <c r="N217" s="4">
        <f t="shared" si="69"/>
        <v>6960</v>
      </c>
      <c r="O217" s="14">
        <f t="shared" si="74"/>
        <v>0.90178802798652502</v>
      </c>
      <c r="P217" s="4">
        <v>20</v>
      </c>
      <c r="Q217" s="4">
        <f t="shared" si="70"/>
        <v>1000</v>
      </c>
      <c r="R217" s="4">
        <f t="shared" si="71"/>
        <v>1000000</v>
      </c>
      <c r="S217" s="4">
        <v>2859.83</v>
      </c>
      <c r="T217" s="4">
        <f t="shared" si="72"/>
        <v>57196.6</v>
      </c>
      <c r="U217" s="4">
        <v>1820.94</v>
      </c>
      <c r="V217" s="4">
        <v>2600</v>
      </c>
    </row>
    <row r="218" spans="1:22" x14ac:dyDescent="0.35">
      <c r="A218" s="3">
        <v>47</v>
      </c>
      <c r="B218" s="2">
        <v>46040</v>
      </c>
      <c r="C218" s="4"/>
      <c r="D218" s="18"/>
      <c r="E218" s="4">
        <f t="shared" si="73"/>
        <v>7715</v>
      </c>
      <c r="F218" s="4">
        <v>2</v>
      </c>
      <c r="G218" s="14">
        <f t="shared" si="66"/>
        <v>2.5923525599481532E-4</v>
      </c>
      <c r="H218" s="4"/>
      <c r="I218" s="4">
        <f t="shared" si="67"/>
        <v>7713</v>
      </c>
      <c r="J218" s="4">
        <v>227</v>
      </c>
      <c r="K218" s="4">
        <f t="shared" si="68"/>
        <v>6810</v>
      </c>
      <c r="L218" s="4">
        <v>0</v>
      </c>
      <c r="M218" s="4">
        <v>0</v>
      </c>
      <c r="N218" s="4">
        <f t="shared" si="69"/>
        <v>6810</v>
      </c>
      <c r="O218" s="14">
        <f t="shared" si="74"/>
        <v>0.88269604666234613</v>
      </c>
      <c r="P218" s="4">
        <v>20</v>
      </c>
      <c r="Q218" s="4">
        <f t="shared" si="70"/>
        <v>1000</v>
      </c>
      <c r="R218" s="4">
        <f t="shared" si="71"/>
        <v>1000000</v>
      </c>
      <c r="S218" s="4">
        <v>2859.83</v>
      </c>
      <c r="T218" s="4">
        <f t="shared" si="72"/>
        <v>57196.6</v>
      </c>
      <c r="U218" s="4">
        <v>1820.94</v>
      </c>
      <c r="V218" s="4">
        <v>2600</v>
      </c>
    </row>
    <row r="219" spans="1:22" x14ac:dyDescent="0.35">
      <c r="A219" s="3">
        <v>47</v>
      </c>
      <c r="B219" s="2">
        <v>46041</v>
      </c>
      <c r="C219" s="4"/>
      <c r="D219" s="18"/>
      <c r="E219" s="4">
        <f t="shared" si="73"/>
        <v>7713</v>
      </c>
      <c r="F219" s="4">
        <v>3</v>
      </c>
      <c r="G219" s="14">
        <f t="shared" si="66"/>
        <v>3.8895371450797355E-4</v>
      </c>
      <c r="H219" s="4"/>
      <c r="I219" s="4">
        <f t="shared" si="67"/>
        <v>7710</v>
      </c>
      <c r="J219" s="4">
        <v>230</v>
      </c>
      <c r="K219" s="4">
        <f t="shared" si="68"/>
        <v>6900</v>
      </c>
      <c r="L219" s="4">
        <v>0</v>
      </c>
      <c r="M219" s="4">
        <v>0</v>
      </c>
      <c r="N219" s="4">
        <f t="shared" si="69"/>
        <v>6900</v>
      </c>
      <c r="O219" s="14">
        <f t="shared" si="74"/>
        <v>0.89459354336833918</v>
      </c>
      <c r="P219" s="4">
        <v>20</v>
      </c>
      <c r="Q219" s="4">
        <f t="shared" si="70"/>
        <v>1000</v>
      </c>
      <c r="R219" s="4">
        <f t="shared" si="71"/>
        <v>1000000</v>
      </c>
      <c r="S219" s="4">
        <v>2859.83</v>
      </c>
      <c r="T219" s="4">
        <f t="shared" si="72"/>
        <v>57196.6</v>
      </c>
      <c r="U219" s="4">
        <v>1820.94</v>
      </c>
      <c r="V219" s="4">
        <v>2800</v>
      </c>
    </row>
    <row r="220" spans="1:22" x14ac:dyDescent="0.35">
      <c r="A220" s="3">
        <v>48</v>
      </c>
      <c r="B220" s="2">
        <v>46042</v>
      </c>
      <c r="C220" s="4"/>
      <c r="D220" s="18"/>
      <c r="E220" s="4">
        <f t="shared" si="73"/>
        <v>7710</v>
      </c>
      <c r="F220" s="4">
        <v>2</v>
      </c>
      <c r="G220" s="14">
        <f t="shared" si="66"/>
        <v>2.5940337224383917E-4</v>
      </c>
      <c r="H220" s="4"/>
      <c r="I220" s="4">
        <f t="shared" si="67"/>
        <v>7708</v>
      </c>
      <c r="J220" s="4">
        <v>230</v>
      </c>
      <c r="K220" s="4">
        <f t="shared" si="68"/>
        <v>6900</v>
      </c>
      <c r="L220" s="4">
        <v>0</v>
      </c>
      <c r="M220" s="4">
        <v>0</v>
      </c>
      <c r="N220" s="4">
        <f t="shared" si="69"/>
        <v>6900</v>
      </c>
      <c r="O220" s="14">
        <f t="shared" si="74"/>
        <v>0.89494163424124518</v>
      </c>
      <c r="P220" s="4">
        <v>20</v>
      </c>
      <c r="Q220" s="4">
        <f t="shared" si="70"/>
        <v>1000</v>
      </c>
      <c r="R220" s="4">
        <f t="shared" si="71"/>
        <v>1000000</v>
      </c>
      <c r="S220" s="4">
        <v>2859.83</v>
      </c>
      <c r="T220" s="4">
        <f t="shared" si="72"/>
        <v>57196.6</v>
      </c>
      <c r="U220" s="4">
        <v>1820.94</v>
      </c>
      <c r="V220" s="4">
        <v>3000</v>
      </c>
    </row>
    <row r="221" spans="1:22" x14ac:dyDescent="0.35">
      <c r="A221" s="3">
        <v>48</v>
      </c>
      <c r="B221" s="2">
        <v>46043</v>
      </c>
      <c r="C221" s="4"/>
      <c r="D221" s="18"/>
      <c r="E221" s="4">
        <f t="shared" si="73"/>
        <v>7708</v>
      </c>
      <c r="F221" s="4">
        <v>0</v>
      </c>
      <c r="G221" s="14">
        <f t="shared" si="66"/>
        <v>0</v>
      </c>
      <c r="H221" s="4"/>
      <c r="I221" s="4">
        <f t="shared" si="67"/>
        <v>7708</v>
      </c>
      <c r="J221" s="4">
        <v>230</v>
      </c>
      <c r="K221" s="4">
        <f t="shared" si="68"/>
        <v>6900</v>
      </c>
      <c r="L221" s="4">
        <v>0</v>
      </c>
      <c r="M221" s="4">
        <v>0</v>
      </c>
      <c r="N221" s="4">
        <f t="shared" si="69"/>
        <v>6900</v>
      </c>
      <c r="O221" s="14">
        <f t="shared" si="74"/>
        <v>0.89517384535547484</v>
      </c>
      <c r="P221" s="4">
        <v>20</v>
      </c>
      <c r="Q221" s="4">
        <f t="shared" si="70"/>
        <v>1000</v>
      </c>
      <c r="R221" s="4">
        <f t="shared" si="71"/>
        <v>1000000</v>
      </c>
      <c r="S221" s="4">
        <v>2859.83</v>
      </c>
      <c r="T221" s="4">
        <f t="shared" si="72"/>
        <v>57196.6</v>
      </c>
      <c r="U221" s="4">
        <v>1820.94</v>
      </c>
      <c r="V221" s="4">
        <v>2800</v>
      </c>
    </row>
    <row r="222" spans="1:22" x14ac:dyDescent="0.35">
      <c r="A222" s="3">
        <v>48</v>
      </c>
      <c r="B222" s="2">
        <v>46044</v>
      </c>
      <c r="C222" s="4"/>
      <c r="D222" s="18"/>
      <c r="E222" s="4">
        <f t="shared" si="73"/>
        <v>7708</v>
      </c>
      <c r="F222" s="4">
        <v>3</v>
      </c>
      <c r="G222" s="14">
        <f t="shared" si="66"/>
        <v>3.8920601971977167E-4</v>
      </c>
      <c r="H222" s="4"/>
      <c r="I222" s="4">
        <f t="shared" si="67"/>
        <v>7705</v>
      </c>
      <c r="J222" s="4">
        <v>230</v>
      </c>
      <c r="K222" s="4">
        <f t="shared" si="68"/>
        <v>6900</v>
      </c>
      <c r="L222" s="4">
        <v>0</v>
      </c>
      <c r="M222" s="4">
        <v>0</v>
      </c>
      <c r="N222" s="4">
        <f t="shared" si="69"/>
        <v>6900</v>
      </c>
      <c r="O222" s="14">
        <f t="shared" si="74"/>
        <v>0.89517384535547484</v>
      </c>
      <c r="P222" s="4">
        <v>20</v>
      </c>
      <c r="Q222" s="4">
        <f t="shared" si="70"/>
        <v>1000</v>
      </c>
      <c r="R222" s="4">
        <f t="shared" si="71"/>
        <v>1000000</v>
      </c>
      <c r="S222" s="4">
        <v>2859.83</v>
      </c>
      <c r="T222" s="4">
        <f t="shared" si="72"/>
        <v>57196.6</v>
      </c>
      <c r="U222" s="4">
        <v>1820.94</v>
      </c>
      <c r="V222" s="4">
        <v>2200</v>
      </c>
    </row>
    <row r="223" spans="1:22" x14ac:dyDescent="0.35">
      <c r="A223" s="3">
        <v>48</v>
      </c>
      <c r="B223" s="2">
        <v>46045</v>
      </c>
      <c r="C223" s="4"/>
      <c r="D223" s="18"/>
      <c r="E223" s="4">
        <f t="shared" si="73"/>
        <v>7705</v>
      </c>
      <c r="F223" s="4">
        <v>2</v>
      </c>
      <c r="G223" s="14">
        <f t="shared" si="66"/>
        <v>2.5957170668397143E-4</v>
      </c>
      <c r="H223" s="4"/>
      <c r="I223" s="4">
        <f t="shared" si="67"/>
        <v>7703</v>
      </c>
      <c r="J223" s="4">
        <v>227</v>
      </c>
      <c r="K223" s="4">
        <f t="shared" si="68"/>
        <v>6810</v>
      </c>
      <c r="L223" s="4">
        <v>0</v>
      </c>
      <c r="M223" s="4">
        <v>0</v>
      </c>
      <c r="N223" s="4">
        <f t="shared" si="69"/>
        <v>6810</v>
      </c>
      <c r="O223" s="14">
        <f t="shared" si="74"/>
        <v>0.88384166125892283</v>
      </c>
      <c r="P223" s="4">
        <v>20</v>
      </c>
      <c r="Q223" s="4">
        <f t="shared" si="70"/>
        <v>1000</v>
      </c>
      <c r="R223" s="4">
        <f>Q223*1000</f>
        <v>1000000</v>
      </c>
      <c r="S223" s="4">
        <v>2821.08</v>
      </c>
      <c r="T223" s="4">
        <f t="shared" si="72"/>
        <v>56421.599999999999</v>
      </c>
      <c r="U223" s="4">
        <v>1820.94</v>
      </c>
      <c r="V223" s="4">
        <v>2800</v>
      </c>
    </row>
    <row r="224" spans="1:22" x14ac:dyDescent="0.35">
      <c r="A224" s="3">
        <v>48</v>
      </c>
      <c r="B224" s="2">
        <v>46046</v>
      </c>
      <c r="C224" s="4"/>
      <c r="D224" s="18"/>
      <c r="E224" s="4">
        <f t="shared" si="73"/>
        <v>7703</v>
      </c>
      <c r="F224" s="4">
        <v>2</v>
      </c>
      <c r="G224" s="14">
        <f t="shared" si="66"/>
        <v>2.5963910164870832E-4</v>
      </c>
      <c r="H224" s="4"/>
      <c r="I224" s="4">
        <f t="shared" si="67"/>
        <v>7701</v>
      </c>
      <c r="J224" s="4">
        <v>221</v>
      </c>
      <c r="K224" s="4">
        <f t="shared" si="68"/>
        <v>6630</v>
      </c>
      <c r="L224" s="4">
        <v>0</v>
      </c>
      <c r="M224" s="4">
        <v>0</v>
      </c>
      <c r="N224" s="4">
        <f t="shared" si="69"/>
        <v>6630</v>
      </c>
      <c r="O224" s="14">
        <f t="shared" si="74"/>
        <v>0.86070362196546801</v>
      </c>
      <c r="P224" s="4">
        <v>20</v>
      </c>
      <c r="Q224" s="4">
        <f t="shared" si="70"/>
        <v>1000</v>
      </c>
      <c r="R224" s="4">
        <f>Q224*1000</f>
        <v>1000000</v>
      </c>
      <c r="S224" s="4">
        <v>2821.08</v>
      </c>
      <c r="T224" s="4">
        <f t="shared" si="72"/>
        <v>56421.599999999999</v>
      </c>
      <c r="U224" s="4">
        <v>1820.94</v>
      </c>
      <c r="V224" s="4">
        <v>2900</v>
      </c>
    </row>
    <row r="225" spans="1:22" x14ac:dyDescent="0.35">
      <c r="A225" s="3">
        <v>48</v>
      </c>
      <c r="B225" s="2">
        <v>46047</v>
      </c>
      <c r="C225" s="4"/>
      <c r="D225" s="18"/>
      <c r="E225" s="4">
        <f t="shared" si="73"/>
        <v>7701</v>
      </c>
      <c r="F225" s="4">
        <v>2</v>
      </c>
      <c r="G225" s="14">
        <f t="shared" si="66"/>
        <v>2.5970653161927021E-4</v>
      </c>
      <c r="H225" s="4">
        <v>52</v>
      </c>
      <c r="I225" s="4">
        <f t="shared" si="67"/>
        <v>7647</v>
      </c>
      <c r="J225" s="4">
        <v>228</v>
      </c>
      <c r="K225" s="4">
        <f t="shared" si="68"/>
        <v>6840</v>
      </c>
      <c r="L225" s="4">
        <v>0</v>
      </c>
      <c r="M225" s="4">
        <v>0</v>
      </c>
      <c r="N225" s="4">
        <f t="shared" si="69"/>
        <v>6840</v>
      </c>
      <c r="O225" s="14">
        <f t="shared" si="74"/>
        <v>0.88819633813790422</v>
      </c>
      <c r="P225" s="4">
        <v>20</v>
      </c>
      <c r="Q225" s="4">
        <f t="shared" si="70"/>
        <v>1000</v>
      </c>
      <c r="R225" s="4">
        <f t="shared" ref="R225:R231" si="75">Q225*1000</f>
        <v>1000000</v>
      </c>
      <c r="S225" s="4">
        <v>2821.08</v>
      </c>
      <c r="T225" s="4">
        <f t="shared" si="72"/>
        <v>56421.599999999999</v>
      </c>
      <c r="U225" s="4">
        <v>1820.94</v>
      </c>
      <c r="V225" s="4">
        <v>2900</v>
      </c>
    </row>
    <row r="226" spans="1:22" x14ac:dyDescent="0.35">
      <c r="A226" s="3">
        <v>48</v>
      </c>
      <c r="B226" s="2">
        <v>46048</v>
      </c>
      <c r="C226" s="4"/>
      <c r="D226" s="18"/>
      <c r="E226" s="4">
        <f t="shared" si="73"/>
        <v>7647</v>
      </c>
      <c r="F226" s="4">
        <v>1</v>
      </c>
      <c r="G226" s="14">
        <f t="shared" si="66"/>
        <v>1.307702366941284E-4</v>
      </c>
      <c r="H226" s="4"/>
      <c r="I226" s="4">
        <f t="shared" si="67"/>
        <v>7646</v>
      </c>
      <c r="J226" s="4">
        <v>224</v>
      </c>
      <c r="K226" s="4">
        <f t="shared" si="68"/>
        <v>6720</v>
      </c>
      <c r="L226" s="4">
        <v>0</v>
      </c>
      <c r="M226" s="4">
        <v>0</v>
      </c>
      <c r="N226" s="4">
        <f t="shared" si="69"/>
        <v>6720</v>
      </c>
      <c r="O226" s="14">
        <f t="shared" si="74"/>
        <v>0.87877599058454292</v>
      </c>
      <c r="P226" s="4">
        <v>19</v>
      </c>
      <c r="Q226" s="4">
        <f t="shared" si="70"/>
        <v>950</v>
      </c>
      <c r="R226" s="4">
        <f t="shared" si="75"/>
        <v>950000</v>
      </c>
      <c r="S226" s="4">
        <v>2821.08</v>
      </c>
      <c r="T226" s="4">
        <f t="shared" si="72"/>
        <v>53600.52</v>
      </c>
      <c r="U226" s="4">
        <v>1820.94</v>
      </c>
      <c r="V226" s="4">
        <v>2800</v>
      </c>
    </row>
    <row r="227" spans="1:22" x14ac:dyDescent="0.35">
      <c r="A227" s="3">
        <v>49</v>
      </c>
      <c r="B227" s="2">
        <v>46049</v>
      </c>
      <c r="C227" s="4"/>
      <c r="D227" s="18"/>
      <c r="E227" s="4">
        <f t="shared" si="73"/>
        <v>7646</v>
      </c>
      <c r="F227" s="4">
        <v>2</v>
      </c>
      <c r="G227" s="14">
        <f t="shared" si="66"/>
        <v>2.615746795710175E-4</v>
      </c>
      <c r="H227" s="4"/>
      <c r="I227" s="4">
        <f t="shared" si="67"/>
        <v>7644</v>
      </c>
      <c r="J227" s="4">
        <v>226</v>
      </c>
      <c r="K227" s="4">
        <f t="shared" si="68"/>
        <v>6780</v>
      </c>
      <c r="L227" s="4">
        <v>0</v>
      </c>
      <c r="M227" s="4">
        <v>0</v>
      </c>
      <c r="N227" s="4">
        <f t="shared" si="69"/>
        <v>6780</v>
      </c>
      <c r="O227" s="14">
        <f t="shared" si="74"/>
        <v>0.88673816374574943</v>
      </c>
      <c r="P227" s="4">
        <v>19</v>
      </c>
      <c r="Q227" s="4">
        <f t="shared" si="70"/>
        <v>950</v>
      </c>
      <c r="R227" s="4">
        <f t="shared" si="75"/>
        <v>950000</v>
      </c>
      <c r="S227" s="4">
        <v>2821.08</v>
      </c>
      <c r="T227" s="4">
        <f t="shared" si="72"/>
        <v>53600.52</v>
      </c>
      <c r="U227" s="4">
        <v>1820.94</v>
      </c>
      <c r="V227" s="4">
        <v>2800</v>
      </c>
    </row>
    <row r="228" spans="1:22" x14ac:dyDescent="0.35">
      <c r="A228" s="3">
        <v>49</v>
      </c>
      <c r="B228" s="2">
        <v>46050</v>
      </c>
      <c r="C228" s="4"/>
      <c r="D228" s="18"/>
      <c r="E228" s="4">
        <f t="shared" si="73"/>
        <v>7644</v>
      </c>
      <c r="F228" s="4">
        <v>0</v>
      </c>
      <c r="G228" s="14">
        <f t="shared" si="66"/>
        <v>0</v>
      </c>
      <c r="H228" s="4"/>
      <c r="I228" s="4">
        <f t="shared" si="67"/>
        <v>7644</v>
      </c>
      <c r="J228" s="4">
        <v>226</v>
      </c>
      <c r="K228" s="4">
        <f t="shared" si="68"/>
        <v>6780</v>
      </c>
      <c r="L228" s="4">
        <v>0</v>
      </c>
      <c r="M228" s="4">
        <v>0</v>
      </c>
      <c r="N228" s="4">
        <f t="shared" si="69"/>
        <v>6780</v>
      </c>
      <c r="O228" s="14">
        <f t="shared" si="74"/>
        <v>0.88697017268445844</v>
      </c>
      <c r="P228" s="4">
        <v>20</v>
      </c>
      <c r="Q228" s="4">
        <f t="shared" si="70"/>
        <v>1000</v>
      </c>
      <c r="R228" s="4">
        <f t="shared" si="75"/>
        <v>1000000</v>
      </c>
      <c r="S228" s="4">
        <v>2821.08</v>
      </c>
      <c r="T228" s="4">
        <f t="shared" si="72"/>
        <v>56421.599999999999</v>
      </c>
      <c r="U228" s="4">
        <v>1820.94</v>
      </c>
      <c r="V228" s="4">
        <v>2700</v>
      </c>
    </row>
    <row r="229" spans="1:22" x14ac:dyDescent="0.35">
      <c r="A229" s="3">
        <v>49</v>
      </c>
      <c r="B229" s="2">
        <v>46051</v>
      </c>
      <c r="C229" s="4"/>
      <c r="D229" s="18"/>
      <c r="E229" s="4">
        <f t="shared" si="73"/>
        <v>7644</v>
      </c>
      <c r="F229" s="4">
        <v>2</v>
      </c>
      <c r="G229" s="14">
        <f t="shared" si="66"/>
        <v>2.6164311878597594E-4</v>
      </c>
      <c r="H229" s="4"/>
      <c r="I229" s="4">
        <f t="shared" si="67"/>
        <v>7642</v>
      </c>
      <c r="J229" s="4">
        <v>227</v>
      </c>
      <c r="K229" s="4">
        <f t="shared" si="68"/>
        <v>6810</v>
      </c>
      <c r="L229" s="4">
        <v>0</v>
      </c>
      <c r="M229" s="4">
        <v>0</v>
      </c>
      <c r="N229" s="4">
        <f t="shared" si="69"/>
        <v>6810</v>
      </c>
      <c r="O229" s="14">
        <f t="shared" si="74"/>
        <v>0.89089481946624804</v>
      </c>
      <c r="P229" s="4">
        <v>20</v>
      </c>
      <c r="Q229" s="4">
        <f t="shared" si="70"/>
        <v>1000</v>
      </c>
      <c r="R229" s="4">
        <f t="shared" si="75"/>
        <v>1000000</v>
      </c>
      <c r="S229" s="4">
        <v>2821.08</v>
      </c>
      <c r="T229" s="4">
        <f t="shared" si="72"/>
        <v>56421.599999999999</v>
      </c>
      <c r="U229" s="4">
        <v>1820.94</v>
      </c>
      <c r="V229" s="4">
        <v>2700</v>
      </c>
    </row>
    <row r="230" spans="1:22" x14ac:dyDescent="0.35">
      <c r="A230" s="3">
        <v>49</v>
      </c>
      <c r="B230" s="2">
        <v>46052</v>
      </c>
      <c r="C230" s="4"/>
      <c r="D230" s="18"/>
      <c r="E230" s="4">
        <f t="shared" si="73"/>
        <v>7642</v>
      </c>
      <c r="F230" s="4">
        <v>0</v>
      </c>
      <c r="G230" s="14">
        <f t="shared" si="66"/>
        <v>0</v>
      </c>
      <c r="H230" s="4"/>
      <c r="I230" s="4">
        <f t="shared" si="67"/>
        <v>7642</v>
      </c>
      <c r="J230" s="4">
        <v>224</v>
      </c>
      <c r="K230" s="4">
        <f t="shared" si="68"/>
        <v>6720</v>
      </c>
      <c r="L230" s="4">
        <v>0</v>
      </c>
      <c r="M230" s="4">
        <v>0</v>
      </c>
      <c r="N230" s="4">
        <f t="shared" si="69"/>
        <v>6720</v>
      </c>
      <c r="O230" s="14">
        <f t="shared" si="74"/>
        <v>0.87935095524731743</v>
      </c>
      <c r="P230" s="4">
        <v>20</v>
      </c>
      <c r="Q230" s="4">
        <f t="shared" si="70"/>
        <v>1000</v>
      </c>
      <c r="R230" s="4">
        <f t="shared" si="75"/>
        <v>1000000</v>
      </c>
      <c r="S230" s="4">
        <v>2821.08</v>
      </c>
      <c r="T230" s="4">
        <f t="shared" si="72"/>
        <v>56421.599999999999</v>
      </c>
      <c r="U230" s="4">
        <v>1820.94</v>
      </c>
      <c r="V230" s="4">
        <v>2700</v>
      </c>
    </row>
    <row r="231" spans="1:22" x14ac:dyDescent="0.35">
      <c r="A231" s="3">
        <v>49</v>
      </c>
      <c r="B231" s="2">
        <v>46053</v>
      </c>
      <c r="C231" s="4"/>
      <c r="D231" s="18"/>
      <c r="E231" s="4">
        <f t="shared" si="73"/>
        <v>7642</v>
      </c>
      <c r="F231" s="4">
        <v>3</v>
      </c>
      <c r="G231" s="14">
        <f t="shared" si="66"/>
        <v>3.925673907354096E-4</v>
      </c>
      <c r="H231" s="4"/>
      <c r="I231" s="4">
        <f t="shared" si="67"/>
        <v>7639</v>
      </c>
      <c r="J231" s="4">
        <v>222</v>
      </c>
      <c r="K231" s="4">
        <f t="shared" si="68"/>
        <v>6660</v>
      </c>
      <c r="L231" s="4">
        <v>0</v>
      </c>
      <c r="M231" s="4">
        <v>0</v>
      </c>
      <c r="N231" s="4">
        <f t="shared" si="69"/>
        <v>6660</v>
      </c>
      <c r="O231" s="14">
        <f t="shared" si="74"/>
        <v>0.87149960743260924</v>
      </c>
      <c r="P231" s="4">
        <v>20</v>
      </c>
      <c r="Q231" s="4">
        <f t="shared" si="70"/>
        <v>1000</v>
      </c>
      <c r="R231" s="4">
        <f t="shared" si="75"/>
        <v>1000000</v>
      </c>
      <c r="S231" s="4">
        <v>2821.08</v>
      </c>
      <c r="T231" s="4">
        <f t="shared" si="72"/>
        <v>56421.599999999999</v>
      </c>
      <c r="U231" s="4">
        <v>1820.94</v>
      </c>
      <c r="V231" s="4">
        <v>2500</v>
      </c>
    </row>
    <row r="232" spans="1:22" x14ac:dyDescent="0.35">
      <c r="A232" s="3"/>
      <c r="B232" s="2"/>
      <c r="C232" s="4"/>
      <c r="D232" s="18"/>
      <c r="E232" s="4"/>
      <c r="F232" s="4">
        <f>SUM(F201:F231)</f>
        <v>51</v>
      </c>
      <c r="G232" s="14"/>
      <c r="H232" s="4"/>
      <c r="I232" s="4"/>
      <c r="J232" s="4"/>
      <c r="K232" s="4"/>
      <c r="L232" s="4"/>
      <c r="M232" s="4"/>
      <c r="N232" s="4"/>
      <c r="O232" s="14"/>
      <c r="P232" s="4"/>
      <c r="Q232" s="4"/>
      <c r="R232" s="4"/>
      <c r="S232" s="22"/>
      <c r="T232" s="4"/>
    </row>
    <row r="233" spans="1:22" x14ac:dyDescent="0.35">
      <c r="A233" s="3"/>
      <c r="B233" s="2"/>
      <c r="C233" s="4"/>
      <c r="D233" s="18"/>
      <c r="E233" s="4"/>
      <c r="F233" s="4"/>
      <c r="G233" s="14"/>
      <c r="H233" s="4"/>
      <c r="I233" s="4"/>
      <c r="J233" s="4"/>
      <c r="K233" s="4"/>
      <c r="L233" s="4"/>
      <c r="M233" s="4"/>
      <c r="N233" s="4"/>
      <c r="O233" s="14"/>
      <c r="P233" s="4"/>
      <c r="Q233" s="4"/>
      <c r="R233" s="4"/>
      <c r="S233" s="22"/>
      <c r="T233" s="4"/>
    </row>
    <row r="234" spans="1:22" x14ac:dyDescent="0.35">
      <c r="A234" s="1" t="s">
        <v>20</v>
      </c>
      <c r="B234" s="37" t="s">
        <v>1</v>
      </c>
      <c r="C234" s="38" t="s">
        <v>19</v>
      </c>
      <c r="D234" s="38" t="s">
        <v>18</v>
      </c>
      <c r="E234" s="39" t="s">
        <v>2</v>
      </c>
      <c r="F234" s="40" t="s">
        <v>3</v>
      </c>
      <c r="G234" s="41" t="s">
        <v>4</v>
      </c>
      <c r="H234" s="40" t="s">
        <v>5</v>
      </c>
      <c r="I234" s="42" t="s">
        <v>6</v>
      </c>
      <c r="J234" s="43" t="s">
        <v>7</v>
      </c>
      <c r="K234" s="40" t="s">
        <v>8</v>
      </c>
      <c r="L234" s="40" t="s">
        <v>9</v>
      </c>
      <c r="M234" s="40" t="s">
        <v>10</v>
      </c>
      <c r="N234" s="40" t="s">
        <v>11</v>
      </c>
      <c r="O234" s="44" t="s">
        <v>12</v>
      </c>
      <c r="P234" s="43" t="s">
        <v>13</v>
      </c>
      <c r="Q234" s="40" t="s">
        <v>14</v>
      </c>
      <c r="R234" s="45" t="s">
        <v>15</v>
      </c>
      <c r="S234" s="46" t="s">
        <v>16</v>
      </c>
      <c r="T234" s="47" t="s">
        <v>17</v>
      </c>
      <c r="U234" s="48" t="s">
        <v>22</v>
      </c>
      <c r="V234" s="48" t="s">
        <v>24</v>
      </c>
    </row>
    <row r="235" spans="1:22" x14ac:dyDescent="0.35">
      <c r="A235" s="3">
        <v>49</v>
      </c>
      <c r="B235" s="2">
        <v>46054</v>
      </c>
      <c r="C235" s="18"/>
      <c r="D235" s="18"/>
      <c r="E235" s="4">
        <v>7639</v>
      </c>
      <c r="F235" s="4">
        <v>2</v>
      </c>
      <c r="G235" s="14">
        <f t="shared" ref="G235:G262" si="76">F235/E235</f>
        <v>2.6181437360911112E-4</v>
      </c>
      <c r="H235" s="4"/>
      <c r="I235" s="4">
        <f t="shared" ref="I235:I262" si="77">E235-F235-H235</f>
        <v>7637</v>
      </c>
      <c r="J235" s="4">
        <v>225</v>
      </c>
      <c r="K235" s="4">
        <f t="shared" ref="K235:K262" si="78">J235*30</f>
        <v>6750</v>
      </c>
      <c r="L235" s="4">
        <v>0</v>
      </c>
      <c r="M235" s="4">
        <v>0</v>
      </c>
      <c r="N235" s="4">
        <f t="shared" ref="N235:N244" si="79">K235+L235-M235</f>
        <v>6750</v>
      </c>
      <c r="O235" s="14">
        <f t="shared" ref="O235:O240" si="80">N235/E235</f>
        <v>0.88362351093075009</v>
      </c>
      <c r="P235" s="4">
        <v>20</v>
      </c>
      <c r="Q235" s="4">
        <f t="shared" ref="Q235:Q244" si="81">P235*50</f>
        <v>1000</v>
      </c>
      <c r="R235" s="4">
        <f t="shared" ref="R235:R262" si="82">Q235*1000</f>
        <v>1000000</v>
      </c>
      <c r="S235" s="4">
        <v>2821.08</v>
      </c>
      <c r="T235" s="4">
        <f t="shared" ref="T235:T262" si="83">P235*S235</f>
        <v>56421.599999999999</v>
      </c>
      <c r="U235" s="4">
        <v>1820.94</v>
      </c>
      <c r="V235" s="4">
        <v>2400</v>
      </c>
    </row>
    <row r="236" spans="1:22" x14ac:dyDescent="0.35">
      <c r="A236" s="3">
        <v>49</v>
      </c>
      <c r="B236" s="2">
        <v>46055</v>
      </c>
      <c r="C236" s="19"/>
      <c r="D236" s="19"/>
      <c r="E236" s="4">
        <f>I235</f>
        <v>7637</v>
      </c>
      <c r="F236" s="4">
        <v>2</v>
      </c>
      <c r="G236" s="14">
        <f t="shared" si="76"/>
        <v>2.6188293832656804E-4</v>
      </c>
      <c r="H236" s="7"/>
      <c r="I236" s="4">
        <f t="shared" si="77"/>
        <v>7635</v>
      </c>
      <c r="J236" s="4">
        <v>225</v>
      </c>
      <c r="K236" s="4">
        <f t="shared" si="78"/>
        <v>6750</v>
      </c>
      <c r="L236" s="4">
        <v>0</v>
      </c>
      <c r="M236" s="4">
        <v>0</v>
      </c>
      <c r="N236" s="4">
        <f t="shared" si="79"/>
        <v>6750</v>
      </c>
      <c r="O236" s="14">
        <f t="shared" si="80"/>
        <v>0.88385491685216711</v>
      </c>
      <c r="P236" s="4">
        <v>20</v>
      </c>
      <c r="Q236" s="4">
        <f t="shared" si="81"/>
        <v>1000</v>
      </c>
      <c r="R236" s="4">
        <f t="shared" si="82"/>
        <v>1000000</v>
      </c>
      <c r="S236" s="4">
        <v>2821.08</v>
      </c>
      <c r="T236" s="4">
        <f t="shared" si="83"/>
        <v>56421.599999999999</v>
      </c>
      <c r="U236" s="4">
        <v>1820.94</v>
      </c>
      <c r="V236" s="4">
        <v>2700</v>
      </c>
    </row>
    <row r="237" spans="1:22" x14ac:dyDescent="0.35">
      <c r="A237" s="3">
        <v>50</v>
      </c>
      <c r="B237" s="2">
        <v>46056</v>
      </c>
      <c r="C237" s="4"/>
      <c r="D237" s="18"/>
      <c r="E237" s="4">
        <f t="shared" ref="E237:E262" si="84">I236</f>
        <v>7635</v>
      </c>
      <c r="F237" s="4">
        <v>3</v>
      </c>
      <c r="G237" s="14">
        <f t="shared" si="76"/>
        <v>3.9292730844793711E-4</v>
      </c>
      <c r="H237" s="4"/>
      <c r="I237" s="4">
        <f t="shared" si="77"/>
        <v>7632</v>
      </c>
      <c r="J237" s="4">
        <v>226</v>
      </c>
      <c r="K237" s="4">
        <f t="shared" si="78"/>
        <v>6780</v>
      </c>
      <c r="L237" s="4">
        <v>0</v>
      </c>
      <c r="M237" s="4">
        <v>0</v>
      </c>
      <c r="N237" s="4">
        <f t="shared" si="79"/>
        <v>6780</v>
      </c>
      <c r="O237" s="14">
        <f t="shared" si="80"/>
        <v>0.88801571709233795</v>
      </c>
      <c r="P237" s="4">
        <v>20</v>
      </c>
      <c r="Q237" s="4">
        <f t="shared" si="81"/>
        <v>1000</v>
      </c>
      <c r="R237" s="4">
        <f t="shared" si="82"/>
        <v>1000000</v>
      </c>
      <c r="S237" s="4">
        <v>2821.08</v>
      </c>
      <c r="T237" s="4">
        <f t="shared" si="83"/>
        <v>56421.599999999999</v>
      </c>
      <c r="U237" s="4">
        <v>1820.94</v>
      </c>
      <c r="V237" s="4">
        <v>3400</v>
      </c>
    </row>
    <row r="238" spans="1:22" x14ac:dyDescent="0.35">
      <c r="A238" s="3">
        <v>50</v>
      </c>
      <c r="B238" s="2">
        <v>46057</v>
      </c>
      <c r="C238" s="4"/>
      <c r="D238" s="18"/>
      <c r="E238" s="4">
        <f t="shared" si="84"/>
        <v>7632</v>
      </c>
      <c r="F238" s="4">
        <v>0</v>
      </c>
      <c r="G238" s="14">
        <f t="shared" si="76"/>
        <v>0</v>
      </c>
      <c r="H238" s="4"/>
      <c r="I238" s="4">
        <f t="shared" si="77"/>
        <v>7632</v>
      </c>
      <c r="J238" s="4">
        <v>227</v>
      </c>
      <c r="K238" s="4">
        <f t="shared" si="78"/>
        <v>6810</v>
      </c>
      <c r="L238" s="4">
        <v>0</v>
      </c>
      <c r="M238" s="4">
        <v>0</v>
      </c>
      <c r="N238" s="4">
        <f t="shared" si="79"/>
        <v>6810</v>
      </c>
      <c r="O238" s="14">
        <f t="shared" si="80"/>
        <v>0.89229559748427678</v>
      </c>
      <c r="P238" s="4">
        <v>20</v>
      </c>
      <c r="Q238" s="4">
        <f t="shared" si="81"/>
        <v>1000</v>
      </c>
      <c r="R238" s="4">
        <f t="shared" si="82"/>
        <v>1000000</v>
      </c>
      <c r="S238" s="4">
        <v>2821.08</v>
      </c>
      <c r="T238" s="4">
        <f t="shared" si="83"/>
        <v>56421.599999999999</v>
      </c>
      <c r="U238" s="4">
        <v>1820.94</v>
      </c>
      <c r="V238" s="4">
        <v>2700</v>
      </c>
    </row>
    <row r="239" spans="1:22" x14ac:dyDescent="0.35">
      <c r="A239" s="3">
        <v>50</v>
      </c>
      <c r="B239" s="2">
        <v>46058</v>
      </c>
      <c r="C239" s="4"/>
      <c r="D239" s="18"/>
      <c r="E239" s="4">
        <f t="shared" si="84"/>
        <v>7632</v>
      </c>
      <c r="F239" s="4">
        <v>1</v>
      </c>
      <c r="G239" s="14">
        <f t="shared" si="76"/>
        <v>1.3102725366876311E-4</v>
      </c>
      <c r="H239" s="4"/>
      <c r="I239" s="4">
        <f t="shared" si="77"/>
        <v>7631</v>
      </c>
      <c r="J239" s="4">
        <v>227</v>
      </c>
      <c r="K239" s="4">
        <f t="shared" si="78"/>
        <v>6810</v>
      </c>
      <c r="L239" s="4">
        <v>0</v>
      </c>
      <c r="M239" s="4">
        <v>0</v>
      </c>
      <c r="N239" s="4">
        <f t="shared" si="79"/>
        <v>6810</v>
      </c>
      <c r="O239" s="14">
        <f t="shared" si="80"/>
        <v>0.89229559748427678</v>
      </c>
      <c r="P239" s="4">
        <v>20</v>
      </c>
      <c r="Q239" s="4">
        <f t="shared" si="81"/>
        <v>1000</v>
      </c>
      <c r="R239" s="4">
        <f t="shared" si="82"/>
        <v>1000000</v>
      </c>
      <c r="S239" s="4">
        <v>2810.83</v>
      </c>
      <c r="T239" s="4">
        <f t="shared" si="83"/>
        <v>56216.6</v>
      </c>
      <c r="U239" s="4">
        <v>1820.94</v>
      </c>
      <c r="V239" s="4">
        <v>2600</v>
      </c>
    </row>
    <row r="240" spans="1:22" x14ac:dyDescent="0.35">
      <c r="A240" s="3">
        <v>50</v>
      </c>
      <c r="B240" s="2">
        <v>46059</v>
      </c>
      <c r="C240" s="4"/>
      <c r="D240" s="18"/>
      <c r="E240" s="4">
        <f t="shared" si="84"/>
        <v>7631</v>
      </c>
      <c r="F240" s="4">
        <v>2</v>
      </c>
      <c r="G240" s="14">
        <f t="shared" si="76"/>
        <v>2.620888481195125E-4</v>
      </c>
      <c r="H240" s="4"/>
      <c r="I240" s="4">
        <f t="shared" si="77"/>
        <v>7629</v>
      </c>
      <c r="J240" s="4">
        <v>226</v>
      </c>
      <c r="K240" s="4">
        <f t="shared" si="78"/>
        <v>6780</v>
      </c>
      <c r="L240" s="4">
        <v>0</v>
      </c>
      <c r="M240" s="4">
        <v>0</v>
      </c>
      <c r="N240" s="4">
        <f t="shared" si="79"/>
        <v>6780</v>
      </c>
      <c r="O240" s="14">
        <f t="shared" si="80"/>
        <v>0.88848119512514745</v>
      </c>
      <c r="P240" s="4">
        <v>20</v>
      </c>
      <c r="Q240" s="4">
        <f t="shared" si="81"/>
        <v>1000</v>
      </c>
      <c r="R240" s="4">
        <f t="shared" si="82"/>
        <v>1000000</v>
      </c>
      <c r="S240" s="4">
        <v>2810.83</v>
      </c>
      <c r="T240" s="4">
        <f t="shared" si="83"/>
        <v>56216.6</v>
      </c>
      <c r="U240" s="4">
        <v>1820.94</v>
      </c>
      <c r="V240" s="4">
        <v>2600</v>
      </c>
    </row>
    <row r="241" spans="1:22" x14ac:dyDescent="0.35">
      <c r="A241" s="3">
        <v>50</v>
      </c>
      <c r="B241" s="2">
        <v>46060</v>
      </c>
      <c r="C241" s="4"/>
      <c r="D241" s="18"/>
      <c r="E241" s="4">
        <f t="shared" si="84"/>
        <v>7629</v>
      </c>
      <c r="F241" s="4">
        <v>2</v>
      </c>
      <c r="G241" s="14">
        <f t="shared" si="76"/>
        <v>2.6215755669157164E-4</v>
      </c>
      <c r="H241" s="4"/>
      <c r="I241" s="4">
        <f t="shared" si="77"/>
        <v>7627</v>
      </c>
      <c r="J241" s="4">
        <v>223</v>
      </c>
      <c r="K241" s="4">
        <f t="shared" si="78"/>
        <v>6690</v>
      </c>
      <c r="L241" s="4">
        <v>0</v>
      </c>
      <c r="M241" s="4">
        <v>0</v>
      </c>
      <c r="N241" s="4">
        <f t="shared" si="79"/>
        <v>6690</v>
      </c>
      <c r="O241" s="14">
        <f>N241/E241</f>
        <v>0.8769170271333071</v>
      </c>
      <c r="P241" s="4">
        <v>20</v>
      </c>
      <c r="Q241" s="4">
        <f t="shared" si="81"/>
        <v>1000</v>
      </c>
      <c r="R241" s="4">
        <f t="shared" si="82"/>
        <v>1000000</v>
      </c>
      <c r="S241" s="4">
        <v>2810.83</v>
      </c>
      <c r="T241" s="4">
        <f t="shared" si="83"/>
        <v>56216.6</v>
      </c>
      <c r="U241" s="4">
        <v>1820.94</v>
      </c>
      <c r="V241" s="4">
        <v>2700</v>
      </c>
    </row>
    <row r="242" spans="1:22" x14ac:dyDescent="0.35">
      <c r="A242" s="3">
        <v>50</v>
      </c>
      <c r="B242" s="2">
        <v>46061</v>
      </c>
      <c r="C242" s="4"/>
      <c r="D242" s="18"/>
      <c r="E242" s="4">
        <f t="shared" si="84"/>
        <v>7627</v>
      </c>
      <c r="F242" s="4">
        <v>2</v>
      </c>
      <c r="G242" s="14">
        <f t="shared" si="76"/>
        <v>2.6222630129802018E-4</v>
      </c>
      <c r="H242" s="4"/>
      <c r="I242" s="4">
        <f t="shared" si="77"/>
        <v>7625</v>
      </c>
      <c r="J242" s="4">
        <v>222</v>
      </c>
      <c r="K242" s="4">
        <f t="shared" si="78"/>
        <v>6660</v>
      </c>
      <c r="L242" s="4">
        <v>0</v>
      </c>
      <c r="M242" s="4">
        <v>0</v>
      </c>
      <c r="N242" s="4">
        <f t="shared" si="79"/>
        <v>6660</v>
      </c>
      <c r="O242" s="14">
        <f>N242/E242</f>
        <v>0.87321358332240728</v>
      </c>
      <c r="P242" s="4">
        <v>20</v>
      </c>
      <c r="Q242" s="4">
        <f t="shared" si="81"/>
        <v>1000</v>
      </c>
      <c r="R242" s="4">
        <f t="shared" si="82"/>
        <v>1000000</v>
      </c>
      <c r="S242" s="4">
        <v>2810.83</v>
      </c>
      <c r="T242" s="4">
        <f t="shared" si="83"/>
        <v>56216.6</v>
      </c>
      <c r="U242" s="4">
        <v>1820.94</v>
      </c>
      <c r="V242" s="4">
        <v>2600</v>
      </c>
    </row>
    <row r="243" spans="1:22" x14ac:dyDescent="0.35">
      <c r="A243" s="3">
        <v>50</v>
      </c>
      <c r="B243" s="2">
        <v>46062</v>
      </c>
      <c r="C243" s="4"/>
      <c r="D243" s="18"/>
      <c r="E243" s="4">
        <f t="shared" si="84"/>
        <v>7625</v>
      </c>
      <c r="F243" s="4">
        <v>1</v>
      </c>
      <c r="G243" s="14">
        <f t="shared" si="76"/>
        <v>1.3114754098360657E-4</v>
      </c>
      <c r="H243" s="4"/>
      <c r="I243" s="4">
        <f t="shared" si="77"/>
        <v>7624</v>
      </c>
      <c r="J243" s="4">
        <v>222</v>
      </c>
      <c r="K243" s="4">
        <f t="shared" si="78"/>
        <v>6660</v>
      </c>
      <c r="L243" s="4">
        <v>0</v>
      </c>
      <c r="M243" s="4">
        <v>0</v>
      </c>
      <c r="N243" s="4">
        <f t="shared" si="79"/>
        <v>6660</v>
      </c>
      <c r="O243" s="14">
        <f>N243/E243</f>
        <v>0.87344262295081965</v>
      </c>
      <c r="P243" s="4">
        <v>20</v>
      </c>
      <c r="Q243" s="4">
        <f t="shared" si="81"/>
        <v>1000</v>
      </c>
      <c r="R243" s="4">
        <f t="shared" si="82"/>
        <v>1000000</v>
      </c>
      <c r="S243" s="4">
        <v>2810.83</v>
      </c>
      <c r="T243" s="4">
        <f t="shared" si="83"/>
        <v>56216.6</v>
      </c>
      <c r="U243" s="4">
        <v>1820.94</v>
      </c>
      <c r="V243" s="4">
        <v>2200</v>
      </c>
    </row>
    <row r="244" spans="1:22" x14ac:dyDescent="0.35">
      <c r="A244" s="3">
        <v>51</v>
      </c>
      <c r="B244" s="2">
        <v>46063</v>
      </c>
      <c r="C244" s="4"/>
      <c r="D244" s="18"/>
      <c r="E244" s="4">
        <f t="shared" si="84"/>
        <v>7624</v>
      </c>
      <c r="F244" s="4">
        <v>0</v>
      </c>
      <c r="G244" s="14">
        <f t="shared" si="76"/>
        <v>0</v>
      </c>
      <c r="H244" s="4"/>
      <c r="I244" s="4">
        <f t="shared" si="77"/>
        <v>7624</v>
      </c>
      <c r="J244" s="4">
        <v>222</v>
      </c>
      <c r="K244" s="4">
        <f t="shared" si="78"/>
        <v>6660</v>
      </c>
      <c r="L244" s="4">
        <v>0</v>
      </c>
      <c r="M244" s="4">
        <v>0</v>
      </c>
      <c r="N244" s="4">
        <f t="shared" si="79"/>
        <v>6660</v>
      </c>
      <c r="O244" s="14">
        <f>N244/E244</f>
        <v>0.87355718782791181</v>
      </c>
      <c r="P244" s="4">
        <v>20</v>
      </c>
      <c r="Q244" s="4">
        <f t="shared" si="81"/>
        <v>1000</v>
      </c>
      <c r="R244" s="4">
        <f t="shared" si="82"/>
        <v>1000000</v>
      </c>
      <c r="S244" s="4">
        <v>2810.83</v>
      </c>
      <c r="T244" s="4">
        <f t="shared" si="83"/>
        <v>56216.6</v>
      </c>
      <c r="U244" s="4">
        <v>1820.94</v>
      </c>
      <c r="V244" s="4">
        <v>2500</v>
      </c>
    </row>
    <row r="245" spans="1:22" x14ac:dyDescent="0.35">
      <c r="A245" s="3">
        <v>51</v>
      </c>
      <c r="B245" s="2">
        <v>46064</v>
      </c>
      <c r="C245" s="4"/>
      <c r="D245" s="18"/>
      <c r="E245" s="4">
        <f t="shared" si="84"/>
        <v>7624</v>
      </c>
      <c r="F245" s="4">
        <v>1</v>
      </c>
      <c r="G245" s="14">
        <f t="shared" si="76"/>
        <v>1.3116474291710389E-4</v>
      </c>
      <c r="H245" s="4"/>
      <c r="I245" s="4">
        <f t="shared" si="77"/>
        <v>7623</v>
      </c>
      <c r="J245" s="4">
        <v>219</v>
      </c>
      <c r="K245" s="4">
        <f t="shared" si="78"/>
        <v>6570</v>
      </c>
      <c r="L245" s="4">
        <v>0</v>
      </c>
      <c r="M245" s="4">
        <v>0</v>
      </c>
      <c r="N245" s="4">
        <f t="shared" ref="N245:N262" si="85">K245+L245-M245</f>
        <v>6570</v>
      </c>
      <c r="O245" s="14">
        <f t="shared" ref="O245:O262" si="86">N245/E245</f>
        <v>0.86175236096537255</v>
      </c>
      <c r="P245" s="4">
        <v>20</v>
      </c>
      <c r="Q245" s="4">
        <f t="shared" ref="Q245:Q262" si="87">P245*50</f>
        <v>1000</v>
      </c>
      <c r="R245" s="4">
        <f t="shared" si="82"/>
        <v>1000000</v>
      </c>
      <c r="S245" s="4">
        <v>2809.08</v>
      </c>
      <c r="T245" s="4">
        <f t="shared" si="83"/>
        <v>56181.599999999999</v>
      </c>
      <c r="U245" s="4">
        <v>1820.94</v>
      </c>
      <c r="V245" s="4">
        <v>2500</v>
      </c>
    </row>
    <row r="246" spans="1:22" x14ac:dyDescent="0.35">
      <c r="A246" s="3">
        <v>51</v>
      </c>
      <c r="B246" s="2">
        <v>46065</v>
      </c>
      <c r="C246" s="4"/>
      <c r="D246" s="18"/>
      <c r="E246" s="4">
        <f t="shared" si="84"/>
        <v>7623</v>
      </c>
      <c r="F246" s="4">
        <v>1</v>
      </c>
      <c r="G246" s="14">
        <f t="shared" si="76"/>
        <v>1.3118194936376755E-4</v>
      </c>
      <c r="H246" s="4"/>
      <c r="I246" s="4">
        <f t="shared" si="77"/>
        <v>7622</v>
      </c>
      <c r="J246" s="4">
        <v>221</v>
      </c>
      <c r="K246" s="4">
        <f t="shared" si="78"/>
        <v>6630</v>
      </c>
      <c r="L246" s="4">
        <v>0</v>
      </c>
      <c r="M246" s="4">
        <v>0</v>
      </c>
      <c r="N246" s="4">
        <f t="shared" si="85"/>
        <v>6630</v>
      </c>
      <c r="O246" s="14">
        <f t="shared" si="86"/>
        <v>0.86973632428177883</v>
      </c>
      <c r="P246" s="4">
        <v>20</v>
      </c>
      <c r="Q246" s="4">
        <f t="shared" si="87"/>
        <v>1000</v>
      </c>
      <c r="R246" s="4">
        <f t="shared" si="82"/>
        <v>1000000</v>
      </c>
      <c r="S246" s="4">
        <v>2809.08</v>
      </c>
      <c r="T246" s="4">
        <f t="shared" si="83"/>
        <v>56181.599999999999</v>
      </c>
      <c r="U246" s="4">
        <v>1820.94</v>
      </c>
      <c r="V246" s="4">
        <v>2500</v>
      </c>
    </row>
    <row r="247" spans="1:22" x14ac:dyDescent="0.35">
      <c r="A247" s="3">
        <v>51</v>
      </c>
      <c r="B247" s="2">
        <v>46066</v>
      </c>
      <c r="C247" s="4"/>
      <c r="D247" s="18"/>
      <c r="E247" s="4">
        <f t="shared" si="84"/>
        <v>7622</v>
      </c>
      <c r="F247" s="4">
        <v>0</v>
      </c>
      <c r="G247" s="14">
        <f t="shared" si="76"/>
        <v>0</v>
      </c>
      <c r="H247" s="4"/>
      <c r="I247" s="4">
        <f t="shared" si="77"/>
        <v>7622</v>
      </c>
      <c r="J247" s="4">
        <v>223</v>
      </c>
      <c r="K247" s="4">
        <f t="shared" si="78"/>
        <v>6690</v>
      </c>
      <c r="L247" s="4">
        <v>0</v>
      </c>
      <c r="M247" s="4">
        <v>0</v>
      </c>
      <c r="N247" s="4">
        <f t="shared" si="85"/>
        <v>6690</v>
      </c>
      <c r="O247" s="14">
        <f t="shared" si="86"/>
        <v>0.8777223825767515</v>
      </c>
      <c r="P247" s="4">
        <v>20</v>
      </c>
      <c r="Q247" s="4">
        <f t="shared" si="87"/>
        <v>1000</v>
      </c>
      <c r="R247" s="4">
        <f t="shared" si="82"/>
        <v>1000000</v>
      </c>
      <c r="S247" s="4">
        <v>2809.08</v>
      </c>
      <c r="T247" s="4">
        <f t="shared" si="83"/>
        <v>56181.599999999999</v>
      </c>
      <c r="U247" s="4">
        <v>1820.94</v>
      </c>
      <c r="V247" s="4">
        <v>2400</v>
      </c>
    </row>
    <row r="248" spans="1:22" x14ac:dyDescent="0.35">
      <c r="A248" s="3">
        <v>51</v>
      </c>
      <c r="B248" s="2">
        <v>46067</v>
      </c>
      <c r="C248" s="4"/>
      <c r="D248" s="18"/>
      <c r="E248" s="4">
        <f t="shared" si="84"/>
        <v>7622</v>
      </c>
      <c r="F248" s="4">
        <v>0</v>
      </c>
      <c r="G248" s="14">
        <f t="shared" si="76"/>
        <v>0</v>
      </c>
      <c r="H248" s="4"/>
      <c r="I248" s="4">
        <f t="shared" si="77"/>
        <v>7622</v>
      </c>
      <c r="J248" s="4">
        <v>224</v>
      </c>
      <c r="K248" s="4">
        <f t="shared" si="78"/>
        <v>6720</v>
      </c>
      <c r="L248" s="4">
        <v>0</v>
      </c>
      <c r="M248" s="4">
        <v>0</v>
      </c>
      <c r="N248" s="4">
        <f t="shared" si="85"/>
        <v>6720</v>
      </c>
      <c r="O248" s="14">
        <f t="shared" si="86"/>
        <v>0.88165835738651277</v>
      </c>
      <c r="P248" s="4">
        <v>20</v>
      </c>
      <c r="Q248" s="4">
        <f t="shared" si="87"/>
        <v>1000</v>
      </c>
      <c r="R248" s="4">
        <f t="shared" si="82"/>
        <v>1000000</v>
      </c>
      <c r="S248" s="4">
        <v>2809.08</v>
      </c>
      <c r="T248" s="4">
        <f t="shared" si="83"/>
        <v>56181.599999999999</v>
      </c>
      <c r="U248" s="4">
        <v>1820.94</v>
      </c>
      <c r="V248" s="4">
        <v>2300</v>
      </c>
    </row>
    <row r="249" spans="1:22" x14ac:dyDescent="0.35">
      <c r="A249" s="3">
        <v>51</v>
      </c>
      <c r="B249" s="2">
        <v>46068</v>
      </c>
      <c r="C249" s="4"/>
      <c r="D249" s="18"/>
      <c r="E249" s="4">
        <f t="shared" si="84"/>
        <v>7622</v>
      </c>
      <c r="F249" s="4">
        <v>1</v>
      </c>
      <c r="G249" s="14">
        <f t="shared" si="76"/>
        <v>1.3119916032537391E-4</v>
      </c>
      <c r="H249" s="4"/>
      <c r="I249" s="4">
        <f t="shared" si="77"/>
        <v>7621</v>
      </c>
      <c r="J249" s="4">
        <v>225</v>
      </c>
      <c r="K249" s="4">
        <f t="shared" si="78"/>
        <v>6750</v>
      </c>
      <c r="L249" s="4">
        <v>0</v>
      </c>
      <c r="M249" s="4">
        <v>0</v>
      </c>
      <c r="N249" s="4">
        <f t="shared" si="85"/>
        <v>6750</v>
      </c>
      <c r="O249" s="14">
        <f t="shared" si="86"/>
        <v>0.88559433219627393</v>
      </c>
      <c r="P249" s="4">
        <v>20</v>
      </c>
      <c r="Q249" s="4">
        <f t="shared" si="87"/>
        <v>1000</v>
      </c>
      <c r="R249" s="4">
        <f t="shared" si="82"/>
        <v>1000000</v>
      </c>
      <c r="S249" s="4">
        <v>2809.08</v>
      </c>
      <c r="T249" s="4">
        <f t="shared" si="83"/>
        <v>56181.599999999999</v>
      </c>
      <c r="U249" s="4">
        <v>1820.94</v>
      </c>
      <c r="V249" s="4">
        <v>2400</v>
      </c>
    </row>
    <row r="250" spans="1:22" x14ac:dyDescent="0.35">
      <c r="A250" s="3">
        <v>51</v>
      </c>
      <c r="B250" s="2">
        <v>46069</v>
      </c>
      <c r="C250" s="4"/>
      <c r="D250" s="18"/>
      <c r="E250" s="4">
        <f t="shared" si="84"/>
        <v>7621</v>
      </c>
      <c r="F250" s="4">
        <v>1</v>
      </c>
      <c r="G250" s="14">
        <f t="shared" si="76"/>
        <v>1.312163758037003E-4</v>
      </c>
      <c r="H250" s="4"/>
      <c r="I250" s="4">
        <f t="shared" si="77"/>
        <v>7620</v>
      </c>
      <c r="J250" s="4">
        <v>225</v>
      </c>
      <c r="K250" s="4">
        <f t="shared" si="78"/>
        <v>6750</v>
      </c>
      <c r="L250" s="4">
        <v>0</v>
      </c>
      <c r="M250" s="4">
        <v>0</v>
      </c>
      <c r="N250" s="4">
        <f t="shared" si="85"/>
        <v>6750</v>
      </c>
      <c r="O250" s="14">
        <f t="shared" si="86"/>
        <v>0.88571053667497701</v>
      </c>
      <c r="P250" s="4">
        <v>20</v>
      </c>
      <c r="Q250" s="4">
        <f t="shared" si="87"/>
        <v>1000</v>
      </c>
      <c r="R250" s="4">
        <f t="shared" si="82"/>
        <v>1000000</v>
      </c>
      <c r="S250" s="4">
        <v>2809.08</v>
      </c>
      <c r="T250" s="4">
        <f t="shared" si="83"/>
        <v>56181.599999999999</v>
      </c>
      <c r="U250" s="4">
        <v>1820.94</v>
      </c>
      <c r="V250" s="4">
        <v>2700</v>
      </c>
    </row>
    <row r="251" spans="1:22" x14ac:dyDescent="0.35">
      <c r="A251" s="3">
        <v>52</v>
      </c>
      <c r="B251" s="2">
        <v>46070</v>
      </c>
      <c r="C251" s="4"/>
      <c r="D251" s="18"/>
      <c r="E251" s="4">
        <f t="shared" si="84"/>
        <v>7620</v>
      </c>
      <c r="F251" s="4">
        <v>0</v>
      </c>
      <c r="G251" s="14">
        <f t="shared" si="76"/>
        <v>0</v>
      </c>
      <c r="H251" s="4"/>
      <c r="I251" s="4">
        <f t="shared" si="77"/>
        <v>7620</v>
      </c>
      <c r="J251" s="4">
        <v>226</v>
      </c>
      <c r="K251" s="4">
        <f t="shared" si="78"/>
        <v>6780</v>
      </c>
      <c r="L251" s="4">
        <v>0</v>
      </c>
      <c r="M251" s="4">
        <v>0</v>
      </c>
      <c r="N251" s="4">
        <f t="shared" si="85"/>
        <v>6780</v>
      </c>
      <c r="O251" s="14">
        <f t="shared" si="86"/>
        <v>0.88976377952755903</v>
      </c>
      <c r="P251" s="4">
        <v>20</v>
      </c>
      <c r="Q251" s="4">
        <f t="shared" si="87"/>
        <v>1000</v>
      </c>
      <c r="R251" s="4">
        <f t="shared" si="82"/>
        <v>1000000</v>
      </c>
      <c r="S251" s="4">
        <v>2809.08</v>
      </c>
      <c r="T251" s="4">
        <f t="shared" si="83"/>
        <v>56181.599999999999</v>
      </c>
      <c r="U251" s="4">
        <v>1820.94</v>
      </c>
      <c r="V251" s="4">
        <v>2400</v>
      </c>
    </row>
    <row r="252" spans="1:22" x14ac:dyDescent="0.35">
      <c r="A252" s="3">
        <v>52</v>
      </c>
      <c r="B252" s="2">
        <v>46071</v>
      </c>
      <c r="C252" s="4"/>
      <c r="D252" s="18"/>
      <c r="E252" s="4">
        <f t="shared" si="84"/>
        <v>7620</v>
      </c>
      <c r="F252" s="4">
        <v>1</v>
      </c>
      <c r="G252" s="14">
        <f t="shared" si="76"/>
        <v>1.3123359580052493E-4</v>
      </c>
      <c r="H252" s="4"/>
      <c r="I252" s="4">
        <f t="shared" si="77"/>
        <v>7619</v>
      </c>
      <c r="J252" s="4">
        <v>228</v>
      </c>
      <c r="K252" s="4">
        <f t="shared" si="78"/>
        <v>6840</v>
      </c>
      <c r="L252" s="4">
        <v>0</v>
      </c>
      <c r="M252" s="4">
        <v>0</v>
      </c>
      <c r="N252" s="4">
        <f t="shared" si="85"/>
        <v>6840</v>
      </c>
      <c r="O252" s="14">
        <f t="shared" si="86"/>
        <v>0.89763779527559051</v>
      </c>
      <c r="P252" s="4">
        <v>20</v>
      </c>
      <c r="Q252" s="4">
        <f t="shared" si="87"/>
        <v>1000</v>
      </c>
      <c r="R252" s="4">
        <f t="shared" si="82"/>
        <v>1000000</v>
      </c>
      <c r="S252" s="4">
        <v>2809.08</v>
      </c>
      <c r="T252" s="4">
        <f t="shared" si="83"/>
        <v>56181.599999999999</v>
      </c>
      <c r="U252" s="4">
        <v>1820.94</v>
      </c>
      <c r="V252" s="4">
        <v>2400</v>
      </c>
    </row>
    <row r="253" spans="1:22" x14ac:dyDescent="0.35">
      <c r="A253" s="3">
        <v>52</v>
      </c>
      <c r="B253" s="2">
        <v>46072</v>
      </c>
      <c r="C253" s="4"/>
      <c r="D253" s="18"/>
      <c r="E253" s="4">
        <f t="shared" si="84"/>
        <v>7619</v>
      </c>
      <c r="F253" s="4">
        <v>2</v>
      </c>
      <c r="G253" s="14">
        <f t="shared" si="76"/>
        <v>2.6250164063525399E-4</v>
      </c>
      <c r="H253" s="4"/>
      <c r="I253" s="4">
        <f t="shared" si="77"/>
        <v>7617</v>
      </c>
      <c r="J253" s="4">
        <v>228</v>
      </c>
      <c r="K253" s="4">
        <f t="shared" si="78"/>
        <v>6840</v>
      </c>
      <c r="L253" s="4">
        <v>0</v>
      </c>
      <c r="M253" s="4">
        <v>0</v>
      </c>
      <c r="N253" s="4">
        <f t="shared" si="85"/>
        <v>6840</v>
      </c>
      <c r="O253" s="14">
        <f t="shared" si="86"/>
        <v>0.89775561097256862</v>
      </c>
      <c r="P253" s="4">
        <v>20</v>
      </c>
      <c r="Q253" s="4">
        <f t="shared" si="87"/>
        <v>1000</v>
      </c>
      <c r="R253" s="4">
        <f t="shared" si="82"/>
        <v>1000000</v>
      </c>
      <c r="S253" s="4">
        <v>2809.08</v>
      </c>
      <c r="T253" s="4">
        <f t="shared" si="83"/>
        <v>56181.599999999999</v>
      </c>
      <c r="U253" s="4">
        <v>1820.94</v>
      </c>
      <c r="V253" s="4">
        <v>2600</v>
      </c>
    </row>
    <row r="254" spans="1:22" x14ac:dyDescent="0.35">
      <c r="A254" s="3">
        <v>52</v>
      </c>
      <c r="B254" s="2">
        <v>46073</v>
      </c>
      <c r="C254" s="4"/>
      <c r="D254" s="18"/>
      <c r="E254" s="4">
        <f t="shared" si="84"/>
        <v>7617</v>
      </c>
      <c r="F254" s="4">
        <v>2</v>
      </c>
      <c r="G254" s="14">
        <f t="shared" si="76"/>
        <v>2.6257056583956937E-4</v>
      </c>
      <c r="H254" s="4"/>
      <c r="I254" s="4">
        <f t="shared" si="77"/>
        <v>7615</v>
      </c>
      <c r="J254" s="4">
        <v>230</v>
      </c>
      <c r="K254" s="4">
        <f t="shared" si="78"/>
        <v>6900</v>
      </c>
      <c r="L254" s="4">
        <v>0</v>
      </c>
      <c r="M254" s="4">
        <v>0</v>
      </c>
      <c r="N254" s="4">
        <f t="shared" si="85"/>
        <v>6900</v>
      </c>
      <c r="O254" s="14">
        <f t="shared" si="86"/>
        <v>0.90586845214651435</v>
      </c>
      <c r="P254" s="4">
        <v>20</v>
      </c>
      <c r="Q254" s="4">
        <f t="shared" si="87"/>
        <v>1000</v>
      </c>
      <c r="R254" s="4">
        <f t="shared" si="82"/>
        <v>1000000</v>
      </c>
      <c r="S254" s="4">
        <v>2809.08</v>
      </c>
      <c r="T254" s="4">
        <f t="shared" si="83"/>
        <v>56181.599999999999</v>
      </c>
      <c r="U254" s="4">
        <v>1820.94</v>
      </c>
      <c r="V254" s="4">
        <v>2700</v>
      </c>
    </row>
    <row r="255" spans="1:22" x14ac:dyDescent="0.35">
      <c r="A255" s="3">
        <v>52</v>
      </c>
      <c r="B255" s="2">
        <v>46074</v>
      </c>
      <c r="C255" s="4"/>
      <c r="D255" s="18"/>
      <c r="E255" s="4">
        <f t="shared" si="84"/>
        <v>7615</v>
      </c>
      <c r="F255" s="4">
        <v>2</v>
      </c>
      <c r="G255" s="14">
        <f t="shared" si="76"/>
        <v>2.6263952724885097E-4</v>
      </c>
      <c r="H255" s="4"/>
      <c r="I255" s="4">
        <f t="shared" si="77"/>
        <v>7613</v>
      </c>
      <c r="J255" s="4">
        <v>230</v>
      </c>
      <c r="K255" s="4">
        <f t="shared" si="78"/>
        <v>6900</v>
      </c>
      <c r="L255" s="4">
        <v>0</v>
      </c>
      <c r="M255" s="4">
        <v>0</v>
      </c>
      <c r="N255" s="4">
        <f t="shared" si="85"/>
        <v>6900</v>
      </c>
      <c r="O255" s="14">
        <f t="shared" si="86"/>
        <v>0.90610636900853581</v>
      </c>
      <c r="P255" s="4">
        <v>20</v>
      </c>
      <c r="Q255" s="4">
        <f t="shared" si="87"/>
        <v>1000</v>
      </c>
      <c r="R255" s="4">
        <f t="shared" si="82"/>
        <v>1000000</v>
      </c>
      <c r="S255" s="4">
        <v>2809.08</v>
      </c>
      <c r="T255" s="4">
        <f t="shared" si="83"/>
        <v>56181.599999999999</v>
      </c>
      <c r="U255" s="4">
        <v>1820.94</v>
      </c>
      <c r="V255" s="4">
        <v>2600</v>
      </c>
    </row>
    <row r="256" spans="1:22" x14ac:dyDescent="0.35">
      <c r="A256" s="3">
        <v>52</v>
      </c>
      <c r="B256" s="2">
        <v>46075</v>
      </c>
      <c r="C256" s="4"/>
      <c r="D256" s="18"/>
      <c r="E256" s="4">
        <f t="shared" si="84"/>
        <v>7613</v>
      </c>
      <c r="F256" s="4">
        <v>2</v>
      </c>
      <c r="G256" s="14">
        <f t="shared" si="76"/>
        <v>2.6270852489163271E-4</v>
      </c>
      <c r="H256" s="4"/>
      <c r="I256" s="4">
        <f t="shared" si="77"/>
        <v>7611</v>
      </c>
      <c r="J256" s="4">
        <v>230</v>
      </c>
      <c r="K256" s="4">
        <f t="shared" si="78"/>
        <v>6900</v>
      </c>
      <c r="L256" s="4">
        <v>0</v>
      </c>
      <c r="M256" s="4">
        <v>0</v>
      </c>
      <c r="N256" s="4">
        <f t="shared" si="85"/>
        <v>6900</v>
      </c>
      <c r="O256" s="14">
        <f t="shared" si="86"/>
        <v>0.90634441087613293</v>
      </c>
      <c r="P256" s="4">
        <v>20</v>
      </c>
      <c r="Q256" s="4">
        <f t="shared" si="87"/>
        <v>1000</v>
      </c>
      <c r="R256" s="4">
        <f t="shared" si="82"/>
        <v>1000000</v>
      </c>
      <c r="S256" s="4">
        <v>2809.08</v>
      </c>
      <c r="T256" s="4">
        <f t="shared" si="83"/>
        <v>56181.599999999999</v>
      </c>
      <c r="U256" s="4">
        <v>1820.94</v>
      </c>
      <c r="V256" s="4">
        <v>2100</v>
      </c>
    </row>
    <row r="257" spans="1:22" x14ac:dyDescent="0.35">
      <c r="A257" s="3">
        <v>52</v>
      </c>
      <c r="B257" s="2">
        <v>46076</v>
      </c>
      <c r="C257" s="4"/>
      <c r="D257" s="18"/>
      <c r="E257" s="4">
        <f t="shared" si="84"/>
        <v>7611</v>
      </c>
      <c r="F257" s="4">
        <v>1</v>
      </c>
      <c r="G257" s="14">
        <f t="shared" si="76"/>
        <v>1.3138877939823938E-4</v>
      </c>
      <c r="H257" s="4"/>
      <c r="I257" s="4">
        <f t="shared" si="77"/>
        <v>7610</v>
      </c>
      <c r="J257" s="4">
        <v>230</v>
      </c>
      <c r="K257" s="4">
        <f t="shared" si="78"/>
        <v>6900</v>
      </c>
      <c r="L257" s="4">
        <v>0</v>
      </c>
      <c r="M257" s="4">
        <v>0</v>
      </c>
      <c r="N257" s="4">
        <f t="shared" si="85"/>
        <v>6900</v>
      </c>
      <c r="O257" s="14">
        <f t="shared" si="86"/>
        <v>0.90658257784785179</v>
      </c>
      <c r="P257" s="4">
        <v>20</v>
      </c>
      <c r="Q257" s="4">
        <f t="shared" si="87"/>
        <v>1000</v>
      </c>
      <c r="R257" s="4">
        <f t="shared" si="82"/>
        <v>1000000</v>
      </c>
      <c r="S257" s="4">
        <v>2809.08</v>
      </c>
      <c r="T257" s="4">
        <f t="shared" si="83"/>
        <v>56181.599999999999</v>
      </c>
      <c r="U257" s="4">
        <v>1820.94</v>
      </c>
      <c r="V257" s="4">
        <v>2100</v>
      </c>
    </row>
    <row r="258" spans="1:22" x14ac:dyDescent="0.35">
      <c r="A258" s="3">
        <v>53</v>
      </c>
      <c r="B258" s="2">
        <v>46077</v>
      </c>
      <c r="C258" s="4"/>
      <c r="D258" s="18"/>
      <c r="E258" s="4">
        <f t="shared" si="84"/>
        <v>7610</v>
      </c>
      <c r="F258" s="4">
        <v>1</v>
      </c>
      <c r="G258" s="14">
        <f t="shared" si="76"/>
        <v>1.3140604467805518E-4</v>
      </c>
      <c r="H258" s="4"/>
      <c r="I258" s="4">
        <f t="shared" si="77"/>
        <v>7609</v>
      </c>
      <c r="J258" s="4">
        <v>229</v>
      </c>
      <c r="K258" s="4">
        <f t="shared" si="78"/>
        <v>6870</v>
      </c>
      <c r="L258" s="4">
        <v>0</v>
      </c>
      <c r="M258" s="4">
        <v>0</v>
      </c>
      <c r="N258" s="4">
        <f t="shared" si="85"/>
        <v>6870</v>
      </c>
      <c r="O258" s="14">
        <f t="shared" si="86"/>
        <v>0.90275952693823913</v>
      </c>
      <c r="P258" s="4">
        <v>20</v>
      </c>
      <c r="Q258" s="4">
        <f t="shared" si="87"/>
        <v>1000</v>
      </c>
      <c r="R258" s="4">
        <f t="shared" si="82"/>
        <v>1000000</v>
      </c>
      <c r="S258" s="4">
        <v>2809.08</v>
      </c>
      <c r="T258" s="4">
        <f t="shared" si="83"/>
        <v>56181.599999999999</v>
      </c>
      <c r="U258" s="4">
        <v>1820.94</v>
      </c>
      <c r="V258" s="4">
        <v>3000</v>
      </c>
    </row>
    <row r="259" spans="1:22" x14ac:dyDescent="0.35">
      <c r="A259" s="3">
        <v>53</v>
      </c>
      <c r="B259" s="2">
        <v>46078</v>
      </c>
      <c r="C259" s="4"/>
      <c r="D259" s="18"/>
      <c r="E259" s="4">
        <f t="shared" si="84"/>
        <v>7609</v>
      </c>
      <c r="F259" s="4">
        <v>1</v>
      </c>
      <c r="G259" s="14">
        <f t="shared" si="76"/>
        <v>1.3142331449599159E-4</v>
      </c>
      <c r="H259" s="4"/>
      <c r="I259" s="4">
        <f t="shared" si="77"/>
        <v>7608</v>
      </c>
      <c r="J259" s="4">
        <v>226</v>
      </c>
      <c r="K259" s="4">
        <f t="shared" si="78"/>
        <v>6780</v>
      </c>
      <c r="L259" s="4">
        <v>0</v>
      </c>
      <c r="M259" s="4">
        <v>0</v>
      </c>
      <c r="N259" s="4">
        <f t="shared" si="85"/>
        <v>6780</v>
      </c>
      <c r="O259" s="14">
        <f t="shared" si="86"/>
        <v>0.89105007228282296</v>
      </c>
      <c r="P259" s="4">
        <v>20</v>
      </c>
      <c r="Q259" s="4">
        <f t="shared" si="87"/>
        <v>1000</v>
      </c>
      <c r="R259" s="4">
        <f t="shared" si="82"/>
        <v>1000000</v>
      </c>
      <c r="S259" s="4">
        <v>2809.08</v>
      </c>
      <c r="T259" s="4">
        <f t="shared" si="83"/>
        <v>56181.599999999999</v>
      </c>
      <c r="U259" s="4">
        <v>1820.94</v>
      </c>
      <c r="V259" s="4">
        <v>3000</v>
      </c>
    </row>
    <row r="260" spans="1:22" x14ac:dyDescent="0.35">
      <c r="A260" s="3">
        <v>53</v>
      </c>
      <c r="B260" s="2">
        <v>46079</v>
      </c>
      <c r="C260" s="4"/>
      <c r="D260" s="18"/>
      <c r="E260" s="4">
        <f t="shared" si="84"/>
        <v>7608</v>
      </c>
      <c r="F260" s="4">
        <v>0</v>
      </c>
      <c r="G260" s="14">
        <f t="shared" si="76"/>
        <v>0</v>
      </c>
      <c r="H260" s="4"/>
      <c r="I260" s="4">
        <f t="shared" si="77"/>
        <v>7608</v>
      </c>
      <c r="J260" s="4">
        <v>226</v>
      </c>
      <c r="K260" s="4">
        <f t="shared" si="78"/>
        <v>6780</v>
      </c>
      <c r="L260" s="4">
        <v>0</v>
      </c>
      <c r="M260" s="4">
        <v>0</v>
      </c>
      <c r="N260" s="4">
        <f t="shared" si="85"/>
        <v>6780</v>
      </c>
      <c r="O260" s="14">
        <f t="shared" si="86"/>
        <v>0.89116719242902209</v>
      </c>
      <c r="P260" s="4">
        <v>20</v>
      </c>
      <c r="Q260" s="4">
        <f t="shared" si="87"/>
        <v>1000</v>
      </c>
      <c r="R260" s="4">
        <f t="shared" si="82"/>
        <v>1000000</v>
      </c>
      <c r="S260" s="4">
        <v>2809.08</v>
      </c>
      <c r="T260" s="4">
        <f t="shared" si="83"/>
        <v>56181.599999999999</v>
      </c>
      <c r="U260" s="4">
        <v>1820.94</v>
      </c>
      <c r="V260" s="4">
        <v>2500</v>
      </c>
    </row>
    <row r="261" spans="1:22" x14ac:dyDescent="0.35">
      <c r="A261" s="3">
        <v>53</v>
      </c>
      <c r="B261" s="2">
        <v>46080</v>
      </c>
      <c r="C261" s="4"/>
      <c r="D261" s="18"/>
      <c r="E261" s="4">
        <f t="shared" si="84"/>
        <v>7608</v>
      </c>
      <c r="F261" s="4">
        <v>2</v>
      </c>
      <c r="G261" s="14">
        <f t="shared" si="76"/>
        <v>2.6288117770767612E-4</v>
      </c>
      <c r="H261" s="4"/>
      <c r="I261" s="4">
        <f t="shared" si="77"/>
        <v>7606</v>
      </c>
      <c r="J261" s="4">
        <v>226</v>
      </c>
      <c r="K261" s="4">
        <f t="shared" si="78"/>
        <v>6780</v>
      </c>
      <c r="L261" s="4">
        <v>0</v>
      </c>
      <c r="M261" s="4">
        <v>0</v>
      </c>
      <c r="N261" s="4">
        <f t="shared" si="85"/>
        <v>6780</v>
      </c>
      <c r="O261" s="14">
        <f t="shared" si="86"/>
        <v>0.89116719242902209</v>
      </c>
      <c r="P261" s="4">
        <v>20</v>
      </c>
      <c r="Q261" s="4">
        <f t="shared" si="87"/>
        <v>1000</v>
      </c>
      <c r="R261" s="4">
        <f t="shared" si="82"/>
        <v>1000000</v>
      </c>
      <c r="S261" s="4">
        <v>2809.08</v>
      </c>
      <c r="T261" s="4">
        <f t="shared" si="83"/>
        <v>56181.599999999999</v>
      </c>
      <c r="U261" s="4">
        <v>1820.94</v>
      </c>
      <c r="V261" s="4">
        <v>2700</v>
      </c>
    </row>
    <row r="262" spans="1:22" x14ac:dyDescent="0.35">
      <c r="A262" s="3">
        <v>53</v>
      </c>
      <c r="B262" s="2">
        <v>46081</v>
      </c>
      <c r="C262" s="4"/>
      <c r="D262" s="18"/>
      <c r="E262" s="4">
        <f t="shared" si="84"/>
        <v>7606</v>
      </c>
      <c r="F262" s="4">
        <v>1</v>
      </c>
      <c r="G262" s="14">
        <f t="shared" si="76"/>
        <v>1.3147515119642388E-4</v>
      </c>
      <c r="H262" s="4"/>
      <c r="I262" s="4">
        <f t="shared" si="77"/>
        <v>7605</v>
      </c>
      <c r="J262" s="4">
        <v>226</v>
      </c>
      <c r="K262" s="4">
        <f t="shared" si="78"/>
        <v>6780</v>
      </c>
      <c r="L262" s="4">
        <v>0</v>
      </c>
      <c r="M262" s="4">
        <v>0</v>
      </c>
      <c r="N262" s="4">
        <f t="shared" si="85"/>
        <v>6780</v>
      </c>
      <c r="O262" s="14">
        <f t="shared" si="86"/>
        <v>0.89140152511175386</v>
      </c>
      <c r="P262" s="4">
        <v>20</v>
      </c>
      <c r="Q262" s="4">
        <f t="shared" si="87"/>
        <v>1000</v>
      </c>
      <c r="R262" s="4">
        <f t="shared" si="82"/>
        <v>1000000</v>
      </c>
      <c r="S262" s="4">
        <v>2809.08</v>
      </c>
      <c r="T262" s="4">
        <f t="shared" si="83"/>
        <v>56181.599999999999</v>
      </c>
      <c r="U262" s="4">
        <v>1820.94</v>
      </c>
      <c r="V262" s="4">
        <v>2400</v>
      </c>
    </row>
    <row r="263" spans="1:22" x14ac:dyDescent="0.35">
      <c r="A263" s="3"/>
      <c r="B263" s="2"/>
      <c r="C263" s="4"/>
      <c r="D263" s="18"/>
      <c r="E263" s="4"/>
      <c r="F263" s="4">
        <f>SUM(F235:F262)</f>
        <v>34</v>
      </c>
      <c r="G263" s="14"/>
      <c r="H263" s="4"/>
      <c r="I263" s="4"/>
      <c r="J263" s="4"/>
      <c r="K263" s="4"/>
      <c r="L263" s="4"/>
      <c r="M263" s="4"/>
      <c r="N263" s="4"/>
      <c r="O263" s="14"/>
      <c r="P263" s="4"/>
      <c r="Q263" s="4"/>
      <c r="R263" s="4"/>
      <c r="S263" s="22"/>
      <c r="T263" s="4"/>
    </row>
    <row r="264" spans="1:22" x14ac:dyDescent="0.35">
      <c r="A264" s="3"/>
      <c r="B264" s="2"/>
      <c r="C264" s="4"/>
      <c r="D264" s="18"/>
      <c r="E264" s="4"/>
      <c r="F264" s="4"/>
      <c r="G264" s="14"/>
      <c r="H264" s="4"/>
      <c r="I264" s="4"/>
      <c r="J264" s="4"/>
      <c r="K264" s="4"/>
      <c r="L264" s="4"/>
      <c r="M264" s="4"/>
      <c r="N264" s="4"/>
      <c r="O264" s="14"/>
      <c r="P264" s="4"/>
      <c r="Q264" s="4"/>
      <c r="R264" s="4"/>
      <c r="S264" s="22"/>
      <c r="T264" s="4"/>
    </row>
    <row r="265" spans="1:22" x14ac:dyDescent="0.35">
      <c r="A265" s="1" t="s">
        <v>20</v>
      </c>
      <c r="B265" s="37" t="s">
        <v>1</v>
      </c>
      <c r="C265" s="38" t="s">
        <v>19</v>
      </c>
      <c r="D265" s="38" t="s">
        <v>18</v>
      </c>
      <c r="E265" s="39" t="s">
        <v>2</v>
      </c>
      <c r="F265" s="40" t="s">
        <v>3</v>
      </c>
      <c r="G265" s="41" t="s">
        <v>4</v>
      </c>
      <c r="H265" s="40" t="s">
        <v>5</v>
      </c>
      <c r="I265" s="42" t="s">
        <v>6</v>
      </c>
      <c r="J265" s="43" t="s">
        <v>7</v>
      </c>
      <c r="K265" s="40" t="s">
        <v>8</v>
      </c>
      <c r="L265" s="40" t="s">
        <v>9</v>
      </c>
      <c r="M265" s="40" t="s">
        <v>10</v>
      </c>
      <c r="N265" s="40" t="s">
        <v>11</v>
      </c>
      <c r="O265" s="44" t="s">
        <v>12</v>
      </c>
      <c r="P265" s="43" t="s">
        <v>13</v>
      </c>
      <c r="Q265" s="40" t="s">
        <v>14</v>
      </c>
      <c r="R265" s="45" t="s">
        <v>15</v>
      </c>
      <c r="S265" s="46" t="s">
        <v>16</v>
      </c>
      <c r="T265" s="47" t="s">
        <v>17</v>
      </c>
      <c r="U265" s="48" t="s">
        <v>22</v>
      </c>
      <c r="V265" s="48" t="s">
        <v>24</v>
      </c>
    </row>
    <row r="266" spans="1:22" x14ac:dyDescent="0.35">
      <c r="A266" s="3">
        <v>53</v>
      </c>
      <c r="B266" s="2">
        <v>46082</v>
      </c>
      <c r="C266" s="18"/>
      <c r="D266" s="18"/>
      <c r="E266" s="4">
        <v>7605</v>
      </c>
      <c r="F266" s="4">
        <v>0</v>
      </c>
      <c r="G266" s="14">
        <f t="shared" ref="G266:G272" si="88">F266/E266</f>
        <v>0</v>
      </c>
      <c r="H266" s="4"/>
      <c r="I266" s="4">
        <f t="shared" ref="I266:I272" si="89">E266-F266-H266</f>
        <v>7605</v>
      </c>
      <c r="J266" s="4">
        <v>226</v>
      </c>
      <c r="K266" s="4">
        <f t="shared" ref="K266:K271" si="90">J266*30</f>
        <v>6780</v>
      </c>
      <c r="L266" s="4">
        <v>2</v>
      </c>
      <c r="M266" s="4">
        <v>0</v>
      </c>
      <c r="N266" s="4">
        <f t="shared" ref="N266:N296" si="91">K266+L266-M266</f>
        <v>6782</v>
      </c>
      <c r="O266" s="14">
        <f t="shared" ref="O266:O272" si="92">N266/E266</f>
        <v>0.89178172255095334</v>
      </c>
      <c r="P266" s="4">
        <v>20</v>
      </c>
      <c r="Q266" s="4">
        <f t="shared" ref="Q266:R293" si="93">P266*50</f>
        <v>1000</v>
      </c>
      <c r="R266" s="4">
        <f t="shared" ref="R266:R291" si="94">Q266*1000</f>
        <v>1000000</v>
      </c>
      <c r="S266" s="4">
        <v>2878.33</v>
      </c>
      <c r="T266" s="4">
        <f t="shared" ref="T266:T296" si="95">P266*S266</f>
        <v>57566.6</v>
      </c>
      <c r="U266" s="4">
        <v>1820.94</v>
      </c>
      <c r="V266" s="4">
        <v>2400</v>
      </c>
    </row>
    <row r="267" spans="1:22" x14ac:dyDescent="0.35">
      <c r="A267" s="3">
        <v>53</v>
      </c>
      <c r="B267" s="2">
        <v>46083</v>
      </c>
      <c r="C267" s="4"/>
      <c r="D267" s="18"/>
      <c r="E267" s="4">
        <f t="shared" ref="E267:E275" si="96">I266</f>
        <v>7605</v>
      </c>
      <c r="F267" s="4">
        <v>0</v>
      </c>
      <c r="G267" s="14">
        <f t="shared" si="88"/>
        <v>0</v>
      </c>
      <c r="H267" s="4"/>
      <c r="I267" s="4">
        <f t="shared" si="89"/>
        <v>7605</v>
      </c>
      <c r="J267" s="4">
        <v>225</v>
      </c>
      <c r="K267" s="4">
        <f t="shared" si="90"/>
        <v>6750</v>
      </c>
      <c r="L267" s="4">
        <v>0</v>
      </c>
      <c r="M267" s="4">
        <v>0</v>
      </c>
      <c r="N267" s="4">
        <f t="shared" si="91"/>
        <v>6750</v>
      </c>
      <c r="O267" s="14">
        <f t="shared" si="92"/>
        <v>0.8875739644970414</v>
      </c>
      <c r="P267" s="4">
        <v>20</v>
      </c>
      <c r="Q267" s="4">
        <f t="shared" si="93"/>
        <v>1000</v>
      </c>
      <c r="R267" s="4">
        <f t="shared" si="94"/>
        <v>1000000</v>
      </c>
      <c r="S267" s="4">
        <v>2878.33</v>
      </c>
      <c r="T267" s="4">
        <f t="shared" si="95"/>
        <v>57566.6</v>
      </c>
      <c r="U267" s="4">
        <v>1820.94</v>
      </c>
      <c r="V267" s="4">
        <v>2800</v>
      </c>
    </row>
    <row r="268" spans="1:22" x14ac:dyDescent="0.35">
      <c r="A268" s="3">
        <v>54</v>
      </c>
      <c r="B268" s="2">
        <v>46084</v>
      </c>
      <c r="C268" s="4"/>
      <c r="D268" s="18"/>
      <c r="E268" s="4">
        <f t="shared" si="96"/>
        <v>7605</v>
      </c>
      <c r="F268" s="4">
        <v>0</v>
      </c>
      <c r="G268" s="14">
        <f t="shared" si="88"/>
        <v>0</v>
      </c>
      <c r="H268" s="4"/>
      <c r="I268" s="4">
        <f t="shared" si="89"/>
        <v>7605</v>
      </c>
      <c r="J268" s="4">
        <v>225</v>
      </c>
      <c r="K268" s="4">
        <f t="shared" si="90"/>
        <v>6750</v>
      </c>
      <c r="L268" s="4">
        <v>0</v>
      </c>
      <c r="M268" s="4">
        <v>0</v>
      </c>
      <c r="N268" s="4">
        <f t="shared" si="91"/>
        <v>6750</v>
      </c>
      <c r="O268" s="14">
        <f t="shared" si="92"/>
        <v>0.8875739644970414</v>
      </c>
      <c r="P268" s="4">
        <v>20</v>
      </c>
      <c r="Q268" s="4">
        <f t="shared" si="93"/>
        <v>1000</v>
      </c>
      <c r="R268" s="4">
        <f t="shared" si="94"/>
        <v>1000000</v>
      </c>
      <c r="S268" s="4">
        <v>2878.33</v>
      </c>
      <c r="T268" s="4">
        <f t="shared" si="95"/>
        <v>57566.6</v>
      </c>
      <c r="U268" s="4">
        <v>1820.94</v>
      </c>
      <c r="V268" s="4">
        <v>2800</v>
      </c>
    </row>
    <row r="269" spans="1:22" x14ac:dyDescent="0.35">
      <c r="A269" s="3">
        <v>54</v>
      </c>
      <c r="B269" s="2">
        <v>46085</v>
      </c>
      <c r="C269" s="4"/>
      <c r="D269" s="18"/>
      <c r="E269" s="4">
        <f t="shared" si="96"/>
        <v>7605</v>
      </c>
      <c r="F269" s="4">
        <v>0</v>
      </c>
      <c r="G269" s="14">
        <f t="shared" si="88"/>
        <v>0</v>
      </c>
      <c r="H269" s="4"/>
      <c r="I269" s="4">
        <f t="shared" si="89"/>
        <v>7605</v>
      </c>
      <c r="J269" s="4">
        <v>224</v>
      </c>
      <c r="K269" s="4">
        <f t="shared" si="90"/>
        <v>6720</v>
      </c>
      <c r="L269" s="4">
        <v>2</v>
      </c>
      <c r="M269" s="4">
        <v>0</v>
      </c>
      <c r="N269" s="4">
        <f t="shared" si="91"/>
        <v>6722</v>
      </c>
      <c r="O269" s="14">
        <f t="shared" si="92"/>
        <v>0.88389217619986848</v>
      </c>
      <c r="P269" s="4">
        <v>20</v>
      </c>
      <c r="Q269" s="4">
        <f t="shared" si="93"/>
        <v>1000</v>
      </c>
      <c r="R269" s="4">
        <f t="shared" si="94"/>
        <v>1000000</v>
      </c>
      <c r="S269" s="4">
        <v>2878.33</v>
      </c>
      <c r="T269" s="4">
        <f t="shared" si="95"/>
        <v>57566.6</v>
      </c>
      <c r="U269" s="4">
        <v>1820.94</v>
      </c>
      <c r="V269" s="4">
        <v>2500</v>
      </c>
    </row>
    <row r="270" spans="1:22" x14ac:dyDescent="0.35">
      <c r="A270" s="3">
        <v>54</v>
      </c>
      <c r="B270" s="2">
        <v>46086</v>
      </c>
      <c r="C270" s="19"/>
      <c r="D270" s="19"/>
      <c r="E270" s="4">
        <f t="shared" si="96"/>
        <v>7605</v>
      </c>
      <c r="F270" s="4">
        <v>1</v>
      </c>
      <c r="G270" s="14">
        <f t="shared" si="88"/>
        <v>1.3149243918474687E-4</v>
      </c>
      <c r="H270" s="7"/>
      <c r="I270" s="4">
        <f t="shared" si="89"/>
        <v>7604</v>
      </c>
      <c r="J270" s="4">
        <v>225</v>
      </c>
      <c r="K270" s="4">
        <f t="shared" si="90"/>
        <v>6750</v>
      </c>
      <c r="L270" s="4">
        <v>2</v>
      </c>
      <c r="M270" s="4">
        <v>0</v>
      </c>
      <c r="N270" s="4">
        <f t="shared" si="91"/>
        <v>6752</v>
      </c>
      <c r="O270" s="14">
        <f t="shared" si="92"/>
        <v>0.88783694937541091</v>
      </c>
      <c r="P270" s="4">
        <v>20</v>
      </c>
      <c r="Q270" s="4">
        <f t="shared" si="93"/>
        <v>1000</v>
      </c>
      <c r="R270" s="4">
        <f t="shared" si="94"/>
        <v>1000000</v>
      </c>
      <c r="S270" s="4">
        <v>2878.33</v>
      </c>
      <c r="T270" s="4">
        <f t="shared" si="95"/>
        <v>57566.6</v>
      </c>
      <c r="U270" s="4">
        <v>1820.94</v>
      </c>
      <c r="V270" s="4">
        <v>2700</v>
      </c>
    </row>
    <row r="271" spans="1:22" x14ac:dyDescent="0.35">
      <c r="A271" s="3">
        <v>54</v>
      </c>
      <c r="B271" s="2">
        <v>46087</v>
      </c>
      <c r="C271" s="4"/>
      <c r="D271" s="18"/>
      <c r="E271" s="4">
        <f t="shared" si="96"/>
        <v>7604</v>
      </c>
      <c r="F271" s="4">
        <v>0</v>
      </c>
      <c r="G271" s="14">
        <f t="shared" si="88"/>
        <v>0</v>
      </c>
      <c r="H271" s="4"/>
      <c r="I271" s="4">
        <f t="shared" si="89"/>
        <v>7604</v>
      </c>
      <c r="J271" s="4">
        <v>225</v>
      </c>
      <c r="K271" s="4">
        <f t="shared" si="90"/>
        <v>6750</v>
      </c>
      <c r="L271" s="4">
        <v>1</v>
      </c>
      <c r="M271" s="4">
        <v>0</v>
      </c>
      <c r="N271" s="4">
        <f t="shared" si="91"/>
        <v>6751</v>
      </c>
      <c r="O271" s="14">
        <f t="shared" si="92"/>
        <v>0.88782219884271441</v>
      </c>
      <c r="P271" s="4">
        <v>20</v>
      </c>
      <c r="Q271" s="4">
        <f t="shared" si="93"/>
        <v>1000</v>
      </c>
      <c r="R271" s="4">
        <f t="shared" si="94"/>
        <v>1000000</v>
      </c>
      <c r="S271" s="4">
        <v>2878.33</v>
      </c>
      <c r="T271" s="4">
        <f t="shared" si="95"/>
        <v>57566.6</v>
      </c>
      <c r="U271" s="4">
        <v>1820.94</v>
      </c>
      <c r="V271" s="4">
        <v>2700</v>
      </c>
    </row>
    <row r="272" spans="1:22" x14ac:dyDescent="0.35">
      <c r="A272" s="3">
        <v>54</v>
      </c>
      <c r="B272" s="2">
        <v>46088</v>
      </c>
      <c r="C272" s="4"/>
      <c r="D272" s="18"/>
      <c r="E272" s="4">
        <f t="shared" si="96"/>
        <v>7604</v>
      </c>
      <c r="F272" s="4">
        <v>0</v>
      </c>
      <c r="G272" s="14">
        <f t="shared" si="88"/>
        <v>0</v>
      </c>
      <c r="H272" s="4"/>
      <c r="I272" s="4">
        <f t="shared" si="89"/>
        <v>7604</v>
      </c>
      <c r="J272" s="4">
        <v>225</v>
      </c>
      <c r="K272" s="4">
        <f t="shared" ref="K272:K296" si="97">J272*30</f>
        <v>6750</v>
      </c>
      <c r="L272" s="4">
        <v>0</v>
      </c>
      <c r="M272" s="4">
        <v>0</v>
      </c>
      <c r="N272" s="4">
        <f t="shared" si="91"/>
        <v>6750</v>
      </c>
      <c r="O272" s="14">
        <f t="shared" si="92"/>
        <v>0.88769068911099425</v>
      </c>
      <c r="P272" s="4">
        <v>20</v>
      </c>
      <c r="Q272" s="4">
        <f t="shared" si="93"/>
        <v>1000</v>
      </c>
      <c r="R272" s="4">
        <f t="shared" si="94"/>
        <v>1000000</v>
      </c>
      <c r="S272" s="4">
        <v>2878.33</v>
      </c>
      <c r="T272" s="4">
        <f t="shared" si="95"/>
        <v>57566.6</v>
      </c>
      <c r="U272" s="4">
        <v>1820.94</v>
      </c>
      <c r="V272" s="4">
        <v>2900</v>
      </c>
    </row>
    <row r="273" spans="1:22" x14ac:dyDescent="0.35">
      <c r="A273" s="3">
        <v>54</v>
      </c>
      <c r="B273" s="2">
        <v>46089</v>
      </c>
      <c r="C273" s="4"/>
      <c r="D273" s="18"/>
      <c r="E273" s="4">
        <f t="shared" si="96"/>
        <v>7604</v>
      </c>
      <c r="F273" s="4">
        <v>2</v>
      </c>
      <c r="G273" s="14">
        <f t="shared" ref="G273:G296" si="98">F273/E273</f>
        <v>2.6301946344029457E-4</v>
      </c>
      <c r="H273" s="4"/>
      <c r="I273" s="4">
        <f t="shared" ref="I273:I296" si="99">E273-F273-H273</f>
        <v>7602</v>
      </c>
      <c r="J273" s="4">
        <v>227</v>
      </c>
      <c r="K273" s="4">
        <f t="shared" si="97"/>
        <v>6810</v>
      </c>
      <c r="L273" s="4">
        <v>1</v>
      </c>
      <c r="M273" s="4">
        <v>0</v>
      </c>
      <c r="N273" s="4">
        <f t="shared" si="91"/>
        <v>6811</v>
      </c>
      <c r="O273" s="14">
        <f>N273/E273</f>
        <v>0.89571278274592325</v>
      </c>
      <c r="P273" s="4">
        <v>20</v>
      </c>
      <c r="Q273" s="4">
        <f t="shared" si="93"/>
        <v>1000</v>
      </c>
      <c r="R273" s="4">
        <f t="shared" si="94"/>
        <v>1000000</v>
      </c>
      <c r="S273" s="4">
        <v>2878.33</v>
      </c>
      <c r="T273" s="4">
        <f t="shared" si="95"/>
        <v>57566.6</v>
      </c>
      <c r="U273" s="4">
        <v>1820.94</v>
      </c>
      <c r="V273" s="4">
        <v>2900</v>
      </c>
    </row>
    <row r="274" spans="1:22" x14ac:dyDescent="0.35">
      <c r="A274" s="3">
        <v>54</v>
      </c>
      <c r="B274" s="2">
        <v>46090</v>
      </c>
      <c r="C274" s="4"/>
      <c r="D274" s="18"/>
      <c r="E274" s="4">
        <f t="shared" si="96"/>
        <v>7602</v>
      </c>
      <c r="F274" s="4">
        <v>0</v>
      </c>
      <c r="G274" s="14">
        <f t="shared" si="98"/>
        <v>0</v>
      </c>
      <c r="H274" s="4"/>
      <c r="I274" s="4">
        <f t="shared" si="99"/>
        <v>7602</v>
      </c>
      <c r="J274" s="4">
        <v>228</v>
      </c>
      <c r="K274" s="4">
        <f t="shared" si="97"/>
        <v>6840</v>
      </c>
      <c r="L274" s="4">
        <v>1</v>
      </c>
      <c r="M274" s="4">
        <v>0</v>
      </c>
      <c r="N274" s="4">
        <f t="shared" si="91"/>
        <v>6841</v>
      </c>
      <c r="O274" s="14">
        <f>N274/E274</f>
        <v>0.89989476453564854</v>
      </c>
      <c r="P274" s="4">
        <v>20</v>
      </c>
      <c r="Q274" s="4">
        <f t="shared" si="93"/>
        <v>1000</v>
      </c>
      <c r="R274" s="4">
        <f t="shared" si="94"/>
        <v>1000000</v>
      </c>
      <c r="S274" s="4">
        <v>2878.33</v>
      </c>
      <c r="T274" s="4">
        <f t="shared" si="95"/>
        <v>57566.6</v>
      </c>
      <c r="U274" s="4">
        <v>1820.94</v>
      </c>
      <c r="V274" s="4">
        <v>2900</v>
      </c>
    </row>
    <row r="275" spans="1:22" x14ac:dyDescent="0.35">
      <c r="A275" s="3">
        <v>55</v>
      </c>
      <c r="B275" s="2">
        <v>46091</v>
      </c>
      <c r="C275" s="4"/>
      <c r="D275" s="18"/>
      <c r="E275" s="4">
        <f t="shared" si="96"/>
        <v>7602</v>
      </c>
      <c r="F275" s="4">
        <v>1</v>
      </c>
      <c r="G275" s="14">
        <f t="shared" si="98"/>
        <v>1.3154433043935807E-4</v>
      </c>
      <c r="H275" s="4"/>
      <c r="I275" s="4">
        <f t="shared" si="99"/>
        <v>7601</v>
      </c>
      <c r="J275" s="4">
        <v>228</v>
      </c>
      <c r="K275" s="4">
        <f t="shared" si="97"/>
        <v>6840</v>
      </c>
      <c r="L275" s="4">
        <v>2</v>
      </c>
      <c r="M275" s="4">
        <v>0</v>
      </c>
      <c r="N275" s="4">
        <f t="shared" si="91"/>
        <v>6842</v>
      </c>
      <c r="O275" s="14">
        <f>N275/E275</f>
        <v>0.90002630886608792</v>
      </c>
      <c r="P275" s="4">
        <v>20</v>
      </c>
      <c r="Q275" s="4">
        <f t="shared" si="93"/>
        <v>1000</v>
      </c>
      <c r="R275" s="4">
        <f t="shared" si="94"/>
        <v>1000000</v>
      </c>
      <c r="S275" s="4">
        <v>2878.33</v>
      </c>
      <c r="T275" s="4">
        <f t="shared" si="95"/>
        <v>57566.6</v>
      </c>
      <c r="U275" s="4">
        <v>1820.94</v>
      </c>
      <c r="V275" s="4">
        <v>2700</v>
      </c>
    </row>
    <row r="276" spans="1:22" x14ac:dyDescent="0.35">
      <c r="A276" s="3">
        <v>55</v>
      </c>
      <c r="B276" s="2">
        <v>46092</v>
      </c>
      <c r="C276" s="4"/>
      <c r="D276" s="18"/>
      <c r="E276" s="4">
        <f t="shared" ref="E276:E296" si="100">I275</f>
        <v>7601</v>
      </c>
      <c r="F276" s="4">
        <v>2</v>
      </c>
      <c r="G276" s="14">
        <f t="shared" si="98"/>
        <v>2.6312327325351929E-4</v>
      </c>
      <c r="H276" s="4"/>
      <c r="I276" s="4">
        <f t="shared" si="99"/>
        <v>7599</v>
      </c>
      <c r="J276" s="4">
        <v>228</v>
      </c>
      <c r="K276" s="4">
        <f t="shared" si="97"/>
        <v>6840</v>
      </c>
      <c r="L276" s="4">
        <v>3</v>
      </c>
      <c r="M276" s="4">
        <v>0</v>
      </c>
      <c r="N276" s="4">
        <f t="shared" si="91"/>
        <v>6843</v>
      </c>
      <c r="O276" s="14">
        <f>N276/E276</f>
        <v>0.90027627943691624</v>
      </c>
      <c r="P276" s="4">
        <v>20</v>
      </c>
      <c r="Q276" s="4">
        <f t="shared" si="93"/>
        <v>1000</v>
      </c>
      <c r="R276" s="4">
        <f t="shared" si="94"/>
        <v>1000000</v>
      </c>
      <c r="S276" s="4">
        <v>2878.33</v>
      </c>
      <c r="T276" s="4">
        <f t="shared" si="95"/>
        <v>57566.6</v>
      </c>
      <c r="U276" s="4">
        <v>1820.94</v>
      </c>
      <c r="V276" s="4">
        <v>2900</v>
      </c>
    </row>
    <row r="277" spans="1:22" x14ac:dyDescent="0.35">
      <c r="A277" s="3">
        <v>55</v>
      </c>
      <c r="B277" s="2">
        <v>46093</v>
      </c>
      <c r="C277" s="4"/>
      <c r="D277" s="18"/>
      <c r="E277" s="4">
        <f t="shared" si="100"/>
        <v>7599</v>
      </c>
      <c r="F277" s="4">
        <v>2</v>
      </c>
      <c r="G277" s="14">
        <f t="shared" si="98"/>
        <v>2.6319252533228059E-4</v>
      </c>
      <c r="H277" s="4"/>
      <c r="I277" s="4">
        <f t="shared" si="99"/>
        <v>7597</v>
      </c>
      <c r="J277" s="4">
        <v>228</v>
      </c>
      <c r="K277" s="4">
        <f t="shared" si="97"/>
        <v>6840</v>
      </c>
      <c r="L277" s="4">
        <v>2</v>
      </c>
      <c r="M277" s="4">
        <v>0</v>
      </c>
      <c r="N277" s="4">
        <f t="shared" si="91"/>
        <v>6842</v>
      </c>
      <c r="O277" s="14">
        <f t="shared" ref="O277:O296" si="101">N277/E277</f>
        <v>0.90038162916173181</v>
      </c>
      <c r="P277" s="4">
        <v>20</v>
      </c>
      <c r="Q277" s="4">
        <f t="shared" si="93"/>
        <v>1000</v>
      </c>
      <c r="R277" s="4">
        <f t="shared" si="94"/>
        <v>1000000</v>
      </c>
      <c r="S277" s="4">
        <v>2861.33</v>
      </c>
      <c r="T277" s="4">
        <f t="shared" si="95"/>
        <v>57226.6</v>
      </c>
      <c r="U277" s="4">
        <v>1820.94</v>
      </c>
      <c r="V277" s="50">
        <v>3000</v>
      </c>
    </row>
    <row r="278" spans="1:22" x14ac:dyDescent="0.35">
      <c r="A278" s="3">
        <v>55</v>
      </c>
      <c r="B278" s="2">
        <v>46094</v>
      </c>
      <c r="C278" s="4"/>
      <c r="D278" s="18"/>
      <c r="E278" s="4">
        <f t="shared" si="100"/>
        <v>7597</v>
      </c>
      <c r="F278" s="4">
        <v>2</v>
      </c>
      <c r="G278" s="14">
        <f t="shared" si="98"/>
        <v>2.6326181387389757E-4</v>
      </c>
      <c r="H278" s="4"/>
      <c r="I278" s="4">
        <f t="shared" si="99"/>
        <v>7595</v>
      </c>
      <c r="J278" s="4">
        <v>228</v>
      </c>
      <c r="K278" s="4">
        <f t="shared" si="97"/>
        <v>6840</v>
      </c>
      <c r="L278" s="4">
        <v>0</v>
      </c>
      <c r="M278" s="4">
        <v>0</v>
      </c>
      <c r="N278" s="4">
        <f t="shared" si="91"/>
        <v>6840</v>
      </c>
      <c r="O278" s="14">
        <f t="shared" si="101"/>
        <v>0.90035540344872977</v>
      </c>
      <c r="P278" s="4">
        <v>20</v>
      </c>
      <c r="Q278" s="4">
        <f t="shared" si="93"/>
        <v>1000</v>
      </c>
      <c r="R278" s="4">
        <f t="shared" si="94"/>
        <v>1000000</v>
      </c>
      <c r="S278" s="4">
        <v>2861.33</v>
      </c>
      <c r="T278" s="4">
        <f t="shared" si="95"/>
        <v>57226.6</v>
      </c>
      <c r="U278" s="4">
        <v>1820.94</v>
      </c>
      <c r="V278" s="50">
        <v>3300</v>
      </c>
    </row>
    <row r="279" spans="1:22" x14ac:dyDescent="0.35">
      <c r="A279" s="3">
        <v>55</v>
      </c>
      <c r="B279" s="2">
        <v>46095</v>
      </c>
      <c r="C279" s="4"/>
      <c r="D279" s="18"/>
      <c r="E279" s="4">
        <f t="shared" si="100"/>
        <v>7595</v>
      </c>
      <c r="F279" s="4">
        <v>2</v>
      </c>
      <c r="G279" s="14">
        <f t="shared" si="98"/>
        <v>2.6333113890717575E-4</v>
      </c>
      <c r="H279" s="4"/>
      <c r="I279" s="4">
        <f t="shared" si="99"/>
        <v>7593</v>
      </c>
      <c r="J279" s="4">
        <v>227</v>
      </c>
      <c r="K279" s="4">
        <f t="shared" si="97"/>
        <v>6810</v>
      </c>
      <c r="L279" s="4">
        <v>0</v>
      </c>
      <c r="M279" s="4">
        <v>0</v>
      </c>
      <c r="N279" s="4">
        <f t="shared" si="91"/>
        <v>6810</v>
      </c>
      <c r="O279" s="14">
        <f t="shared" si="101"/>
        <v>0.89664252797893351</v>
      </c>
      <c r="P279" s="4">
        <v>20</v>
      </c>
      <c r="Q279" s="4">
        <f t="shared" si="93"/>
        <v>1000</v>
      </c>
      <c r="R279" s="4">
        <f t="shared" si="94"/>
        <v>1000000</v>
      </c>
      <c r="S279" s="4">
        <v>2861.33</v>
      </c>
      <c r="T279" s="4">
        <f t="shared" si="95"/>
        <v>57226.6</v>
      </c>
      <c r="U279" s="4">
        <v>1820.94</v>
      </c>
      <c r="V279" s="50">
        <v>3300</v>
      </c>
    </row>
    <row r="280" spans="1:22" x14ac:dyDescent="0.35">
      <c r="A280" s="3">
        <v>55</v>
      </c>
      <c r="B280" s="2">
        <v>46096</v>
      </c>
      <c r="C280" s="4"/>
      <c r="D280" s="18"/>
      <c r="E280" s="4">
        <f t="shared" si="100"/>
        <v>7593</v>
      </c>
      <c r="F280" s="4">
        <v>2</v>
      </c>
      <c r="G280" s="14">
        <f t="shared" si="98"/>
        <v>2.634005004609509E-4</v>
      </c>
      <c r="H280" s="4"/>
      <c r="I280" s="4">
        <f t="shared" si="99"/>
        <v>7591</v>
      </c>
      <c r="J280" s="4">
        <v>228</v>
      </c>
      <c r="K280" s="4">
        <f t="shared" si="97"/>
        <v>6840</v>
      </c>
      <c r="L280" s="4">
        <v>0</v>
      </c>
      <c r="M280" s="4">
        <v>0</v>
      </c>
      <c r="N280" s="4">
        <f t="shared" si="91"/>
        <v>6840</v>
      </c>
      <c r="O280" s="14">
        <f t="shared" si="101"/>
        <v>0.90082971157645197</v>
      </c>
      <c r="P280" s="4">
        <v>20</v>
      </c>
      <c r="Q280" s="4">
        <f t="shared" si="93"/>
        <v>1000</v>
      </c>
      <c r="R280" s="4">
        <f t="shared" si="94"/>
        <v>1000000</v>
      </c>
      <c r="S280" s="4">
        <v>2900.33</v>
      </c>
      <c r="T280" s="4">
        <f t="shared" si="95"/>
        <v>58006.6</v>
      </c>
      <c r="U280" s="4">
        <v>1820.94</v>
      </c>
      <c r="V280" s="50">
        <v>3100</v>
      </c>
    </row>
    <row r="281" spans="1:22" x14ac:dyDescent="0.35">
      <c r="A281" s="3">
        <v>55</v>
      </c>
      <c r="B281" s="2">
        <v>46097</v>
      </c>
      <c r="C281" s="4"/>
      <c r="D281" s="18"/>
      <c r="E281" s="4">
        <f t="shared" si="100"/>
        <v>7591</v>
      </c>
      <c r="F281" s="4">
        <v>2</v>
      </c>
      <c r="G281" s="14">
        <f t="shared" si="98"/>
        <v>2.6346989856408903E-4</v>
      </c>
      <c r="H281" s="4"/>
      <c r="I281" s="4">
        <f t="shared" si="99"/>
        <v>7589</v>
      </c>
      <c r="J281" s="4">
        <v>228</v>
      </c>
      <c r="K281" s="4">
        <f t="shared" si="97"/>
        <v>6840</v>
      </c>
      <c r="L281" s="4">
        <v>0</v>
      </c>
      <c r="M281" s="4">
        <v>0</v>
      </c>
      <c r="N281" s="4">
        <f t="shared" si="91"/>
        <v>6840</v>
      </c>
      <c r="O281" s="14">
        <f t="shared" si="101"/>
        <v>0.90106705308918456</v>
      </c>
      <c r="P281" s="4">
        <v>20</v>
      </c>
      <c r="Q281" s="4">
        <f t="shared" si="93"/>
        <v>1000</v>
      </c>
      <c r="R281" s="4">
        <f t="shared" si="94"/>
        <v>1000000</v>
      </c>
      <c r="S281" s="4">
        <v>2900.33</v>
      </c>
      <c r="T281" s="4">
        <f t="shared" si="95"/>
        <v>58006.6</v>
      </c>
      <c r="U281" s="4">
        <v>1820.94</v>
      </c>
      <c r="V281" s="50">
        <v>3100</v>
      </c>
    </row>
    <row r="282" spans="1:22" x14ac:dyDescent="0.35">
      <c r="A282" s="3">
        <v>56</v>
      </c>
      <c r="B282" s="2">
        <v>46098</v>
      </c>
      <c r="C282" s="4"/>
      <c r="D282" s="18"/>
      <c r="E282" s="4">
        <f t="shared" si="100"/>
        <v>7589</v>
      </c>
      <c r="F282" s="4">
        <v>2</v>
      </c>
      <c r="G282" s="14">
        <f t="shared" si="98"/>
        <v>2.635393332454869E-4</v>
      </c>
      <c r="H282" s="4"/>
      <c r="I282" s="4">
        <f t="shared" si="99"/>
        <v>7587</v>
      </c>
      <c r="J282" s="4">
        <v>224</v>
      </c>
      <c r="K282" s="4">
        <f t="shared" si="97"/>
        <v>6720</v>
      </c>
      <c r="L282" s="4">
        <v>0</v>
      </c>
      <c r="M282" s="4">
        <v>0</v>
      </c>
      <c r="N282" s="4">
        <f t="shared" si="91"/>
        <v>6720</v>
      </c>
      <c r="O282" s="14">
        <f t="shared" si="101"/>
        <v>0.88549215970483597</v>
      </c>
      <c r="P282" s="4">
        <v>20</v>
      </c>
      <c r="Q282" s="4">
        <f t="shared" si="93"/>
        <v>1000</v>
      </c>
      <c r="R282" s="4">
        <f t="shared" si="94"/>
        <v>1000000</v>
      </c>
      <c r="S282" s="4">
        <v>2900.33</v>
      </c>
      <c r="T282" s="4">
        <f t="shared" si="95"/>
        <v>58006.6</v>
      </c>
      <c r="U282" s="4">
        <v>1820.94</v>
      </c>
      <c r="V282" s="50">
        <v>3000</v>
      </c>
    </row>
    <row r="283" spans="1:22" x14ac:dyDescent="0.35">
      <c r="A283" s="3">
        <v>56</v>
      </c>
      <c r="B283" s="2">
        <v>46099</v>
      </c>
      <c r="C283" s="4"/>
      <c r="D283" s="18"/>
      <c r="E283" s="4">
        <f t="shared" si="100"/>
        <v>7587</v>
      </c>
      <c r="F283" s="4">
        <v>2</v>
      </c>
      <c r="G283" s="14">
        <f t="shared" si="98"/>
        <v>2.6360880453407144E-4</v>
      </c>
      <c r="H283" s="4"/>
      <c r="I283" s="4">
        <f t="shared" si="99"/>
        <v>7585</v>
      </c>
      <c r="J283" s="4">
        <v>224</v>
      </c>
      <c r="K283" s="4">
        <f t="shared" si="97"/>
        <v>6720</v>
      </c>
      <c r="L283" s="4">
        <v>0</v>
      </c>
      <c r="M283" s="4">
        <v>0</v>
      </c>
      <c r="N283" s="4">
        <f t="shared" si="91"/>
        <v>6720</v>
      </c>
      <c r="O283" s="14">
        <f t="shared" si="101"/>
        <v>0.88572558323448003</v>
      </c>
      <c r="P283" s="4">
        <v>20</v>
      </c>
      <c r="Q283" s="4">
        <f t="shared" si="93"/>
        <v>1000</v>
      </c>
      <c r="R283" s="4">
        <f t="shared" si="94"/>
        <v>1000000</v>
      </c>
      <c r="S283" s="4">
        <v>2900.33</v>
      </c>
      <c r="T283" s="4">
        <f t="shared" si="95"/>
        <v>58006.6</v>
      </c>
      <c r="U283" s="4">
        <v>1820.94</v>
      </c>
      <c r="V283" s="50">
        <v>3000</v>
      </c>
    </row>
    <row r="284" spans="1:22" x14ac:dyDescent="0.35">
      <c r="A284" s="3">
        <v>56</v>
      </c>
      <c r="B284" s="2">
        <v>46100</v>
      </c>
      <c r="C284" s="4"/>
      <c r="D284" s="18"/>
      <c r="E284" s="4">
        <f t="shared" si="100"/>
        <v>7585</v>
      </c>
      <c r="F284" s="4">
        <v>1</v>
      </c>
      <c r="G284" s="14">
        <f t="shared" si="98"/>
        <v>1.3183915622940013E-4</v>
      </c>
      <c r="H284" s="4"/>
      <c r="I284" s="4">
        <f t="shared" si="99"/>
        <v>7584</v>
      </c>
      <c r="J284" s="4">
        <v>224</v>
      </c>
      <c r="K284" s="4">
        <f t="shared" si="97"/>
        <v>6720</v>
      </c>
      <c r="L284" s="4">
        <v>0</v>
      </c>
      <c r="M284" s="4">
        <v>0</v>
      </c>
      <c r="N284" s="4">
        <f t="shared" si="91"/>
        <v>6720</v>
      </c>
      <c r="O284" s="14">
        <f t="shared" si="101"/>
        <v>0.88595912986156888</v>
      </c>
      <c r="P284" s="4">
        <v>20</v>
      </c>
      <c r="Q284" s="4">
        <f t="shared" si="93"/>
        <v>1000</v>
      </c>
      <c r="R284" s="4">
        <f t="shared" si="94"/>
        <v>1000000</v>
      </c>
      <c r="S284" s="4">
        <v>2900.33</v>
      </c>
      <c r="T284" s="4">
        <f t="shared" si="95"/>
        <v>58006.6</v>
      </c>
      <c r="U284" s="4">
        <v>1820.94</v>
      </c>
      <c r="V284" s="50">
        <v>2900</v>
      </c>
    </row>
    <row r="285" spans="1:22" x14ac:dyDescent="0.35">
      <c r="A285" s="3">
        <v>56</v>
      </c>
      <c r="B285" s="2">
        <v>46101</v>
      </c>
      <c r="C285" s="4"/>
      <c r="D285" s="18"/>
      <c r="E285" s="4">
        <f t="shared" si="100"/>
        <v>7584</v>
      </c>
      <c r="F285" s="4">
        <v>1</v>
      </c>
      <c r="G285" s="14">
        <f t="shared" si="98"/>
        <v>1.3185654008438817E-4</v>
      </c>
      <c r="H285" s="4"/>
      <c r="I285" s="4">
        <f t="shared" si="99"/>
        <v>7583</v>
      </c>
      <c r="J285" s="4">
        <v>222</v>
      </c>
      <c r="K285" s="4">
        <f t="shared" si="97"/>
        <v>6660</v>
      </c>
      <c r="L285" s="4">
        <v>0</v>
      </c>
      <c r="M285" s="4">
        <v>0</v>
      </c>
      <c r="N285" s="4">
        <f t="shared" si="91"/>
        <v>6660</v>
      </c>
      <c r="O285" s="14">
        <f t="shared" si="101"/>
        <v>0.87816455696202533</v>
      </c>
      <c r="P285" s="4">
        <v>20</v>
      </c>
      <c r="Q285" s="4">
        <f t="shared" si="93"/>
        <v>1000</v>
      </c>
      <c r="R285" s="4">
        <f t="shared" si="94"/>
        <v>1000000</v>
      </c>
      <c r="S285" s="4">
        <v>2900.33</v>
      </c>
      <c r="T285" s="4">
        <f t="shared" si="95"/>
        <v>58006.6</v>
      </c>
      <c r="U285" s="4">
        <v>1820.94</v>
      </c>
      <c r="V285" s="50">
        <v>2900</v>
      </c>
    </row>
    <row r="286" spans="1:22" x14ac:dyDescent="0.35">
      <c r="A286" s="3">
        <v>56</v>
      </c>
      <c r="B286" s="2">
        <v>46102</v>
      </c>
      <c r="C286" s="4"/>
      <c r="D286" s="18"/>
      <c r="E286" s="4">
        <f t="shared" si="100"/>
        <v>7583</v>
      </c>
      <c r="F286" s="4">
        <v>1</v>
      </c>
      <c r="G286" s="14">
        <f t="shared" si="98"/>
        <v>1.3187392852433074E-4</v>
      </c>
      <c r="H286" s="4"/>
      <c r="I286" s="4">
        <f t="shared" si="99"/>
        <v>7582</v>
      </c>
      <c r="J286" s="4">
        <v>220</v>
      </c>
      <c r="K286" s="4">
        <f t="shared" si="97"/>
        <v>6600</v>
      </c>
      <c r="L286" s="4">
        <v>0</v>
      </c>
      <c r="M286" s="4">
        <v>0</v>
      </c>
      <c r="N286" s="4">
        <f t="shared" si="91"/>
        <v>6600</v>
      </c>
      <c r="O286" s="14">
        <f t="shared" si="101"/>
        <v>0.87036792826058285</v>
      </c>
      <c r="P286" s="4">
        <v>20</v>
      </c>
      <c r="Q286" s="4">
        <f t="shared" si="93"/>
        <v>1000</v>
      </c>
      <c r="R286" s="4">
        <f t="shared" si="94"/>
        <v>1000000</v>
      </c>
      <c r="S286" s="4">
        <v>2879.33</v>
      </c>
      <c r="T286" s="4">
        <f t="shared" si="95"/>
        <v>57586.6</v>
      </c>
      <c r="U286" s="4">
        <v>1820.94</v>
      </c>
      <c r="V286" s="50">
        <v>2700</v>
      </c>
    </row>
    <row r="287" spans="1:22" x14ac:dyDescent="0.35">
      <c r="A287" s="3">
        <v>56</v>
      </c>
      <c r="B287" s="2">
        <v>46103</v>
      </c>
      <c r="C287" s="4"/>
      <c r="D287" s="18"/>
      <c r="E287" s="4">
        <f t="shared" si="100"/>
        <v>7582</v>
      </c>
      <c r="F287" s="4">
        <v>1</v>
      </c>
      <c r="G287" s="14">
        <f t="shared" si="98"/>
        <v>1.3189132155104195E-4</v>
      </c>
      <c r="H287" s="4"/>
      <c r="I287" s="4">
        <f t="shared" si="99"/>
        <v>7581</v>
      </c>
      <c r="J287" s="4">
        <v>222</v>
      </c>
      <c r="K287" s="4">
        <f t="shared" si="97"/>
        <v>6660</v>
      </c>
      <c r="L287" s="4">
        <v>0</v>
      </c>
      <c r="M287" s="4">
        <v>0</v>
      </c>
      <c r="N287" s="4">
        <f t="shared" si="91"/>
        <v>6660</v>
      </c>
      <c r="O287" s="14">
        <f t="shared" si="101"/>
        <v>0.87839620152993936</v>
      </c>
      <c r="P287" s="4">
        <v>20</v>
      </c>
      <c r="Q287" s="4">
        <f t="shared" si="93"/>
        <v>1000</v>
      </c>
      <c r="R287" s="4">
        <f t="shared" si="94"/>
        <v>1000000</v>
      </c>
      <c r="S287" s="4">
        <v>2879.33</v>
      </c>
      <c r="T287" s="4">
        <f t="shared" si="95"/>
        <v>57586.6</v>
      </c>
      <c r="U287" s="4">
        <v>1820.94</v>
      </c>
      <c r="V287" s="50">
        <v>2200</v>
      </c>
    </row>
    <row r="288" spans="1:22" x14ac:dyDescent="0.35">
      <c r="A288" s="3">
        <v>56</v>
      </c>
      <c r="B288" s="2">
        <v>46104</v>
      </c>
      <c r="C288" s="4"/>
      <c r="D288" s="18"/>
      <c r="E288" s="4">
        <f t="shared" si="100"/>
        <v>7581</v>
      </c>
      <c r="F288" s="4">
        <v>2</v>
      </c>
      <c r="G288" s="14">
        <f t="shared" si="98"/>
        <v>2.6381743833267377E-4</v>
      </c>
      <c r="H288" s="4"/>
      <c r="I288" s="4">
        <f t="shared" si="99"/>
        <v>7579</v>
      </c>
      <c r="J288" s="4">
        <v>222</v>
      </c>
      <c r="K288" s="4">
        <f t="shared" si="97"/>
        <v>6660</v>
      </c>
      <c r="L288" s="4">
        <v>0</v>
      </c>
      <c r="M288" s="4">
        <v>0</v>
      </c>
      <c r="N288" s="4">
        <f t="shared" si="91"/>
        <v>6660</v>
      </c>
      <c r="O288" s="14">
        <f t="shared" si="101"/>
        <v>0.87851206964780371</v>
      </c>
      <c r="P288" s="4">
        <v>20</v>
      </c>
      <c r="Q288" s="4">
        <f t="shared" si="93"/>
        <v>1000</v>
      </c>
      <c r="R288" s="4">
        <f t="shared" si="94"/>
        <v>1000000</v>
      </c>
      <c r="S288" s="4">
        <v>2879.33</v>
      </c>
      <c r="T288" s="4">
        <f t="shared" si="95"/>
        <v>57586.6</v>
      </c>
      <c r="U288" s="4">
        <v>1820.94</v>
      </c>
      <c r="V288" s="50">
        <v>2500</v>
      </c>
    </row>
    <row r="289" spans="1:22" x14ac:dyDescent="0.35">
      <c r="A289" s="3">
        <v>57</v>
      </c>
      <c r="B289" s="2">
        <v>46105</v>
      </c>
      <c r="C289" s="4"/>
      <c r="D289" s="18"/>
      <c r="E289" s="4">
        <f t="shared" si="100"/>
        <v>7579</v>
      </c>
      <c r="F289" s="4">
        <v>2</v>
      </c>
      <c r="G289" s="14">
        <f t="shared" si="98"/>
        <v>2.6388705633988651E-4</v>
      </c>
      <c r="H289" s="4"/>
      <c r="I289" s="4">
        <f t="shared" si="99"/>
        <v>7577</v>
      </c>
      <c r="J289" s="4">
        <v>224</v>
      </c>
      <c r="K289" s="4">
        <f t="shared" si="97"/>
        <v>6720</v>
      </c>
      <c r="L289" s="4">
        <v>0</v>
      </c>
      <c r="M289" s="4">
        <v>0</v>
      </c>
      <c r="N289" s="4">
        <f t="shared" si="91"/>
        <v>6720</v>
      </c>
      <c r="O289" s="14">
        <f t="shared" si="101"/>
        <v>0.88666050930201878</v>
      </c>
      <c r="P289" s="4">
        <v>20</v>
      </c>
      <c r="Q289" s="4">
        <f t="shared" si="93"/>
        <v>1000</v>
      </c>
      <c r="R289" s="4">
        <f t="shared" si="94"/>
        <v>1000000</v>
      </c>
      <c r="S289" s="4">
        <v>2879.33</v>
      </c>
      <c r="T289" s="4">
        <f t="shared" si="95"/>
        <v>57586.6</v>
      </c>
      <c r="U289" s="4">
        <v>1820.94</v>
      </c>
      <c r="V289" s="50">
        <v>2500</v>
      </c>
    </row>
    <row r="290" spans="1:22" x14ac:dyDescent="0.35">
      <c r="A290" s="3">
        <v>57</v>
      </c>
      <c r="B290" s="2">
        <v>46106</v>
      </c>
      <c r="C290" s="4"/>
      <c r="D290" s="18"/>
      <c r="E290" s="4">
        <f t="shared" si="100"/>
        <v>7577</v>
      </c>
      <c r="F290" s="4">
        <v>1</v>
      </c>
      <c r="G290" s="14">
        <f t="shared" si="98"/>
        <v>1.3197835554968986E-4</v>
      </c>
      <c r="H290" s="4"/>
      <c r="I290" s="4">
        <f t="shared" si="99"/>
        <v>7576</v>
      </c>
      <c r="J290" s="4">
        <v>225</v>
      </c>
      <c r="K290" s="4">
        <f t="shared" si="97"/>
        <v>6750</v>
      </c>
      <c r="L290" s="4">
        <v>3</v>
      </c>
      <c r="M290" s="4">
        <v>0</v>
      </c>
      <c r="N290" s="4">
        <f t="shared" si="91"/>
        <v>6753</v>
      </c>
      <c r="O290" s="14">
        <f t="shared" si="101"/>
        <v>0.89124983502705557</v>
      </c>
      <c r="P290" s="4">
        <v>20</v>
      </c>
      <c r="Q290" s="4">
        <f t="shared" si="93"/>
        <v>1000</v>
      </c>
      <c r="R290" s="4">
        <f t="shared" si="94"/>
        <v>1000000</v>
      </c>
      <c r="S290" s="4">
        <v>2879.33</v>
      </c>
      <c r="T290" s="4">
        <f t="shared" si="95"/>
        <v>57586.6</v>
      </c>
      <c r="U290" s="4">
        <v>1820.94</v>
      </c>
      <c r="V290" s="50">
        <v>2200</v>
      </c>
    </row>
    <row r="291" spans="1:22" x14ac:dyDescent="0.35">
      <c r="A291" s="3">
        <v>57</v>
      </c>
      <c r="B291" s="2">
        <v>46107</v>
      </c>
      <c r="C291" s="4"/>
      <c r="D291" s="18"/>
      <c r="E291" s="4">
        <f t="shared" si="100"/>
        <v>7576</v>
      </c>
      <c r="F291" s="4">
        <v>2</v>
      </c>
      <c r="G291" s="14">
        <f t="shared" si="98"/>
        <v>2.6399155227032733E-4</v>
      </c>
      <c r="H291" s="4"/>
      <c r="I291" s="4">
        <f t="shared" si="99"/>
        <v>7574</v>
      </c>
      <c r="J291" s="4">
        <v>227</v>
      </c>
      <c r="K291" s="4">
        <f t="shared" si="97"/>
        <v>6810</v>
      </c>
      <c r="L291" s="4">
        <v>0</v>
      </c>
      <c r="M291" s="4">
        <v>0</v>
      </c>
      <c r="N291" s="4">
        <f t="shared" si="91"/>
        <v>6810</v>
      </c>
      <c r="O291" s="14">
        <f t="shared" si="101"/>
        <v>0.89889123548046468</v>
      </c>
      <c r="P291" s="4">
        <v>20</v>
      </c>
      <c r="Q291" s="4">
        <f t="shared" si="93"/>
        <v>1000</v>
      </c>
      <c r="R291" s="4">
        <f t="shared" si="94"/>
        <v>1000000</v>
      </c>
      <c r="S291" s="4">
        <v>2879.33</v>
      </c>
      <c r="T291" s="4">
        <f t="shared" si="95"/>
        <v>57586.6</v>
      </c>
      <c r="U291" s="4">
        <v>1820.94</v>
      </c>
      <c r="V291" s="50">
        <v>2500</v>
      </c>
    </row>
    <row r="292" spans="1:22" x14ac:dyDescent="0.35">
      <c r="A292" s="3">
        <v>57</v>
      </c>
      <c r="B292" s="2">
        <v>46108</v>
      </c>
      <c r="C292" s="4"/>
      <c r="D292" s="18"/>
      <c r="E292" s="4">
        <f t="shared" si="100"/>
        <v>7574</v>
      </c>
      <c r="F292" s="4">
        <v>3</v>
      </c>
      <c r="G292" s="14">
        <f t="shared" si="98"/>
        <v>3.9609189331925006E-4</v>
      </c>
      <c r="H292" s="4"/>
      <c r="I292" s="4">
        <f t="shared" si="99"/>
        <v>7571</v>
      </c>
      <c r="J292" s="4">
        <v>230</v>
      </c>
      <c r="K292" s="4">
        <f t="shared" si="97"/>
        <v>6900</v>
      </c>
      <c r="L292" s="4">
        <v>1</v>
      </c>
      <c r="M292" s="4">
        <v>0</v>
      </c>
      <c r="N292" s="4">
        <f t="shared" si="91"/>
        <v>6901</v>
      </c>
      <c r="O292" s="14">
        <f t="shared" si="101"/>
        <v>0.91114338526538152</v>
      </c>
      <c r="P292" s="4">
        <v>20</v>
      </c>
      <c r="Q292" s="4">
        <f t="shared" si="93"/>
        <v>1000</v>
      </c>
      <c r="R292" s="4">
        <f t="shared" si="93"/>
        <v>50000</v>
      </c>
      <c r="S292" s="4">
        <v>2879.33</v>
      </c>
      <c r="T292" s="4">
        <f t="shared" si="95"/>
        <v>57586.6</v>
      </c>
      <c r="U292" s="4">
        <v>1820.94</v>
      </c>
      <c r="V292" s="50">
        <v>2500</v>
      </c>
    </row>
    <row r="293" spans="1:22" x14ac:dyDescent="0.35">
      <c r="A293" s="3">
        <v>57</v>
      </c>
      <c r="B293" s="2">
        <v>46109</v>
      </c>
      <c r="C293" s="4"/>
      <c r="D293" s="18"/>
      <c r="E293" s="4">
        <f t="shared" si="100"/>
        <v>7571</v>
      </c>
      <c r="F293" s="4">
        <v>2</v>
      </c>
      <c r="G293" s="14">
        <f t="shared" si="98"/>
        <v>2.6416589618280279E-4</v>
      </c>
      <c r="H293" s="4"/>
      <c r="I293" s="4">
        <f t="shared" si="99"/>
        <v>7569</v>
      </c>
      <c r="J293" s="4">
        <v>230</v>
      </c>
      <c r="K293" s="4">
        <f t="shared" si="97"/>
        <v>6900</v>
      </c>
      <c r="L293" s="4">
        <v>0</v>
      </c>
      <c r="M293" s="4">
        <v>0</v>
      </c>
      <c r="N293" s="4">
        <f t="shared" si="91"/>
        <v>6900</v>
      </c>
      <c r="O293" s="14">
        <f t="shared" si="101"/>
        <v>0.91137234183066962</v>
      </c>
      <c r="P293" s="4">
        <v>20</v>
      </c>
      <c r="Q293" s="4">
        <f t="shared" si="93"/>
        <v>1000</v>
      </c>
      <c r="R293" s="4">
        <f t="shared" si="93"/>
        <v>50000</v>
      </c>
      <c r="S293" s="4">
        <v>2879.33</v>
      </c>
      <c r="T293" s="4">
        <f t="shared" si="95"/>
        <v>57586.6</v>
      </c>
      <c r="U293" s="4">
        <v>1820.94</v>
      </c>
      <c r="V293" s="50">
        <v>2500</v>
      </c>
    </row>
    <row r="294" spans="1:22" x14ac:dyDescent="0.35">
      <c r="A294" s="3">
        <v>57</v>
      </c>
      <c r="B294" s="2">
        <v>46110</v>
      </c>
      <c r="C294" s="4"/>
      <c r="D294" s="18"/>
      <c r="E294" s="4">
        <f t="shared" si="100"/>
        <v>7569</v>
      </c>
      <c r="F294" s="4">
        <v>2</v>
      </c>
      <c r="G294" s="14">
        <f t="shared" si="98"/>
        <v>2.6423569824283262E-4</v>
      </c>
      <c r="H294" s="4"/>
      <c r="I294" s="4">
        <f t="shared" si="99"/>
        <v>7567</v>
      </c>
      <c r="J294" s="4">
        <v>230</v>
      </c>
      <c r="K294" s="4">
        <f t="shared" si="97"/>
        <v>6900</v>
      </c>
      <c r="L294" s="4">
        <v>0</v>
      </c>
      <c r="M294" s="4">
        <v>0</v>
      </c>
      <c r="N294" s="4">
        <f t="shared" si="91"/>
        <v>6900</v>
      </c>
      <c r="O294" s="14">
        <f t="shared" si="101"/>
        <v>0.91161315893777251</v>
      </c>
      <c r="P294" s="4">
        <v>20</v>
      </c>
      <c r="Q294" s="4">
        <f t="shared" ref="Q294:R296" si="102">P294*50</f>
        <v>1000</v>
      </c>
      <c r="R294" s="4">
        <f t="shared" si="102"/>
        <v>50000</v>
      </c>
      <c r="S294" s="4">
        <v>2879.33</v>
      </c>
      <c r="T294" s="4">
        <f t="shared" si="95"/>
        <v>57586.6</v>
      </c>
      <c r="U294" s="4">
        <v>1820.94</v>
      </c>
      <c r="V294" s="50">
        <v>2700</v>
      </c>
    </row>
    <row r="295" spans="1:22" x14ac:dyDescent="0.35">
      <c r="A295" s="3">
        <v>57</v>
      </c>
      <c r="B295" s="2">
        <v>46111</v>
      </c>
      <c r="C295" s="4"/>
      <c r="D295" s="18"/>
      <c r="E295" s="4">
        <f t="shared" si="100"/>
        <v>7567</v>
      </c>
      <c r="F295" s="4">
        <v>2</v>
      </c>
      <c r="G295" s="14">
        <f t="shared" si="98"/>
        <v>2.6430553720100438E-4</v>
      </c>
      <c r="H295" s="4"/>
      <c r="I295" s="4">
        <f t="shared" si="99"/>
        <v>7565</v>
      </c>
      <c r="J295" s="4">
        <v>230</v>
      </c>
      <c r="K295" s="4">
        <f t="shared" si="97"/>
        <v>6900</v>
      </c>
      <c r="L295" s="4">
        <v>2</v>
      </c>
      <c r="M295" s="4">
        <v>0</v>
      </c>
      <c r="N295" s="4">
        <f t="shared" si="91"/>
        <v>6902</v>
      </c>
      <c r="O295" s="14">
        <f t="shared" si="101"/>
        <v>0.91211840888066609</v>
      </c>
      <c r="P295" s="4">
        <v>20</v>
      </c>
      <c r="Q295" s="4">
        <f t="shared" si="102"/>
        <v>1000</v>
      </c>
      <c r="R295" s="4">
        <f t="shared" si="102"/>
        <v>50000</v>
      </c>
      <c r="S295" s="4">
        <v>2879.33</v>
      </c>
      <c r="T295" s="4">
        <f t="shared" si="95"/>
        <v>57586.6</v>
      </c>
      <c r="U295" s="4">
        <v>1820.94</v>
      </c>
      <c r="V295" s="50">
        <v>2500</v>
      </c>
    </row>
    <row r="296" spans="1:22" x14ac:dyDescent="0.35">
      <c r="A296" s="3">
        <v>58</v>
      </c>
      <c r="B296" s="2">
        <v>46112</v>
      </c>
      <c r="C296" s="4"/>
      <c r="D296" s="18"/>
      <c r="E296" s="4">
        <f t="shared" si="100"/>
        <v>7565</v>
      </c>
      <c r="F296" s="4">
        <v>3</v>
      </c>
      <c r="G296" s="14">
        <f t="shared" si="98"/>
        <v>3.9656311962987442E-4</v>
      </c>
      <c r="H296" s="4"/>
      <c r="I296" s="4">
        <f t="shared" si="99"/>
        <v>7562</v>
      </c>
      <c r="J296" s="4">
        <v>230</v>
      </c>
      <c r="K296" s="4">
        <f t="shared" si="97"/>
        <v>6900</v>
      </c>
      <c r="L296" s="4">
        <v>1</v>
      </c>
      <c r="M296" s="4">
        <v>0</v>
      </c>
      <c r="N296" s="4">
        <f t="shared" si="91"/>
        <v>6901</v>
      </c>
      <c r="O296" s="14">
        <f t="shared" si="101"/>
        <v>0.91222736285525441</v>
      </c>
      <c r="P296" s="4">
        <v>20</v>
      </c>
      <c r="Q296" s="4">
        <f t="shared" si="102"/>
        <v>1000</v>
      </c>
      <c r="R296" s="4">
        <f t="shared" si="102"/>
        <v>50000</v>
      </c>
      <c r="S296" s="4">
        <v>2876.08</v>
      </c>
      <c r="T296" s="4">
        <f t="shared" si="95"/>
        <v>57521.599999999999</v>
      </c>
      <c r="U296" s="4">
        <v>1820.94</v>
      </c>
      <c r="V296" s="50">
        <v>2500</v>
      </c>
    </row>
    <row r="297" spans="1:22" x14ac:dyDescent="0.35">
      <c r="A297" s="3"/>
      <c r="B297" s="2"/>
      <c r="C297" s="4"/>
      <c r="D297" s="18"/>
      <c r="E297" s="4"/>
      <c r="F297" s="4">
        <f>SUM(F266:F296)</f>
        <v>43</v>
      </c>
      <c r="G297" s="14"/>
      <c r="H297" s="4"/>
      <c r="I297" s="4"/>
      <c r="J297" s="4"/>
      <c r="K297" s="4"/>
      <c r="L297" s="4"/>
      <c r="M297" s="4"/>
      <c r="N297" s="4"/>
      <c r="O297" s="14"/>
      <c r="P297" s="4"/>
      <c r="Q297" s="4"/>
      <c r="R297" s="4"/>
      <c r="S297" s="22"/>
      <c r="T297" s="4"/>
    </row>
    <row r="298" spans="1:22" x14ac:dyDescent="0.35">
      <c r="A298" s="3"/>
      <c r="B298" s="2"/>
      <c r="C298" s="4"/>
      <c r="D298" s="18"/>
      <c r="E298" s="4"/>
      <c r="F298" s="4"/>
      <c r="G298" s="14"/>
      <c r="H298" s="4"/>
      <c r="I298" s="4"/>
      <c r="J298" s="4"/>
      <c r="K298" s="4"/>
      <c r="L298" s="4"/>
      <c r="M298" s="4"/>
      <c r="N298" s="4"/>
      <c r="O298" s="14"/>
      <c r="P298" s="4"/>
      <c r="Q298" s="4"/>
      <c r="R298" s="4"/>
      <c r="S298" s="22"/>
      <c r="T298" s="4"/>
    </row>
    <row r="299" spans="1:22" x14ac:dyDescent="0.35">
      <c r="A299" s="1" t="s">
        <v>20</v>
      </c>
      <c r="B299" s="37" t="s">
        <v>1</v>
      </c>
      <c r="C299" s="38" t="s">
        <v>19</v>
      </c>
      <c r="D299" s="38" t="s">
        <v>18</v>
      </c>
      <c r="E299" s="39" t="s">
        <v>2</v>
      </c>
      <c r="F299" s="40" t="s">
        <v>3</v>
      </c>
      <c r="G299" s="41" t="s">
        <v>4</v>
      </c>
      <c r="H299" s="40" t="s">
        <v>5</v>
      </c>
      <c r="I299" s="42" t="s">
        <v>6</v>
      </c>
      <c r="J299" s="43" t="s">
        <v>7</v>
      </c>
      <c r="K299" s="40" t="s">
        <v>8</v>
      </c>
      <c r="L299" s="40" t="s">
        <v>9</v>
      </c>
      <c r="M299" s="40" t="s">
        <v>10</v>
      </c>
      <c r="N299" s="40" t="s">
        <v>11</v>
      </c>
      <c r="O299" s="44" t="s">
        <v>12</v>
      </c>
      <c r="P299" s="43" t="s">
        <v>13</v>
      </c>
      <c r="Q299" s="40" t="s">
        <v>14</v>
      </c>
      <c r="R299" s="45" t="s">
        <v>15</v>
      </c>
      <c r="S299" s="46" t="s">
        <v>16</v>
      </c>
      <c r="T299" s="47" t="s">
        <v>17</v>
      </c>
      <c r="U299" s="48" t="s">
        <v>22</v>
      </c>
      <c r="V299" s="48" t="s">
        <v>24</v>
      </c>
    </row>
    <row r="300" spans="1:22" x14ac:dyDescent="0.35">
      <c r="A300" s="3">
        <v>58</v>
      </c>
      <c r="B300" s="2">
        <v>46113</v>
      </c>
      <c r="C300" s="18"/>
      <c r="D300" s="18"/>
      <c r="E300" s="4">
        <v>7562</v>
      </c>
      <c r="F300" s="4">
        <v>1</v>
      </c>
      <c r="G300" s="14">
        <f t="shared" ref="G300:G329" si="103">F300/E300</f>
        <v>1.322401481089659E-4</v>
      </c>
      <c r="H300" s="4"/>
      <c r="I300" s="4">
        <f t="shared" ref="I300:I329" si="104">E300-F300-H300</f>
        <v>7561</v>
      </c>
      <c r="J300" s="4">
        <v>231</v>
      </c>
      <c r="K300" s="4">
        <f t="shared" ref="K300:K329" si="105">J300*30</f>
        <v>6930</v>
      </c>
      <c r="L300" s="4">
        <v>2</v>
      </c>
      <c r="M300" s="4">
        <v>0</v>
      </c>
      <c r="N300" s="4">
        <f t="shared" ref="N300:N329" si="106">K300+L300-M300</f>
        <v>6932</v>
      </c>
      <c r="O300" s="14">
        <f t="shared" ref="O300:O329" si="107">N300/E300</f>
        <v>0.9166887066913515</v>
      </c>
      <c r="P300" s="4">
        <v>20</v>
      </c>
      <c r="Q300" s="4">
        <f t="shared" ref="Q300:Q329" si="108">P300*50</f>
        <v>1000</v>
      </c>
      <c r="R300" s="4">
        <f t="shared" ref="R300:R309" si="109">Q300*1000</f>
        <v>1000000</v>
      </c>
      <c r="S300" s="4">
        <v>2876.08</v>
      </c>
      <c r="T300" s="4">
        <f t="shared" ref="T300:T308" si="110">P300*S300</f>
        <v>57521.599999999999</v>
      </c>
      <c r="U300" s="4">
        <v>1820.94</v>
      </c>
      <c r="V300" s="4">
        <v>2400</v>
      </c>
    </row>
    <row r="301" spans="1:22" x14ac:dyDescent="0.35">
      <c r="A301" s="3">
        <v>58</v>
      </c>
      <c r="B301" s="2">
        <v>46114</v>
      </c>
      <c r="C301" s="4"/>
      <c r="D301" s="18"/>
      <c r="E301" s="4">
        <f>I300</f>
        <v>7561</v>
      </c>
      <c r="F301" s="4">
        <v>1</v>
      </c>
      <c r="G301" s="14">
        <f t="shared" si="103"/>
        <v>1.3225763787858748E-4</v>
      </c>
      <c r="H301" s="4"/>
      <c r="I301" s="4">
        <f t="shared" si="104"/>
        <v>7560</v>
      </c>
      <c r="J301" s="4">
        <v>230</v>
      </c>
      <c r="K301" s="4">
        <f t="shared" si="105"/>
        <v>6900</v>
      </c>
      <c r="L301" s="4">
        <v>1</v>
      </c>
      <c r="M301" s="4">
        <v>0</v>
      </c>
      <c r="N301" s="4">
        <f t="shared" si="106"/>
        <v>6901</v>
      </c>
      <c r="O301" s="14">
        <f t="shared" si="107"/>
        <v>0.9127099590001323</v>
      </c>
      <c r="P301" s="4">
        <v>20</v>
      </c>
      <c r="Q301" s="4">
        <f t="shared" si="108"/>
        <v>1000</v>
      </c>
      <c r="R301" s="4">
        <f t="shared" si="109"/>
        <v>1000000</v>
      </c>
      <c r="S301" s="4">
        <v>2876.08</v>
      </c>
      <c r="T301" s="4">
        <f t="shared" si="110"/>
        <v>57521.599999999999</v>
      </c>
      <c r="U301" s="4">
        <v>1820.94</v>
      </c>
      <c r="V301" s="4">
        <v>3400</v>
      </c>
    </row>
    <row r="302" spans="1:22" x14ac:dyDescent="0.35">
      <c r="A302" s="3">
        <v>58</v>
      </c>
      <c r="B302" s="2">
        <v>46115</v>
      </c>
      <c r="C302" s="4"/>
      <c r="D302" s="18"/>
      <c r="E302" s="4">
        <f t="shared" ref="E302:E329" si="111">I301</f>
        <v>7560</v>
      </c>
      <c r="F302" s="4">
        <v>1</v>
      </c>
      <c r="G302" s="14">
        <f t="shared" si="103"/>
        <v>1.3227513227513228E-4</v>
      </c>
      <c r="H302" s="4"/>
      <c r="I302" s="4">
        <f t="shared" si="104"/>
        <v>7559</v>
      </c>
      <c r="J302" s="4">
        <v>228</v>
      </c>
      <c r="K302" s="4">
        <f t="shared" si="105"/>
        <v>6840</v>
      </c>
      <c r="L302" s="4">
        <v>0</v>
      </c>
      <c r="M302" s="4">
        <v>0</v>
      </c>
      <c r="N302" s="4">
        <f t="shared" si="106"/>
        <v>6840</v>
      </c>
      <c r="O302" s="14">
        <f t="shared" si="107"/>
        <v>0.90476190476190477</v>
      </c>
      <c r="P302" s="4">
        <v>20</v>
      </c>
      <c r="Q302" s="4">
        <f t="shared" si="108"/>
        <v>1000</v>
      </c>
      <c r="R302" s="4">
        <f t="shared" si="109"/>
        <v>1000000</v>
      </c>
      <c r="S302" s="4">
        <v>2876.08</v>
      </c>
      <c r="T302" s="4">
        <f t="shared" si="110"/>
        <v>57521.599999999999</v>
      </c>
      <c r="U302" s="4">
        <v>1820.94</v>
      </c>
      <c r="V302" s="4">
        <v>2800</v>
      </c>
    </row>
    <row r="303" spans="1:22" x14ac:dyDescent="0.35">
      <c r="A303" s="3">
        <v>58</v>
      </c>
      <c r="B303" s="2">
        <v>46116</v>
      </c>
      <c r="C303" s="4"/>
      <c r="D303" s="18"/>
      <c r="E303" s="4">
        <f t="shared" si="111"/>
        <v>7559</v>
      </c>
      <c r="F303" s="4">
        <v>2</v>
      </c>
      <c r="G303" s="14">
        <f t="shared" si="103"/>
        <v>2.6458526260087314E-4</v>
      </c>
      <c r="H303" s="4"/>
      <c r="I303" s="4">
        <f t="shared" si="104"/>
        <v>7557</v>
      </c>
      <c r="J303" s="4">
        <v>227</v>
      </c>
      <c r="K303" s="4">
        <f t="shared" si="105"/>
        <v>6810</v>
      </c>
      <c r="L303" s="4">
        <v>0</v>
      </c>
      <c r="M303" s="4">
        <v>0</v>
      </c>
      <c r="N303" s="4">
        <f t="shared" si="106"/>
        <v>6810</v>
      </c>
      <c r="O303" s="14">
        <f t="shared" si="107"/>
        <v>0.90091281915597299</v>
      </c>
      <c r="P303" s="4">
        <v>20</v>
      </c>
      <c r="Q303" s="4">
        <f t="shared" si="108"/>
        <v>1000</v>
      </c>
      <c r="R303" s="4">
        <f t="shared" si="109"/>
        <v>1000000</v>
      </c>
      <c r="S303" s="4">
        <v>2876.08</v>
      </c>
      <c r="T303" s="4">
        <f t="shared" si="110"/>
        <v>57521.599999999999</v>
      </c>
      <c r="U303" s="4">
        <v>1820.94</v>
      </c>
      <c r="V303" s="4">
        <v>2600</v>
      </c>
    </row>
    <row r="304" spans="1:22" x14ac:dyDescent="0.35">
      <c r="A304" s="3">
        <v>58</v>
      </c>
      <c r="B304" s="2">
        <v>46117</v>
      </c>
      <c r="C304" s="19"/>
      <c r="D304" s="19"/>
      <c r="E304" s="4">
        <f t="shared" si="111"/>
        <v>7557</v>
      </c>
      <c r="F304" s="4">
        <v>3</v>
      </c>
      <c r="G304" s="14">
        <f t="shared" si="103"/>
        <v>3.9698292973402142E-4</v>
      </c>
      <c r="H304" s="7"/>
      <c r="I304" s="4">
        <f t="shared" si="104"/>
        <v>7554</v>
      </c>
      <c r="J304" s="4">
        <v>227</v>
      </c>
      <c r="K304" s="4">
        <f t="shared" si="105"/>
        <v>6810</v>
      </c>
      <c r="L304" s="4">
        <v>0</v>
      </c>
      <c r="M304" s="4">
        <v>0</v>
      </c>
      <c r="N304" s="4">
        <f t="shared" si="106"/>
        <v>6810</v>
      </c>
      <c r="O304" s="14">
        <f t="shared" si="107"/>
        <v>0.90115125049622868</v>
      </c>
      <c r="P304" s="4">
        <v>20</v>
      </c>
      <c r="Q304" s="4">
        <f t="shared" si="108"/>
        <v>1000</v>
      </c>
      <c r="R304" s="4">
        <f t="shared" si="109"/>
        <v>1000000</v>
      </c>
      <c r="S304" s="4">
        <v>2876.08</v>
      </c>
      <c r="T304" s="4">
        <f t="shared" si="110"/>
        <v>57521.599999999999</v>
      </c>
      <c r="U304" s="4">
        <v>1820.94</v>
      </c>
      <c r="V304" s="4">
        <v>2400</v>
      </c>
    </row>
    <row r="305" spans="1:22" x14ac:dyDescent="0.35">
      <c r="A305" s="3">
        <v>58</v>
      </c>
      <c r="B305" s="2">
        <v>46118</v>
      </c>
      <c r="C305" s="4"/>
      <c r="D305" s="18"/>
      <c r="E305" s="4">
        <f t="shared" si="111"/>
        <v>7554</v>
      </c>
      <c r="F305" s="4">
        <v>2</v>
      </c>
      <c r="G305" s="14">
        <f t="shared" si="103"/>
        <v>2.6476039184537993E-4</v>
      </c>
      <c r="H305" s="4"/>
      <c r="I305" s="4">
        <f t="shared" si="104"/>
        <v>7552</v>
      </c>
      <c r="J305" s="4">
        <v>226</v>
      </c>
      <c r="K305" s="4">
        <f t="shared" si="105"/>
        <v>6780</v>
      </c>
      <c r="L305" s="4">
        <v>0</v>
      </c>
      <c r="M305" s="4">
        <v>0</v>
      </c>
      <c r="N305" s="4">
        <f t="shared" si="106"/>
        <v>6780</v>
      </c>
      <c r="O305" s="14">
        <f t="shared" si="107"/>
        <v>0.897537728355838</v>
      </c>
      <c r="P305" s="4">
        <v>20</v>
      </c>
      <c r="Q305" s="4">
        <f t="shared" si="108"/>
        <v>1000</v>
      </c>
      <c r="R305" s="4">
        <f t="shared" si="109"/>
        <v>1000000</v>
      </c>
      <c r="S305" s="4">
        <v>2876.08</v>
      </c>
      <c r="T305" s="4">
        <f t="shared" si="110"/>
        <v>57521.599999999999</v>
      </c>
      <c r="U305" s="4">
        <v>1820.94</v>
      </c>
      <c r="V305" s="4">
        <v>2600</v>
      </c>
    </row>
    <row r="306" spans="1:22" x14ac:dyDescent="0.35">
      <c r="A306" s="3">
        <v>59</v>
      </c>
      <c r="B306" s="2">
        <v>46119</v>
      </c>
      <c r="C306" s="4"/>
      <c r="D306" s="18"/>
      <c r="E306" s="4">
        <f t="shared" si="111"/>
        <v>7552</v>
      </c>
      <c r="F306" s="4">
        <v>2</v>
      </c>
      <c r="G306" s="14">
        <f t="shared" si="103"/>
        <v>2.6483050847457627E-4</v>
      </c>
      <c r="H306" s="4"/>
      <c r="I306" s="4">
        <f t="shared" si="104"/>
        <v>7550</v>
      </c>
      <c r="J306" s="4">
        <v>224</v>
      </c>
      <c r="K306" s="4">
        <f t="shared" si="105"/>
        <v>6720</v>
      </c>
      <c r="L306" s="4">
        <v>0</v>
      </c>
      <c r="M306" s="4">
        <v>0</v>
      </c>
      <c r="N306" s="4">
        <f t="shared" si="106"/>
        <v>6720</v>
      </c>
      <c r="O306" s="14">
        <f t="shared" si="107"/>
        <v>0.88983050847457623</v>
      </c>
      <c r="P306" s="4">
        <v>20</v>
      </c>
      <c r="Q306" s="4">
        <f t="shared" si="108"/>
        <v>1000</v>
      </c>
      <c r="R306" s="4">
        <f t="shared" si="109"/>
        <v>1000000</v>
      </c>
      <c r="S306" s="4">
        <v>2876.08</v>
      </c>
      <c r="T306" s="4">
        <f t="shared" si="110"/>
        <v>57521.599999999999</v>
      </c>
      <c r="U306" s="4">
        <v>1820.94</v>
      </c>
      <c r="V306" s="4">
        <v>2700</v>
      </c>
    </row>
    <row r="307" spans="1:22" x14ac:dyDescent="0.35">
      <c r="A307" s="3">
        <v>59</v>
      </c>
      <c r="B307" s="2">
        <v>46120</v>
      </c>
      <c r="C307" s="4"/>
      <c r="D307" s="18"/>
      <c r="E307" s="4">
        <f t="shared" si="111"/>
        <v>7550</v>
      </c>
      <c r="F307" s="4">
        <v>2</v>
      </c>
      <c r="G307" s="14">
        <f t="shared" si="103"/>
        <v>2.6490066225165563E-4</v>
      </c>
      <c r="H307" s="4"/>
      <c r="I307" s="4">
        <f t="shared" si="104"/>
        <v>7548</v>
      </c>
      <c r="J307" s="4">
        <v>225</v>
      </c>
      <c r="K307" s="4">
        <f t="shared" si="105"/>
        <v>6750</v>
      </c>
      <c r="L307" s="4">
        <v>2</v>
      </c>
      <c r="M307" s="4">
        <v>0</v>
      </c>
      <c r="N307" s="4">
        <f t="shared" si="106"/>
        <v>6752</v>
      </c>
      <c r="O307" s="14">
        <f t="shared" si="107"/>
        <v>0.89430463576158936</v>
      </c>
      <c r="P307" s="4">
        <v>20</v>
      </c>
      <c r="Q307" s="4">
        <f t="shared" si="108"/>
        <v>1000</v>
      </c>
      <c r="R307" s="4">
        <f t="shared" si="109"/>
        <v>1000000</v>
      </c>
      <c r="S307" s="4">
        <v>2876.08</v>
      </c>
      <c r="T307" s="4">
        <f t="shared" si="110"/>
        <v>57521.599999999999</v>
      </c>
      <c r="U307" s="4">
        <v>1820.94</v>
      </c>
      <c r="V307" s="4">
        <v>2600</v>
      </c>
    </row>
    <row r="308" spans="1:22" x14ac:dyDescent="0.35">
      <c r="A308" s="3">
        <v>59</v>
      </c>
      <c r="B308" s="2">
        <v>46121</v>
      </c>
      <c r="C308" s="4"/>
      <c r="D308" s="18"/>
      <c r="E308" s="4">
        <f t="shared" si="111"/>
        <v>7548</v>
      </c>
      <c r="F308" s="4">
        <v>1</v>
      </c>
      <c r="G308" s="14">
        <f t="shared" si="103"/>
        <v>1.3248542660307367E-4</v>
      </c>
      <c r="H308" s="4"/>
      <c r="I308" s="4">
        <f t="shared" si="104"/>
        <v>7547</v>
      </c>
      <c r="J308" s="4">
        <v>225</v>
      </c>
      <c r="K308" s="4">
        <f t="shared" si="105"/>
        <v>6750</v>
      </c>
      <c r="L308" s="4">
        <v>0</v>
      </c>
      <c r="M308" s="4">
        <v>0</v>
      </c>
      <c r="N308" s="4">
        <f t="shared" si="106"/>
        <v>6750</v>
      </c>
      <c r="O308" s="14">
        <f t="shared" si="107"/>
        <v>0.89427662957074727</v>
      </c>
      <c r="P308" s="4">
        <v>20</v>
      </c>
      <c r="Q308" s="4">
        <f t="shared" si="108"/>
        <v>1000</v>
      </c>
      <c r="R308" s="4">
        <f t="shared" si="109"/>
        <v>1000000</v>
      </c>
      <c r="S308" s="4">
        <v>2876.08</v>
      </c>
      <c r="T308" s="4">
        <f t="shared" si="110"/>
        <v>57521.599999999999</v>
      </c>
      <c r="U308" s="4">
        <v>1820.94</v>
      </c>
      <c r="V308" s="4">
        <v>2800</v>
      </c>
    </row>
    <row r="309" spans="1:22" x14ac:dyDescent="0.35">
      <c r="A309" s="3">
        <v>59</v>
      </c>
      <c r="B309" s="2">
        <v>46122</v>
      </c>
      <c r="C309" s="4"/>
      <c r="D309" s="18"/>
      <c r="E309" s="4">
        <f t="shared" si="111"/>
        <v>7547</v>
      </c>
      <c r="F309" s="4">
        <v>0</v>
      </c>
      <c r="G309" s="14">
        <f t="shared" si="103"/>
        <v>0</v>
      </c>
      <c r="H309" s="4"/>
      <c r="I309" s="4">
        <f t="shared" si="104"/>
        <v>7547</v>
      </c>
      <c r="J309" s="4">
        <v>225</v>
      </c>
      <c r="K309" s="4">
        <f t="shared" si="105"/>
        <v>6750</v>
      </c>
      <c r="L309" s="4">
        <v>0</v>
      </c>
      <c r="M309" s="4">
        <v>0</v>
      </c>
      <c r="N309" s="4">
        <f t="shared" si="106"/>
        <v>6750</v>
      </c>
      <c r="O309" s="14">
        <f t="shared" si="107"/>
        <v>0.89439512389028752</v>
      </c>
      <c r="P309" s="4">
        <v>20</v>
      </c>
      <c r="Q309" s="4">
        <f t="shared" si="108"/>
        <v>1000</v>
      </c>
      <c r="R309" s="4">
        <f t="shared" si="109"/>
        <v>1000000</v>
      </c>
      <c r="S309" s="4">
        <v>2876.08</v>
      </c>
      <c r="T309" s="4">
        <f t="shared" ref="T309:T329" si="112">P309*S309</f>
        <v>57521.599999999999</v>
      </c>
      <c r="U309" s="4">
        <v>1820.94</v>
      </c>
      <c r="V309" s="4">
        <v>2900</v>
      </c>
    </row>
    <row r="310" spans="1:22" x14ac:dyDescent="0.35">
      <c r="A310" s="3">
        <v>59</v>
      </c>
      <c r="B310" s="2">
        <v>46123</v>
      </c>
      <c r="C310" s="4"/>
      <c r="D310" s="18"/>
      <c r="E310" s="4">
        <f t="shared" si="111"/>
        <v>7547</v>
      </c>
      <c r="F310" s="4">
        <v>0</v>
      </c>
      <c r="G310" s="14">
        <f t="shared" si="103"/>
        <v>0</v>
      </c>
      <c r="H310" s="4"/>
      <c r="I310" s="4">
        <f t="shared" si="104"/>
        <v>7547</v>
      </c>
      <c r="J310" s="4">
        <v>225</v>
      </c>
      <c r="K310" s="4">
        <f t="shared" si="105"/>
        <v>6750</v>
      </c>
      <c r="L310" s="4">
        <v>0</v>
      </c>
      <c r="M310" s="4">
        <v>0</v>
      </c>
      <c r="N310" s="4">
        <f t="shared" si="106"/>
        <v>6750</v>
      </c>
      <c r="O310" s="14">
        <f t="shared" si="107"/>
        <v>0.89439512389028752</v>
      </c>
      <c r="P310" s="4">
        <v>20</v>
      </c>
      <c r="Q310" s="4">
        <f t="shared" si="108"/>
        <v>1000</v>
      </c>
      <c r="R310" s="4">
        <f>Q310*1000</f>
        <v>1000000</v>
      </c>
      <c r="S310" s="4">
        <v>2876.08</v>
      </c>
      <c r="T310" s="4">
        <f t="shared" si="112"/>
        <v>57521.599999999999</v>
      </c>
      <c r="U310" s="4">
        <v>1820.94</v>
      </c>
      <c r="V310" s="4">
        <v>2800</v>
      </c>
    </row>
    <row r="311" spans="1:22" x14ac:dyDescent="0.35">
      <c r="A311" s="3">
        <v>59</v>
      </c>
      <c r="B311" s="2">
        <v>46124</v>
      </c>
      <c r="C311" s="4"/>
      <c r="D311" s="18"/>
      <c r="E311" s="4">
        <f t="shared" si="111"/>
        <v>7547</v>
      </c>
      <c r="F311" s="4">
        <v>0</v>
      </c>
      <c r="G311" s="14">
        <f t="shared" si="103"/>
        <v>0</v>
      </c>
      <c r="H311" s="4"/>
      <c r="I311" s="4">
        <f t="shared" si="104"/>
        <v>7547</v>
      </c>
      <c r="J311" s="4">
        <v>225</v>
      </c>
      <c r="K311" s="4">
        <f t="shared" si="105"/>
        <v>6750</v>
      </c>
      <c r="L311" s="4">
        <v>0</v>
      </c>
      <c r="M311" s="4">
        <v>0</v>
      </c>
      <c r="N311" s="4">
        <f t="shared" si="106"/>
        <v>6750</v>
      </c>
      <c r="O311" s="14">
        <f t="shared" si="107"/>
        <v>0.89439512389028752</v>
      </c>
      <c r="P311" s="4">
        <v>20</v>
      </c>
      <c r="Q311" s="4">
        <f t="shared" si="108"/>
        <v>1000</v>
      </c>
      <c r="R311" s="4">
        <f>Q311*1000</f>
        <v>1000000</v>
      </c>
      <c r="S311" s="4">
        <v>2876.08</v>
      </c>
      <c r="T311" s="4">
        <f t="shared" si="112"/>
        <v>57521.599999999999</v>
      </c>
      <c r="U311" s="4">
        <v>1820.94</v>
      </c>
      <c r="V311" s="4">
        <v>2600</v>
      </c>
    </row>
    <row r="312" spans="1:22" x14ac:dyDescent="0.35">
      <c r="A312" s="3">
        <v>59</v>
      </c>
      <c r="B312" s="2">
        <v>46125</v>
      </c>
      <c r="C312" s="4"/>
      <c r="D312" s="18"/>
      <c r="E312" s="4">
        <f t="shared" si="111"/>
        <v>7547</v>
      </c>
      <c r="F312" s="4">
        <v>2</v>
      </c>
      <c r="G312" s="14">
        <f t="shared" si="103"/>
        <v>2.6500596263415925E-4</v>
      </c>
      <c r="H312" s="4"/>
      <c r="I312" s="4">
        <f t="shared" si="104"/>
        <v>7545</v>
      </c>
      <c r="J312" s="4">
        <v>225</v>
      </c>
      <c r="K312" s="4">
        <f t="shared" si="105"/>
        <v>6750</v>
      </c>
      <c r="L312" s="4">
        <v>0</v>
      </c>
      <c r="M312" s="4">
        <v>0</v>
      </c>
      <c r="N312" s="4">
        <f t="shared" si="106"/>
        <v>6750</v>
      </c>
      <c r="O312" s="14">
        <f t="shared" si="107"/>
        <v>0.89439512389028752</v>
      </c>
      <c r="P312" s="4">
        <v>20</v>
      </c>
      <c r="Q312" s="4">
        <f t="shared" si="108"/>
        <v>1000</v>
      </c>
      <c r="R312" s="4">
        <f>Q312*1000</f>
        <v>1000000</v>
      </c>
      <c r="S312" s="4">
        <v>2876.08</v>
      </c>
      <c r="T312" s="4">
        <f t="shared" si="112"/>
        <v>57521.599999999999</v>
      </c>
      <c r="U312" s="4">
        <v>1820.94</v>
      </c>
      <c r="V312" s="4">
        <v>2700</v>
      </c>
    </row>
    <row r="313" spans="1:22" x14ac:dyDescent="0.35">
      <c r="A313" s="3">
        <v>60</v>
      </c>
      <c r="B313" s="2">
        <v>46126</v>
      </c>
      <c r="C313" s="4"/>
      <c r="D313" s="18"/>
      <c r="E313" s="4">
        <f t="shared" si="111"/>
        <v>7545</v>
      </c>
      <c r="F313" s="4">
        <v>1</v>
      </c>
      <c r="G313" s="14">
        <f t="shared" si="103"/>
        <v>1.3253810470510271E-4</v>
      </c>
      <c r="H313" s="4"/>
      <c r="I313" s="4">
        <f t="shared" si="104"/>
        <v>7544</v>
      </c>
      <c r="J313" s="4">
        <v>225</v>
      </c>
      <c r="K313" s="4">
        <f t="shared" si="105"/>
        <v>6750</v>
      </c>
      <c r="L313" s="4">
        <v>0</v>
      </c>
      <c r="M313" s="4">
        <v>0</v>
      </c>
      <c r="N313" s="4">
        <f t="shared" si="106"/>
        <v>6750</v>
      </c>
      <c r="O313" s="14">
        <f t="shared" si="107"/>
        <v>0.89463220675944333</v>
      </c>
      <c r="P313" s="4">
        <v>20</v>
      </c>
      <c r="Q313" s="4">
        <f t="shared" si="108"/>
        <v>1000</v>
      </c>
      <c r="R313" s="4">
        <f t="shared" ref="R313:R329" si="113">Q313*1000</f>
        <v>1000000</v>
      </c>
      <c r="S313" s="4">
        <v>2876.08</v>
      </c>
      <c r="T313" s="4">
        <f t="shared" si="112"/>
        <v>57521.599999999999</v>
      </c>
      <c r="U313" s="4">
        <v>1820.94</v>
      </c>
      <c r="V313" s="4">
        <v>3000</v>
      </c>
    </row>
    <row r="314" spans="1:22" x14ac:dyDescent="0.35">
      <c r="A314" s="3">
        <v>60</v>
      </c>
      <c r="B314" s="2">
        <v>46127</v>
      </c>
      <c r="C314" s="4"/>
      <c r="D314" s="18"/>
      <c r="E314" s="4">
        <f t="shared" si="111"/>
        <v>7544</v>
      </c>
      <c r="F314" s="4">
        <v>0</v>
      </c>
      <c r="G314" s="14">
        <f t="shared" si="103"/>
        <v>0</v>
      </c>
      <c r="H314" s="4"/>
      <c r="I314" s="4">
        <f t="shared" si="104"/>
        <v>7544</v>
      </c>
      <c r="J314" s="4">
        <v>223</v>
      </c>
      <c r="K314" s="4">
        <f t="shared" si="105"/>
        <v>6690</v>
      </c>
      <c r="L314" s="4">
        <v>0</v>
      </c>
      <c r="M314" s="4">
        <v>0</v>
      </c>
      <c r="N314" s="4">
        <f t="shared" si="106"/>
        <v>6690</v>
      </c>
      <c r="O314" s="14">
        <f t="shared" si="107"/>
        <v>0.88679745493107109</v>
      </c>
      <c r="P314" s="4">
        <v>20</v>
      </c>
      <c r="Q314" s="4">
        <f t="shared" si="108"/>
        <v>1000</v>
      </c>
      <c r="R314" s="4">
        <f t="shared" si="113"/>
        <v>1000000</v>
      </c>
      <c r="S314" s="4">
        <v>2876.08</v>
      </c>
      <c r="T314" s="4">
        <f t="shared" si="112"/>
        <v>57521.599999999999</v>
      </c>
      <c r="U314" s="4">
        <v>1820.94</v>
      </c>
      <c r="V314" s="4">
        <v>3000</v>
      </c>
    </row>
    <row r="315" spans="1:22" x14ac:dyDescent="0.35">
      <c r="A315" s="3">
        <v>60</v>
      </c>
      <c r="B315" s="2">
        <v>46128</v>
      </c>
      <c r="C315" s="4"/>
      <c r="D315" s="18"/>
      <c r="E315" s="4">
        <f t="shared" si="111"/>
        <v>7544</v>
      </c>
      <c r="F315" s="4">
        <v>1</v>
      </c>
      <c r="G315" s="14">
        <f t="shared" si="103"/>
        <v>1.325556733828208E-4</v>
      </c>
      <c r="H315" s="4"/>
      <c r="I315" s="4">
        <f t="shared" si="104"/>
        <v>7543</v>
      </c>
      <c r="J315" s="4">
        <v>224</v>
      </c>
      <c r="K315" s="4">
        <f t="shared" si="105"/>
        <v>6720</v>
      </c>
      <c r="L315" s="4">
        <v>0</v>
      </c>
      <c r="M315" s="4">
        <v>0</v>
      </c>
      <c r="N315" s="4">
        <f t="shared" si="106"/>
        <v>6720</v>
      </c>
      <c r="O315" s="14">
        <f t="shared" si="107"/>
        <v>0.89077412513255572</v>
      </c>
      <c r="P315" s="4">
        <v>20</v>
      </c>
      <c r="Q315" s="4">
        <f t="shared" si="108"/>
        <v>1000</v>
      </c>
      <c r="R315" s="4">
        <f t="shared" si="113"/>
        <v>1000000</v>
      </c>
      <c r="S315" s="4">
        <v>2876.08</v>
      </c>
      <c r="T315" s="4">
        <f t="shared" si="112"/>
        <v>57521.599999999999</v>
      </c>
      <c r="U315" s="4">
        <v>1820.94</v>
      </c>
      <c r="V315" s="4">
        <v>2600</v>
      </c>
    </row>
    <row r="316" spans="1:22" x14ac:dyDescent="0.35">
      <c r="A316" s="3">
        <v>60</v>
      </c>
      <c r="B316" s="2">
        <v>46129</v>
      </c>
      <c r="C316" s="4"/>
      <c r="D316" s="18"/>
      <c r="E316" s="4">
        <f t="shared" si="111"/>
        <v>7543</v>
      </c>
      <c r="F316" s="4">
        <v>2</v>
      </c>
      <c r="G316" s="14">
        <f t="shared" si="103"/>
        <v>2.6514649343762427E-4</v>
      </c>
      <c r="H316" s="4"/>
      <c r="I316" s="4">
        <f t="shared" si="104"/>
        <v>7541</v>
      </c>
      <c r="J316" s="4">
        <v>225</v>
      </c>
      <c r="K316" s="4">
        <f t="shared" si="105"/>
        <v>6750</v>
      </c>
      <c r="L316" s="4">
        <v>0</v>
      </c>
      <c r="M316" s="4">
        <v>0</v>
      </c>
      <c r="N316" s="4">
        <f t="shared" si="106"/>
        <v>6750</v>
      </c>
      <c r="O316" s="14">
        <f t="shared" si="107"/>
        <v>0.89486941535198194</v>
      </c>
      <c r="P316" s="4">
        <v>20</v>
      </c>
      <c r="Q316" s="4">
        <f t="shared" si="108"/>
        <v>1000</v>
      </c>
      <c r="R316" s="4">
        <f t="shared" si="113"/>
        <v>1000000</v>
      </c>
      <c r="S316" s="4">
        <v>2876.08</v>
      </c>
      <c r="T316" s="4">
        <f t="shared" si="112"/>
        <v>57521.599999999999</v>
      </c>
      <c r="U316" s="4">
        <v>1820.94</v>
      </c>
      <c r="V316" s="4">
        <v>2600</v>
      </c>
    </row>
    <row r="317" spans="1:22" x14ac:dyDescent="0.35">
      <c r="A317" s="3">
        <v>60</v>
      </c>
      <c r="B317" s="2">
        <v>46130</v>
      </c>
      <c r="C317" s="4"/>
      <c r="D317" s="18"/>
      <c r="E317" s="4">
        <f t="shared" si="111"/>
        <v>7541</v>
      </c>
      <c r="F317" s="4">
        <v>1</v>
      </c>
      <c r="G317" s="14">
        <f t="shared" si="103"/>
        <v>1.3260840737302744E-4</v>
      </c>
      <c r="H317" s="4"/>
      <c r="I317" s="4">
        <f t="shared" si="104"/>
        <v>7540</v>
      </c>
      <c r="J317" s="4">
        <v>225</v>
      </c>
      <c r="K317" s="4">
        <f t="shared" si="105"/>
        <v>6750</v>
      </c>
      <c r="L317" s="4">
        <v>0</v>
      </c>
      <c r="M317" s="4">
        <v>0</v>
      </c>
      <c r="N317" s="4">
        <f t="shared" si="106"/>
        <v>6750</v>
      </c>
      <c r="O317" s="14">
        <f t="shared" si="107"/>
        <v>0.89510674976793525</v>
      </c>
      <c r="P317" s="4">
        <v>20</v>
      </c>
      <c r="Q317" s="4">
        <f t="shared" si="108"/>
        <v>1000</v>
      </c>
      <c r="R317" s="4">
        <f t="shared" si="113"/>
        <v>1000000</v>
      </c>
      <c r="S317" s="4">
        <v>2876.08</v>
      </c>
      <c r="T317" s="4">
        <f t="shared" si="112"/>
        <v>57521.599999999999</v>
      </c>
      <c r="U317" s="4">
        <v>1820.94</v>
      </c>
      <c r="V317" s="4">
        <v>2600</v>
      </c>
    </row>
    <row r="318" spans="1:22" x14ac:dyDescent="0.35">
      <c r="A318" s="3">
        <v>60</v>
      </c>
      <c r="B318" s="2">
        <v>46131</v>
      </c>
      <c r="C318" s="4"/>
      <c r="D318" s="18"/>
      <c r="E318" s="4">
        <f t="shared" si="111"/>
        <v>7540</v>
      </c>
      <c r="F318" s="4">
        <v>2</v>
      </c>
      <c r="G318" s="14">
        <f t="shared" si="103"/>
        <v>2.652519893899204E-4</v>
      </c>
      <c r="H318" s="4"/>
      <c r="I318" s="4">
        <f t="shared" si="104"/>
        <v>7538</v>
      </c>
      <c r="J318" s="4">
        <v>225</v>
      </c>
      <c r="K318" s="4">
        <f t="shared" si="105"/>
        <v>6750</v>
      </c>
      <c r="L318" s="4">
        <v>0</v>
      </c>
      <c r="M318" s="4">
        <v>0</v>
      </c>
      <c r="N318" s="4">
        <f t="shared" si="106"/>
        <v>6750</v>
      </c>
      <c r="O318" s="14">
        <f t="shared" si="107"/>
        <v>0.89522546419098148</v>
      </c>
      <c r="P318" s="4">
        <v>20</v>
      </c>
      <c r="Q318" s="4">
        <f t="shared" si="108"/>
        <v>1000</v>
      </c>
      <c r="R318" s="4">
        <f t="shared" si="113"/>
        <v>1000000</v>
      </c>
      <c r="S318" s="4">
        <v>2876.08</v>
      </c>
      <c r="T318" s="4">
        <f t="shared" si="112"/>
        <v>57521.599999999999</v>
      </c>
      <c r="U318" s="4">
        <v>1820.94</v>
      </c>
      <c r="V318" s="4">
        <v>2700</v>
      </c>
    </row>
    <row r="319" spans="1:22" x14ac:dyDescent="0.35">
      <c r="A319" s="3">
        <v>60</v>
      </c>
      <c r="B319" s="2">
        <v>46132</v>
      </c>
      <c r="C319" s="4"/>
      <c r="D319" s="18"/>
      <c r="E319" s="4">
        <f t="shared" si="111"/>
        <v>7538</v>
      </c>
      <c r="F319" s="4">
        <v>2</v>
      </c>
      <c r="G319" s="14">
        <f t="shared" si="103"/>
        <v>2.6532236667551072E-4</v>
      </c>
      <c r="H319" s="4"/>
      <c r="I319" s="4">
        <f t="shared" si="104"/>
        <v>7536</v>
      </c>
      <c r="J319" s="4">
        <v>225</v>
      </c>
      <c r="K319" s="4">
        <f t="shared" si="105"/>
        <v>6750</v>
      </c>
      <c r="L319" s="4">
        <v>0</v>
      </c>
      <c r="M319" s="4">
        <v>0</v>
      </c>
      <c r="N319" s="4">
        <f t="shared" si="106"/>
        <v>6750</v>
      </c>
      <c r="O319" s="14">
        <f t="shared" si="107"/>
        <v>0.89546298752984876</v>
      </c>
      <c r="P319" s="4">
        <v>20</v>
      </c>
      <c r="Q319" s="4">
        <f t="shared" si="108"/>
        <v>1000</v>
      </c>
      <c r="R319" s="4">
        <f t="shared" si="113"/>
        <v>1000000</v>
      </c>
      <c r="S319" s="4">
        <v>2876.08</v>
      </c>
      <c r="T319" s="4">
        <f t="shared" si="112"/>
        <v>57521.599999999999</v>
      </c>
      <c r="U319" s="4">
        <v>1820.94</v>
      </c>
      <c r="V319" s="4">
        <v>2800</v>
      </c>
    </row>
    <row r="320" spans="1:22" x14ac:dyDescent="0.35">
      <c r="A320" s="3">
        <v>61</v>
      </c>
      <c r="B320" s="2">
        <v>46133</v>
      </c>
      <c r="C320" s="4"/>
      <c r="D320" s="18"/>
      <c r="E320" s="4">
        <f t="shared" si="111"/>
        <v>7536</v>
      </c>
      <c r="F320" s="4">
        <v>1</v>
      </c>
      <c r="G320" s="14">
        <f t="shared" si="103"/>
        <v>1.326963906581741E-4</v>
      </c>
      <c r="H320" s="4"/>
      <c r="I320" s="4">
        <f t="shared" si="104"/>
        <v>7535</v>
      </c>
      <c r="J320" s="4">
        <v>225</v>
      </c>
      <c r="K320" s="4">
        <f t="shared" si="105"/>
        <v>6750</v>
      </c>
      <c r="L320" s="4">
        <v>0</v>
      </c>
      <c r="M320" s="4">
        <v>0</v>
      </c>
      <c r="N320" s="4">
        <f t="shared" si="106"/>
        <v>6750</v>
      </c>
      <c r="O320" s="14">
        <f t="shared" si="107"/>
        <v>0.89570063694267521</v>
      </c>
      <c r="P320" s="4">
        <v>20</v>
      </c>
      <c r="Q320" s="4">
        <f t="shared" si="108"/>
        <v>1000</v>
      </c>
      <c r="R320" s="4">
        <f t="shared" si="113"/>
        <v>1000000</v>
      </c>
      <c r="S320" s="4">
        <v>2876.08</v>
      </c>
      <c r="T320" s="4">
        <f t="shared" si="112"/>
        <v>57521.599999999999</v>
      </c>
      <c r="U320" s="4">
        <v>1820.94</v>
      </c>
      <c r="V320" s="4">
        <v>2800</v>
      </c>
    </row>
    <row r="321" spans="1:22" x14ac:dyDescent="0.35">
      <c r="A321" s="3">
        <v>61</v>
      </c>
      <c r="B321" s="2">
        <v>46134</v>
      </c>
      <c r="C321" s="4"/>
      <c r="D321" s="18"/>
      <c r="E321" s="4">
        <f t="shared" si="111"/>
        <v>7535</v>
      </c>
      <c r="F321" s="4">
        <v>1</v>
      </c>
      <c r="G321" s="14">
        <f t="shared" si="103"/>
        <v>1.3271400132714001E-4</v>
      </c>
      <c r="H321" s="4"/>
      <c r="I321" s="4">
        <f t="shared" si="104"/>
        <v>7534</v>
      </c>
      <c r="J321" s="4">
        <v>225</v>
      </c>
      <c r="K321" s="4">
        <f t="shared" si="105"/>
        <v>6750</v>
      </c>
      <c r="L321" s="4">
        <v>0</v>
      </c>
      <c r="M321" s="4">
        <v>0</v>
      </c>
      <c r="N321" s="4">
        <f t="shared" si="106"/>
        <v>6750</v>
      </c>
      <c r="O321" s="14">
        <f t="shared" si="107"/>
        <v>0.89581950895819507</v>
      </c>
      <c r="P321" s="4">
        <v>20</v>
      </c>
      <c r="Q321" s="4">
        <f t="shared" si="108"/>
        <v>1000</v>
      </c>
      <c r="R321" s="4">
        <f t="shared" si="113"/>
        <v>1000000</v>
      </c>
      <c r="S321" s="4">
        <v>2876.08</v>
      </c>
      <c r="T321" s="4">
        <f t="shared" si="112"/>
        <v>57521.599999999999</v>
      </c>
      <c r="U321" s="4">
        <v>1820.94</v>
      </c>
      <c r="V321" s="4">
        <v>2900</v>
      </c>
    </row>
    <row r="322" spans="1:22" x14ac:dyDescent="0.35">
      <c r="A322" s="3">
        <v>61</v>
      </c>
      <c r="B322" s="2">
        <v>46135</v>
      </c>
      <c r="C322" s="4"/>
      <c r="D322" s="18"/>
      <c r="E322" s="4">
        <f t="shared" si="111"/>
        <v>7534</v>
      </c>
      <c r="F322" s="4">
        <v>1</v>
      </c>
      <c r="G322" s="14">
        <f t="shared" si="103"/>
        <v>1.3273161667109106E-4</v>
      </c>
      <c r="H322" s="4"/>
      <c r="I322" s="4">
        <f t="shared" si="104"/>
        <v>7533</v>
      </c>
      <c r="J322" s="4">
        <v>225</v>
      </c>
      <c r="K322" s="4">
        <f t="shared" si="105"/>
        <v>6750</v>
      </c>
      <c r="L322" s="4">
        <v>0</v>
      </c>
      <c r="M322" s="4">
        <v>0</v>
      </c>
      <c r="N322" s="4">
        <f t="shared" si="106"/>
        <v>6750</v>
      </c>
      <c r="O322" s="14">
        <f t="shared" si="107"/>
        <v>0.89593841252986461</v>
      </c>
      <c r="P322" s="4">
        <v>20</v>
      </c>
      <c r="Q322" s="4">
        <f t="shared" si="108"/>
        <v>1000</v>
      </c>
      <c r="R322" s="4">
        <f t="shared" si="113"/>
        <v>1000000</v>
      </c>
      <c r="S322" s="4">
        <v>2876.08</v>
      </c>
      <c r="T322" s="4">
        <f t="shared" si="112"/>
        <v>57521.599999999999</v>
      </c>
      <c r="U322" s="4">
        <v>1820.94</v>
      </c>
      <c r="V322" s="4">
        <v>2800</v>
      </c>
    </row>
    <row r="323" spans="1:22" x14ac:dyDescent="0.35">
      <c r="A323" s="3">
        <v>61</v>
      </c>
      <c r="B323" s="2">
        <v>46136</v>
      </c>
      <c r="C323" s="4"/>
      <c r="D323" s="18"/>
      <c r="E323" s="4">
        <f t="shared" si="111"/>
        <v>7533</v>
      </c>
      <c r="F323" s="4">
        <v>0</v>
      </c>
      <c r="G323" s="14">
        <f t="shared" si="103"/>
        <v>0</v>
      </c>
      <c r="H323" s="4"/>
      <c r="I323" s="4">
        <f t="shared" si="104"/>
        <v>7533</v>
      </c>
      <c r="J323" s="4">
        <v>224</v>
      </c>
      <c r="K323" s="4">
        <f t="shared" si="105"/>
        <v>6720</v>
      </c>
      <c r="L323" s="4">
        <v>0</v>
      </c>
      <c r="M323" s="4">
        <v>0</v>
      </c>
      <c r="N323" s="4">
        <f t="shared" si="106"/>
        <v>6720</v>
      </c>
      <c r="O323" s="14">
        <f t="shared" si="107"/>
        <v>0.89207487056949419</v>
      </c>
      <c r="P323" s="4">
        <v>20</v>
      </c>
      <c r="Q323" s="4">
        <f t="shared" si="108"/>
        <v>1000</v>
      </c>
      <c r="R323" s="4">
        <f t="shared" si="113"/>
        <v>1000000</v>
      </c>
      <c r="S323" s="4">
        <v>2876.08</v>
      </c>
      <c r="T323" s="4">
        <f t="shared" si="112"/>
        <v>57521.599999999999</v>
      </c>
      <c r="U323" s="4">
        <v>1820.94</v>
      </c>
      <c r="V323" s="4">
        <v>1700</v>
      </c>
    </row>
    <row r="324" spans="1:22" x14ac:dyDescent="0.35">
      <c r="A324" s="3">
        <v>61</v>
      </c>
      <c r="B324" s="2">
        <v>46137</v>
      </c>
      <c r="C324" s="4"/>
      <c r="D324" s="18"/>
      <c r="E324" s="4">
        <f t="shared" si="111"/>
        <v>7533</v>
      </c>
      <c r="F324" s="4">
        <v>1</v>
      </c>
      <c r="G324" s="14">
        <f t="shared" si="103"/>
        <v>1.3274923669188903E-4</v>
      </c>
      <c r="H324" s="4"/>
      <c r="I324" s="4">
        <f t="shared" si="104"/>
        <v>7532</v>
      </c>
      <c r="J324" s="4">
        <v>225</v>
      </c>
      <c r="K324" s="4">
        <f t="shared" si="105"/>
        <v>6750</v>
      </c>
      <c r="L324" s="4">
        <v>0</v>
      </c>
      <c r="M324" s="4">
        <v>0</v>
      </c>
      <c r="N324" s="4">
        <f t="shared" si="106"/>
        <v>6750</v>
      </c>
      <c r="O324" s="14">
        <f t="shared" si="107"/>
        <v>0.89605734767025091</v>
      </c>
      <c r="P324" s="4">
        <v>20</v>
      </c>
      <c r="Q324" s="4">
        <f t="shared" si="108"/>
        <v>1000</v>
      </c>
      <c r="R324" s="4">
        <f t="shared" si="113"/>
        <v>1000000</v>
      </c>
      <c r="S324" s="4">
        <v>2876.08</v>
      </c>
      <c r="T324" s="4">
        <f t="shared" si="112"/>
        <v>57521.599999999999</v>
      </c>
      <c r="U324" s="4">
        <v>1820.94</v>
      </c>
      <c r="V324" s="4">
        <v>3500</v>
      </c>
    </row>
    <row r="325" spans="1:22" x14ac:dyDescent="0.35">
      <c r="A325" s="3">
        <v>61</v>
      </c>
      <c r="B325" s="2">
        <v>46138</v>
      </c>
      <c r="C325" s="4"/>
      <c r="D325" s="18"/>
      <c r="E325" s="4">
        <f t="shared" si="111"/>
        <v>7532</v>
      </c>
      <c r="F325" s="4">
        <v>1</v>
      </c>
      <c r="G325" s="14">
        <f t="shared" si="103"/>
        <v>1.327668613913967E-4</v>
      </c>
      <c r="H325" s="4"/>
      <c r="I325" s="4">
        <f t="shared" si="104"/>
        <v>7531</v>
      </c>
      <c r="J325" s="4">
        <v>222</v>
      </c>
      <c r="K325" s="4">
        <f t="shared" si="105"/>
        <v>6660</v>
      </c>
      <c r="L325" s="4">
        <v>0</v>
      </c>
      <c r="M325" s="4">
        <v>0</v>
      </c>
      <c r="N325" s="4">
        <f t="shared" si="106"/>
        <v>6660</v>
      </c>
      <c r="O325" s="14">
        <f t="shared" si="107"/>
        <v>0.88422729686670209</v>
      </c>
      <c r="P325" s="4">
        <v>20</v>
      </c>
      <c r="Q325" s="4">
        <f t="shared" si="108"/>
        <v>1000</v>
      </c>
      <c r="R325" s="4">
        <f t="shared" si="113"/>
        <v>1000000</v>
      </c>
      <c r="S325" s="4">
        <v>2876.08</v>
      </c>
      <c r="T325" s="4">
        <f t="shared" si="112"/>
        <v>57521.599999999999</v>
      </c>
      <c r="U325" s="4">
        <v>1820.94</v>
      </c>
      <c r="V325" s="4">
        <v>2800</v>
      </c>
    </row>
    <row r="326" spans="1:22" x14ac:dyDescent="0.35">
      <c r="A326" s="3">
        <v>61</v>
      </c>
      <c r="B326" s="2">
        <v>46139</v>
      </c>
      <c r="C326" s="4"/>
      <c r="D326" s="18"/>
      <c r="E326" s="4">
        <f t="shared" si="111"/>
        <v>7531</v>
      </c>
      <c r="F326" s="4">
        <v>2</v>
      </c>
      <c r="G326" s="14">
        <f t="shared" si="103"/>
        <v>2.6556898154295579E-4</v>
      </c>
      <c r="H326" s="4"/>
      <c r="I326" s="4">
        <f t="shared" si="104"/>
        <v>7529</v>
      </c>
      <c r="J326" s="4">
        <v>224</v>
      </c>
      <c r="K326" s="4">
        <f t="shared" si="105"/>
        <v>6720</v>
      </c>
      <c r="L326" s="4">
        <v>1</v>
      </c>
      <c r="M326" s="4">
        <v>0</v>
      </c>
      <c r="N326" s="4">
        <f t="shared" si="106"/>
        <v>6721</v>
      </c>
      <c r="O326" s="14">
        <f t="shared" si="107"/>
        <v>0.89244456247510295</v>
      </c>
      <c r="P326" s="4">
        <v>20</v>
      </c>
      <c r="Q326" s="4">
        <f t="shared" si="108"/>
        <v>1000</v>
      </c>
      <c r="R326" s="4">
        <f t="shared" si="113"/>
        <v>1000000</v>
      </c>
      <c r="S326" s="4">
        <v>2876.08</v>
      </c>
      <c r="T326" s="4">
        <f t="shared" si="112"/>
        <v>57521.599999999999</v>
      </c>
      <c r="U326" s="4">
        <v>1820.94</v>
      </c>
      <c r="V326" s="4">
        <v>2700</v>
      </c>
    </row>
    <row r="327" spans="1:22" x14ac:dyDescent="0.35">
      <c r="A327" s="3">
        <v>62</v>
      </c>
      <c r="B327" s="2">
        <v>46140</v>
      </c>
      <c r="C327" s="4"/>
      <c r="D327" s="18"/>
      <c r="E327" s="4">
        <f t="shared" si="111"/>
        <v>7529</v>
      </c>
      <c r="F327" s="4">
        <v>2</v>
      </c>
      <c r="G327" s="14">
        <f t="shared" si="103"/>
        <v>2.6563952716164167E-4</v>
      </c>
      <c r="H327" s="4"/>
      <c r="I327" s="4">
        <f t="shared" si="104"/>
        <v>7527</v>
      </c>
      <c r="J327" s="4">
        <v>224</v>
      </c>
      <c r="K327" s="4">
        <f t="shared" si="105"/>
        <v>6720</v>
      </c>
      <c r="L327" s="4">
        <v>0</v>
      </c>
      <c r="M327" s="4">
        <v>0</v>
      </c>
      <c r="N327" s="4">
        <f t="shared" si="106"/>
        <v>6720</v>
      </c>
      <c r="O327" s="14">
        <f t="shared" si="107"/>
        <v>0.89254881126311592</v>
      </c>
      <c r="P327" s="4">
        <v>20</v>
      </c>
      <c r="Q327" s="4">
        <f t="shared" si="108"/>
        <v>1000</v>
      </c>
      <c r="R327" s="4">
        <f t="shared" si="113"/>
        <v>1000000</v>
      </c>
      <c r="S327" s="4">
        <v>2876.08</v>
      </c>
      <c r="T327" s="4">
        <f t="shared" si="112"/>
        <v>57521.599999999999</v>
      </c>
      <c r="U327" s="4">
        <v>1820.94</v>
      </c>
      <c r="V327" s="4">
        <v>2800</v>
      </c>
    </row>
    <row r="328" spans="1:22" x14ac:dyDescent="0.35">
      <c r="A328" s="3">
        <v>62</v>
      </c>
      <c r="B328" s="2">
        <v>46141</v>
      </c>
      <c r="C328" s="4"/>
      <c r="D328" s="18"/>
      <c r="E328" s="4">
        <f t="shared" si="111"/>
        <v>7527</v>
      </c>
      <c r="F328" s="4">
        <v>1</v>
      </c>
      <c r="G328" s="14">
        <f t="shared" si="103"/>
        <v>1.3285505513484789E-4</v>
      </c>
      <c r="H328" s="4"/>
      <c r="I328" s="4">
        <f t="shared" si="104"/>
        <v>7526</v>
      </c>
      <c r="J328" s="4">
        <v>224</v>
      </c>
      <c r="K328" s="4">
        <f t="shared" si="105"/>
        <v>6720</v>
      </c>
      <c r="L328" s="4">
        <v>0</v>
      </c>
      <c r="M328" s="4">
        <v>0</v>
      </c>
      <c r="N328" s="4">
        <f t="shared" si="106"/>
        <v>6720</v>
      </c>
      <c r="O328" s="14">
        <f t="shared" si="107"/>
        <v>0.89278597050617781</v>
      </c>
      <c r="P328" s="4">
        <v>20</v>
      </c>
      <c r="Q328" s="4">
        <f t="shared" si="108"/>
        <v>1000</v>
      </c>
      <c r="R328" s="4">
        <f t="shared" si="113"/>
        <v>1000000</v>
      </c>
      <c r="S328" s="4">
        <v>2876.08</v>
      </c>
      <c r="T328" s="4">
        <f t="shared" si="112"/>
        <v>57521.599999999999</v>
      </c>
      <c r="U328" s="4">
        <v>1820.94</v>
      </c>
      <c r="V328" s="4">
        <v>2800</v>
      </c>
    </row>
    <row r="329" spans="1:22" x14ac:dyDescent="0.35">
      <c r="A329" s="3">
        <v>62</v>
      </c>
      <c r="B329" s="2">
        <v>46142</v>
      </c>
      <c r="C329" s="4"/>
      <c r="D329" s="18"/>
      <c r="E329" s="4">
        <f t="shared" si="111"/>
        <v>7526</v>
      </c>
      <c r="F329" s="4">
        <v>0</v>
      </c>
      <c r="G329" s="14">
        <f t="shared" si="103"/>
        <v>0</v>
      </c>
      <c r="H329" s="4"/>
      <c r="I329" s="4">
        <f t="shared" si="104"/>
        <v>7526</v>
      </c>
      <c r="J329" s="4">
        <v>224</v>
      </c>
      <c r="K329" s="4">
        <f t="shared" si="105"/>
        <v>6720</v>
      </c>
      <c r="L329" s="4">
        <v>0</v>
      </c>
      <c r="M329" s="4">
        <v>0</v>
      </c>
      <c r="N329" s="4">
        <f t="shared" si="106"/>
        <v>6720</v>
      </c>
      <c r="O329" s="14">
        <f t="shared" si="107"/>
        <v>0.89290459739569494</v>
      </c>
      <c r="P329" s="4">
        <v>20</v>
      </c>
      <c r="Q329" s="4">
        <f t="shared" si="108"/>
        <v>1000</v>
      </c>
      <c r="R329" s="4">
        <f t="shared" si="113"/>
        <v>1000000</v>
      </c>
      <c r="S329" s="4">
        <v>2876.08</v>
      </c>
      <c r="T329" s="4">
        <f t="shared" si="112"/>
        <v>57521.599999999999</v>
      </c>
      <c r="U329" s="4">
        <v>1820.94</v>
      </c>
      <c r="V329" s="4">
        <v>2700</v>
      </c>
    </row>
    <row r="330" spans="1:22" x14ac:dyDescent="0.35">
      <c r="A330" s="3"/>
      <c r="B330" s="2"/>
      <c r="C330" s="4"/>
      <c r="D330" s="18"/>
      <c r="E330" s="4"/>
      <c r="F330" s="4">
        <f>SUM(F300:F329)</f>
        <v>36</v>
      </c>
      <c r="G330" s="14"/>
      <c r="H330" s="4"/>
      <c r="I330" s="4"/>
      <c r="J330" s="4"/>
      <c r="K330" s="4"/>
      <c r="L330" s="4"/>
      <c r="M330" s="4"/>
      <c r="N330" s="4"/>
      <c r="O330" s="14"/>
      <c r="P330" s="4"/>
      <c r="Q330" s="4"/>
      <c r="R330" s="4"/>
      <c r="S330" s="22"/>
      <c r="T330" s="4"/>
    </row>
    <row r="331" spans="1:22" x14ac:dyDescent="0.35">
      <c r="A331" s="3"/>
      <c r="B331" s="2"/>
      <c r="C331" s="4"/>
      <c r="D331" s="18"/>
      <c r="E331" s="4"/>
      <c r="F331" s="4"/>
      <c r="G331" s="14"/>
      <c r="H331" s="4"/>
      <c r="I331" s="4"/>
      <c r="J331" s="4"/>
      <c r="K331" s="4"/>
      <c r="L331" s="4"/>
      <c r="M331" s="4"/>
      <c r="N331" s="4"/>
      <c r="O331" s="14"/>
      <c r="P331" s="4"/>
      <c r="Q331" s="4"/>
      <c r="R331" s="4"/>
      <c r="S331" s="22"/>
      <c r="T331" s="4"/>
    </row>
    <row r="332" spans="1:22" x14ac:dyDescent="0.35">
      <c r="A332" s="1" t="s">
        <v>20</v>
      </c>
      <c r="B332" s="37" t="s">
        <v>1</v>
      </c>
      <c r="C332" s="38" t="s">
        <v>19</v>
      </c>
      <c r="D332" s="38" t="s">
        <v>18</v>
      </c>
      <c r="E332" s="39" t="s">
        <v>2</v>
      </c>
      <c r="F332" s="40" t="s">
        <v>3</v>
      </c>
      <c r="G332" s="41" t="s">
        <v>4</v>
      </c>
      <c r="H332" s="40" t="s">
        <v>5</v>
      </c>
      <c r="I332" s="42" t="s">
        <v>6</v>
      </c>
      <c r="J332" s="43" t="s">
        <v>7</v>
      </c>
      <c r="K332" s="40" t="s">
        <v>8</v>
      </c>
      <c r="L332" s="40" t="s">
        <v>9</v>
      </c>
      <c r="M332" s="40" t="s">
        <v>10</v>
      </c>
      <c r="N332" s="40" t="s">
        <v>11</v>
      </c>
      <c r="O332" s="44" t="s">
        <v>12</v>
      </c>
      <c r="P332" s="43" t="s">
        <v>13</v>
      </c>
      <c r="Q332" s="40" t="s">
        <v>14</v>
      </c>
      <c r="R332" s="45" t="s">
        <v>15</v>
      </c>
      <c r="S332" s="46" t="s">
        <v>16</v>
      </c>
      <c r="T332" s="47" t="s">
        <v>17</v>
      </c>
      <c r="U332" s="48" t="s">
        <v>22</v>
      </c>
      <c r="V332" s="48" t="s">
        <v>24</v>
      </c>
    </row>
    <row r="333" spans="1:22" x14ac:dyDescent="0.35">
      <c r="A333" s="3">
        <v>62</v>
      </c>
      <c r="B333" s="2">
        <v>46143</v>
      </c>
      <c r="C333" s="18"/>
      <c r="D333" s="18"/>
      <c r="E333" s="4">
        <v>7534</v>
      </c>
      <c r="F333" s="4">
        <v>2</v>
      </c>
      <c r="G333" s="14">
        <f t="shared" ref="G333:G363" si="114">F333/E333</f>
        <v>2.6546323334218213E-4</v>
      </c>
      <c r="H333" s="4"/>
      <c r="I333" s="4">
        <f t="shared" ref="I333:I363" si="115">E333-F333-H333</f>
        <v>7532</v>
      </c>
      <c r="J333" s="4">
        <v>223</v>
      </c>
      <c r="K333" s="4">
        <f t="shared" ref="K333:K363" si="116">J333*30</f>
        <v>6690</v>
      </c>
      <c r="L333" s="4">
        <v>0</v>
      </c>
      <c r="M333" s="4">
        <v>0</v>
      </c>
      <c r="N333" s="4">
        <f t="shared" ref="N333:N356" si="117">K333+L333-M333</f>
        <v>6690</v>
      </c>
      <c r="O333" s="14">
        <f t="shared" ref="O333:O363" si="118">N333/E333</f>
        <v>0.88797451552959916</v>
      </c>
      <c r="P333" s="4">
        <v>20</v>
      </c>
      <c r="Q333" s="4">
        <f t="shared" ref="Q333:Q346" si="119">P333*50</f>
        <v>1000</v>
      </c>
      <c r="R333" s="4">
        <f t="shared" ref="R333:R363" si="120">Q333*1000</f>
        <v>1000000</v>
      </c>
      <c r="S333" s="4">
        <v>2895.58</v>
      </c>
      <c r="T333" s="4">
        <f t="shared" ref="T333:T363" si="121">P333*S333</f>
        <v>57911.6</v>
      </c>
      <c r="U333" s="4">
        <v>1820.94</v>
      </c>
      <c r="V333" s="4">
        <v>2800</v>
      </c>
    </row>
    <row r="334" spans="1:22" x14ac:dyDescent="0.35">
      <c r="A334" s="3">
        <v>62</v>
      </c>
      <c r="B334" s="2">
        <v>46144</v>
      </c>
      <c r="C334" s="4"/>
      <c r="D334" s="18"/>
      <c r="E334" s="4">
        <f>I333</f>
        <v>7532</v>
      </c>
      <c r="F334" s="4">
        <v>3</v>
      </c>
      <c r="G334" s="14">
        <f t="shared" si="114"/>
        <v>3.9830058417419012E-4</v>
      </c>
      <c r="H334" s="4"/>
      <c r="I334" s="4">
        <f t="shared" si="115"/>
        <v>7529</v>
      </c>
      <c r="J334" s="4">
        <v>223</v>
      </c>
      <c r="K334" s="4">
        <f t="shared" si="116"/>
        <v>6690</v>
      </c>
      <c r="L334" s="4">
        <v>0</v>
      </c>
      <c r="M334" s="4">
        <v>0</v>
      </c>
      <c r="N334" s="4">
        <f t="shared" si="117"/>
        <v>6690</v>
      </c>
      <c r="O334" s="14">
        <f t="shared" si="118"/>
        <v>0.88821030270844392</v>
      </c>
      <c r="P334" s="4">
        <v>20</v>
      </c>
      <c r="Q334" s="4">
        <f t="shared" si="119"/>
        <v>1000</v>
      </c>
      <c r="R334" s="4">
        <f t="shared" si="120"/>
        <v>1000000</v>
      </c>
      <c r="S334" s="4">
        <v>2895.58</v>
      </c>
      <c r="T334" s="4">
        <f t="shared" si="121"/>
        <v>57911.6</v>
      </c>
      <c r="U334" s="4">
        <v>1820.94</v>
      </c>
      <c r="V334" s="4">
        <v>2600</v>
      </c>
    </row>
    <row r="335" spans="1:22" x14ac:dyDescent="0.35">
      <c r="A335" s="3">
        <v>62</v>
      </c>
      <c r="B335" s="2">
        <v>46145</v>
      </c>
      <c r="C335" s="4"/>
      <c r="D335" s="18"/>
      <c r="E335" s="4">
        <f t="shared" ref="E335:E363" si="122">I334</f>
        <v>7529</v>
      </c>
      <c r="F335" s="4">
        <v>2</v>
      </c>
      <c r="G335" s="14">
        <f t="shared" si="114"/>
        <v>2.6563952716164167E-4</v>
      </c>
      <c r="H335" s="4"/>
      <c r="I335" s="4">
        <f t="shared" si="115"/>
        <v>7527</v>
      </c>
      <c r="J335" s="4">
        <v>223</v>
      </c>
      <c r="K335" s="4">
        <f t="shared" si="116"/>
        <v>6690</v>
      </c>
      <c r="L335" s="4">
        <v>0</v>
      </c>
      <c r="M335" s="4">
        <v>0</v>
      </c>
      <c r="N335" s="4">
        <f t="shared" si="117"/>
        <v>6690</v>
      </c>
      <c r="O335" s="14">
        <f t="shared" si="118"/>
        <v>0.88856421835569133</v>
      </c>
      <c r="P335" s="4">
        <v>20</v>
      </c>
      <c r="Q335" s="4">
        <f t="shared" si="119"/>
        <v>1000</v>
      </c>
      <c r="R335" s="4">
        <f t="shared" si="120"/>
        <v>1000000</v>
      </c>
      <c r="S335" s="4">
        <v>2895.58</v>
      </c>
      <c r="T335" s="4">
        <f t="shared" si="121"/>
        <v>57911.6</v>
      </c>
      <c r="U335" s="4">
        <v>1820.94</v>
      </c>
      <c r="V335" s="4">
        <v>2700</v>
      </c>
    </row>
    <row r="336" spans="1:22" x14ac:dyDescent="0.35">
      <c r="A336" s="3">
        <v>62</v>
      </c>
      <c r="B336" s="2">
        <v>46146</v>
      </c>
      <c r="C336" s="4"/>
      <c r="D336" s="18"/>
      <c r="E336" s="4">
        <f t="shared" si="122"/>
        <v>7527</v>
      </c>
      <c r="F336" s="4">
        <v>2</v>
      </c>
      <c r="G336" s="14">
        <f t="shared" si="114"/>
        <v>2.6571011026969577E-4</v>
      </c>
      <c r="H336" s="4"/>
      <c r="I336" s="4">
        <f t="shared" si="115"/>
        <v>7525</v>
      </c>
      <c r="J336" s="4">
        <v>224</v>
      </c>
      <c r="K336" s="4">
        <f t="shared" si="116"/>
        <v>6720</v>
      </c>
      <c r="L336" s="4">
        <v>0</v>
      </c>
      <c r="M336" s="4">
        <v>0</v>
      </c>
      <c r="N336" s="4">
        <f t="shared" si="117"/>
        <v>6720</v>
      </c>
      <c r="O336" s="14">
        <f t="shared" si="118"/>
        <v>0.89278597050617781</v>
      </c>
      <c r="P336" s="4">
        <v>20</v>
      </c>
      <c r="Q336" s="4">
        <f t="shared" si="119"/>
        <v>1000</v>
      </c>
      <c r="R336" s="4">
        <f t="shared" si="120"/>
        <v>1000000</v>
      </c>
      <c r="S336" s="4">
        <v>2895.58</v>
      </c>
      <c r="T336" s="4">
        <f t="shared" si="121"/>
        <v>57911.6</v>
      </c>
      <c r="U336" s="4">
        <v>1820.94</v>
      </c>
      <c r="V336" s="4">
        <v>2900</v>
      </c>
    </row>
    <row r="337" spans="1:22" x14ac:dyDescent="0.35">
      <c r="A337" s="3">
        <v>63</v>
      </c>
      <c r="B337" s="2">
        <v>46147</v>
      </c>
      <c r="C337" s="19"/>
      <c r="D337" s="19"/>
      <c r="E337" s="4">
        <f t="shared" si="122"/>
        <v>7525</v>
      </c>
      <c r="F337" s="4">
        <v>1</v>
      </c>
      <c r="G337" s="14">
        <f t="shared" si="114"/>
        <v>1.3289036544850499E-4</v>
      </c>
      <c r="H337" s="7"/>
      <c r="I337" s="4">
        <f t="shared" si="115"/>
        <v>7524</v>
      </c>
      <c r="J337" s="4">
        <v>225</v>
      </c>
      <c r="K337" s="4">
        <f t="shared" si="116"/>
        <v>6750</v>
      </c>
      <c r="L337" s="4">
        <v>0</v>
      </c>
      <c r="M337" s="4">
        <v>0</v>
      </c>
      <c r="N337" s="4">
        <f t="shared" si="117"/>
        <v>6750</v>
      </c>
      <c r="O337" s="14">
        <f t="shared" si="118"/>
        <v>0.89700996677740863</v>
      </c>
      <c r="P337" s="4">
        <v>20</v>
      </c>
      <c r="Q337" s="4">
        <f t="shared" si="119"/>
        <v>1000</v>
      </c>
      <c r="R337" s="4">
        <f t="shared" si="120"/>
        <v>1000000</v>
      </c>
      <c r="S337" s="4">
        <v>2895.58</v>
      </c>
      <c r="T337" s="4">
        <f t="shared" si="121"/>
        <v>57911.6</v>
      </c>
      <c r="U337" s="4">
        <v>1820.94</v>
      </c>
      <c r="V337" s="4">
        <v>2400</v>
      </c>
    </row>
    <row r="338" spans="1:22" x14ac:dyDescent="0.35">
      <c r="A338" s="3">
        <v>63</v>
      </c>
      <c r="B338" s="2">
        <v>46148</v>
      </c>
      <c r="C338" s="4"/>
      <c r="D338" s="18"/>
      <c r="E338" s="4">
        <f t="shared" si="122"/>
        <v>7524</v>
      </c>
      <c r="F338" s="4">
        <v>0</v>
      </c>
      <c r="G338" s="14">
        <f t="shared" si="114"/>
        <v>0</v>
      </c>
      <c r="H338" s="4"/>
      <c r="I338" s="4">
        <f t="shared" si="115"/>
        <v>7524</v>
      </c>
      <c r="J338" s="4">
        <v>225</v>
      </c>
      <c r="K338" s="4">
        <f t="shared" si="116"/>
        <v>6750</v>
      </c>
      <c r="L338" s="4">
        <v>0</v>
      </c>
      <c r="M338" s="4">
        <v>0</v>
      </c>
      <c r="N338" s="4">
        <f t="shared" si="117"/>
        <v>6750</v>
      </c>
      <c r="O338" s="14">
        <f t="shared" si="118"/>
        <v>0.89712918660287078</v>
      </c>
      <c r="P338" s="4">
        <v>20</v>
      </c>
      <c r="Q338" s="4">
        <f t="shared" si="119"/>
        <v>1000</v>
      </c>
      <c r="R338" s="4">
        <f t="shared" si="120"/>
        <v>1000000</v>
      </c>
      <c r="S338" s="4">
        <v>2895.58</v>
      </c>
      <c r="T338" s="4">
        <f t="shared" si="121"/>
        <v>57911.6</v>
      </c>
      <c r="U338" s="4">
        <v>1820.94</v>
      </c>
      <c r="V338" s="4">
        <v>2000</v>
      </c>
    </row>
    <row r="339" spans="1:22" x14ac:dyDescent="0.35">
      <c r="A339" s="3">
        <v>63</v>
      </c>
      <c r="B339" s="2">
        <v>46149</v>
      </c>
      <c r="C339" s="4"/>
      <c r="D339" s="18"/>
      <c r="E339" s="4">
        <f t="shared" si="122"/>
        <v>7524</v>
      </c>
      <c r="F339" s="4">
        <v>2</v>
      </c>
      <c r="G339" s="14">
        <f t="shared" si="114"/>
        <v>2.6581605528973952E-4</v>
      </c>
      <c r="H339" s="4"/>
      <c r="I339" s="4">
        <f t="shared" si="115"/>
        <v>7522</v>
      </c>
      <c r="J339" s="4">
        <v>225</v>
      </c>
      <c r="K339" s="4">
        <f t="shared" si="116"/>
        <v>6750</v>
      </c>
      <c r="L339" s="4">
        <v>0</v>
      </c>
      <c r="M339" s="4">
        <v>0</v>
      </c>
      <c r="N339" s="4">
        <f t="shared" si="117"/>
        <v>6750</v>
      </c>
      <c r="O339" s="14">
        <f t="shared" si="118"/>
        <v>0.89712918660287078</v>
      </c>
      <c r="P339" s="4">
        <v>20</v>
      </c>
      <c r="Q339" s="4">
        <f t="shared" si="119"/>
        <v>1000</v>
      </c>
      <c r="R339" s="4">
        <f t="shared" si="120"/>
        <v>1000000</v>
      </c>
      <c r="S339" s="4">
        <v>2895.58</v>
      </c>
      <c r="T339" s="4">
        <f t="shared" si="121"/>
        <v>57911.6</v>
      </c>
      <c r="U339" s="4">
        <v>1820.94</v>
      </c>
      <c r="V339" s="4">
        <v>1500</v>
      </c>
    </row>
    <row r="340" spans="1:22" x14ac:dyDescent="0.35">
      <c r="A340" s="3">
        <v>63</v>
      </c>
      <c r="B340" s="2">
        <v>46150</v>
      </c>
      <c r="C340" s="4"/>
      <c r="D340" s="18"/>
      <c r="E340" s="4">
        <f t="shared" si="122"/>
        <v>7522</v>
      </c>
      <c r="F340" s="4">
        <v>2</v>
      </c>
      <c r="G340" s="14">
        <f t="shared" si="114"/>
        <v>2.6588673225206064E-4</v>
      </c>
      <c r="H340" s="4"/>
      <c r="I340" s="4">
        <f t="shared" si="115"/>
        <v>7520</v>
      </c>
      <c r="J340" s="4">
        <v>218</v>
      </c>
      <c r="K340" s="4">
        <f t="shared" si="116"/>
        <v>6540</v>
      </c>
      <c r="L340" s="4">
        <v>0</v>
      </c>
      <c r="M340" s="4">
        <v>0</v>
      </c>
      <c r="N340" s="4">
        <f t="shared" si="117"/>
        <v>6540</v>
      </c>
      <c r="O340" s="14">
        <f t="shared" si="118"/>
        <v>0.86944961446423819</v>
      </c>
      <c r="P340" s="4">
        <v>20</v>
      </c>
      <c r="Q340" s="4">
        <f t="shared" si="119"/>
        <v>1000</v>
      </c>
      <c r="R340" s="4">
        <f t="shared" si="120"/>
        <v>1000000</v>
      </c>
      <c r="S340" s="4">
        <v>2895.58</v>
      </c>
      <c r="T340" s="4">
        <f t="shared" si="121"/>
        <v>57911.6</v>
      </c>
      <c r="U340" s="4">
        <v>1820.94</v>
      </c>
      <c r="V340" s="4">
        <v>3300</v>
      </c>
    </row>
    <row r="341" spans="1:22" x14ac:dyDescent="0.35">
      <c r="A341" s="3">
        <v>63</v>
      </c>
      <c r="B341" s="2">
        <v>46151</v>
      </c>
      <c r="C341" s="4"/>
      <c r="D341" s="18"/>
      <c r="E341" s="4">
        <f t="shared" si="122"/>
        <v>7520</v>
      </c>
      <c r="F341" s="4">
        <v>0</v>
      </c>
      <c r="G341" s="14">
        <f t="shared" si="114"/>
        <v>0</v>
      </c>
      <c r="H341" s="4"/>
      <c r="I341" s="4">
        <f t="shared" si="115"/>
        <v>7520</v>
      </c>
      <c r="J341" s="4">
        <v>208</v>
      </c>
      <c r="K341" s="4">
        <f t="shared" si="116"/>
        <v>6240</v>
      </c>
      <c r="L341" s="4">
        <v>0</v>
      </c>
      <c r="M341" s="4">
        <v>0</v>
      </c>
      <c r="N341" s="4">
        <f>K341+L341-M341</f>
        <v>6240</v>
      </c>
      <c r="O341" s="14">
        <f t="shared" si="118"/>
        <v>0.82978723404255317</v>
      </c>
      <c r="P341" s="4">
        <v>20</v>
      </c>
      <c r="Q341" s="4">
        <f t="shared" si="119"/>
        <v>1000</v>
      </c>
      <c r="R341" s="4">
        <f t="shared" si="120"/>
        <v>1000000</v>
      </c>
      <c r="S341" s="4">
        <v>2895.58</v>
      </c>
      <c r="T341" s="4">
        <f t="shared" si="121"/>
        <v>57911.6</v>
      </c>
      <c r="U341" s="4">
        <v>1820.94</v>
      </c>
      <c r="V341" s="4">
        <v>3000</v>
      </c>
    </row>
    <row r="342" spans="1:22" x14ac:dyDescent="0.35">
      <c r="A342" s="3">
        <v>63</v>
      </c>
      <c r="B342" s="2">
        <v>46152</v>
      </c>
      <c r="C342" s="4"/>
      <c r="D342" s="18"/>
      <c r="E342" s="4">
        <f t="shared" si="122"/>
        <v>7520</v>
      </c>
      <c r="F342" s="4">
        <v>2</v>
      </c>
      <c r="G342" s="14">
        <f t="shared" si="114"/>
        <v>2.6595744680851064E-4</v>
      </c>
      <c r="H342" s="4"/>
      <c r="I342" s="4">
        <f t="shared" si="115"/>
        <v>7518</v>
      </c>
      <c r="J342" s="4">
        <v>224</v>
      </c>
      <c r="K342" s="4">
        <f t="shared" si="116"/>
        <v>6720</v>
      </c>
      <c r="L342" s="4">
        <v>0</v>
      </c>
      <c r="M342" s="4">
        <v>0</v>
      </c>
      <c r="N342" s="4">
        <f t="shared" si="117"/>
        <v>6720</v>
      </c>
      <c r="O342" s="14">
        <f t="shared" si="118"/>
        <v>0.8936170212765957</v>
      </c>
      <c r="P342" s="4">
        <v>20</v>
      </c>
      <c r="Q342" s="4">
        <f t="shared" si="119"/>
        <v>1000</v>
      </c>
      <c r="R342" s="4">
        <f t="shared" si="120"/>
        <v>1000000</v>
      </c>
      <c r="S342" s="4">
        <v>2895.58</v>
      </c>
      <c r="T342" s="4">
        <f t="shared" si="121"/>
        <v>57911.6</v>
      </c>
      <c r="U342" s="4">
        <v>1820.94</v>
      </c>
      <c r="V342" s="4">
        <v>2900</v>
      </c>
    </row>
    <row r="343" spans="1:22" x14ac:dyDescent="0.35">
      <c r="A343" s="3">
        <v>63</v>
      </c>
      <c r="B343" s="2">
        <v>46153</v>
      </c>
      <c r="C343" s="4"/>
      <c r="D343" s="18"/>
      <c r="E343" s="4">
        <f t="shared" si="122"/>
        <v>7518</v>
      </c>
      <c r="F343" s="4">
        <v>3</v>
      </c>
      <c r="G343" s="14">
        <f t="shared" si="114"/>
        <v>3.9904229848363929E-4</v>
      </c>
      <c r="H343" s="4"/>
      <c r="I343" s="4">
        <f t="shared" si="115"/>
        <v>7515</v>
      </c>
      <c r="J343" s="4">
        <v>225</v>
      </c>
      <c r="K343" s="4">
        <f t="shared" si="116"/>
        <v>6750</v>
      </c>
      <c r="L343" s="4">
        <v>0</v>
      </c>
      <c r="M343" s="4">
        <v>0</v>
      </c>
      <c r="N343" s="4">
        <f t="shared" si="117"/>
        <v>6750</v>
      </c>
      <c r="O343" s="14">
        <f t="shared" si="118"/>
        <v>0.89784517158818833</v>
      </c>
      <c r="P343" s="4">
        <v>20</v>
      </c>
      <c r="Q343" s="4">
        <f t="shared" si="119"/>
        <v>1000</v>
      </c>
      <c r="R343" s="4">
        <f t="shared" si="120"/>
        <v>1000000</v>
      </c>
      <c r="S343" s="4">
        <v>2895.58</v>
      </c>
      <c r="T343" s="4">
        <f t="shared" si="121"/>
        <v>57911.6</v>
      </c>
      <c r="U343" s="4">
        <v>1820.94</v>
      </c>
      <c r="V343" s="4">
        <v>2900</v>
      </c>
    </row>
    <row r="344" spans="1:22" x14ac:dyDescent="0.35">
      <c r="A344" s="3">
        <v>64</v>
      </c>
      <c r="B344" s="2">
        <v>46154</v>
      </c>
      <c r="C344" s="4"/>
      <c r="D344" s="18"/>
      <c r="E344" s="4">
        <f t="shared" si="122"/>
        <v>7515</v>
      </c>
      <c r="F344" s="4">
        <v>2</v>
      </c>
      <c r="G344" s="14">
        <f t="shared" si="114"/>
        <v>2.661343978709248E-4</v>
      </c>
      <c r="H344" s="4"/>
      <c r="I344" s="4">
        <f t="shared" si="115"/>
        <v>7513</v>
      </c>
      <c r="J344" s="4">
        <v>225</v>
      </c>
      <c r="K344" s="4">
        <f t="shared" si="116"/>
        <v>6750</v>
      </c>
      <c r="L344" s="4">
        <v>0</v>
      </c>
      <c r="M344" s="4">
        <v>0</v>
      </c>
      <c r="N344" s="4">
        <f t="shared" si="117"/>
        <v>6750</v>
      </c>
      <c r="O344" s="14">
        <f t="shared" si="118"/>
        <v>0.89820359281437123</v>
      </c>
      <c r="P344" s="4">
        <v>20</v>
      </c>
      <c r="Q344" s="4">
        <f t="shared" si="119"/>
        <v>1000</v>
      </c>
      <c r="R344" s="4">
        <f t="shared" si="120"/>
        <v>1000000</v>
      </c>
      <c r="S344" s="4">
        <v>2898.76</v>
      </c>
      <c r="T344" s="4">
        <f t="shared" si="121"/>
        <v>57975.200000000004</v>
      </c>
      <c r="U344" s="4">
        <v>1820.94</v>
      </c>
      <c r="V344" s="4">
        <v>2900</v>
      </c>
    </row>
    <row r="345" spans="1:22" x14ac:dyDescent="0.35">
      <c r="A345" s="3">
        <v>64</v>
      </c>
      <c r="B345" s="2">
        <v>46155</v>
      </c>
      <c r="C345" s="4"/>
      <c r="D345" s="18"/>
      <c r="E345" s="4">
        <f t="shared" si="122"/>
        <v>7513</v>
      </c>
      <c r="F345" s="4">
        <v>1</v>
      </c>
      <c r="G345" s="14">
        <f t="shared" si="114"/>
        <v>1.331026221216558E-4</v>
      </c>
      <c r="H345" s="4"/>
      <c r="I345" s="4">
        <f t="shared" si="115"/>
        <v>7512</v>
      </c>
      <c r="J345" s="4">
        <v>223</v>
      </c>
      <c r="K345" s="4">
        <f t="shared" si="116"/>
        <v>6690</v>
      </c>
      <c r="L345" s="4">
        <v>0</v>
      </c>
      <c r="M345" s="4">
        <v>0</v>
      </c>
      <c r="N345" s="4">
        <f t="shared" si="117"/>
        <v>6690</v>
      </c>
      <c r="O345" s="14">
        <f t="shared" si="118"/>
        <v>0.89045654199387725</v>
      </c>
      <c r="P345" s="4">
        <v>20</v>
      </c>
      <c r="Q345" s="4">
        <f t="shared" si="119"/>
        <v>1000</v>
      </c>
      <c r="R345" s="4">
        <f t="shared" si="120"/>
        <v>1000000</v>
      </c>
      <c r="S345" s="4">
        <v>2898.76</v>
      </c>
      <c r="T345" s="4">
        <f t="shared" si="121"/>
        <v>57975.200000000004</v>
      </c>
      <c r="U345" s="4">
        <v>1820.94</v>
      </c>
      <c r="V345" s="4">
        <v>2800</v>
      </c>
    </row>
    <row r="346" spans="1:22" x14ac:dyDescent="0.35">
      <c r="A346" s="3">
        <v>64</v>
      </c>
      <c r="B346" s="2">
        <v>46156</v>
      </c>
      <c r="C346" s="4"/>
      <c r="D346" s="18"/>
      <c r="E346" s="4">
        <f t="shared" si="122"/>
        <v>7512</v>
      </c>
      <c r="F346" s="4">
        <v>0</v>
      </c>
      <c r="G346" s="14">
        <f t="shared" si="114"/>
        <v>0</v>
      </c>
      <c r="H346" s="4"/>
      <c r="I346" s="4">
        <f t="shared" si="115"/>
        <v>7512</v>
      </c>
      <c r="J346" s="4">
        <v>219</v>
      </c>
      <c r="K346" s="4">
        <f t="shared" si="116"/>
        <v>6570</v>
      </c>
      <c r="L346" s="4">
        <v>0</v>
      </c>
      <c r="M346" s="4">
        <v>0</v>
      </c>
      <c r="N346" s="4">
        <f t="shared" si="117"/>
        <v>6570</v>
      </c>
      <c r="O346" s="14">
        <f t="shared" si="118"/>
        <v>0.87460063897763574</v>
      </c>
      <c r="P346" s="4">
        <v>20</v>
      </c>
      <c r="Q346" s="4">
        <f t="shared" si="119"/>
        <v>1000</v>
      </c>
      <c r="R346" s="4">
        <f t="shared" si="120"/>
        <v>1000000</v>
      </c>
      <c r="S346" s="4">
        <v>2898.76</v>
      </c>
      <c r="T346" s="4">
        <f t="shared" si="121"/>
        <v>57975.200000000004</v>
      </c>
      <c r="U346" s="4">
        <v>1820.94</v>
      </c>
      <c r="V346" s="4">
        <v>2900</v>
      </c>
    </row>
    <row r="347" spans="1:22" x14ac:dyDescent="0.35">
      <c r="A347" s="3">
        <v>64</v>
      </c>
      <c r="B347" s="2">
        <v>46157</v>
      </c>
      <c r="C347" s="4"/>
      <c r="D347" s="18"/>
      <c r="E347" s="4">
        <f t="shared" si="122"/>
        <v>7512</v>
      </c>
      <c r="F347" s="4">
        <v>1</v>
      </c>
      <c r="G347" s="14">
        <f t="shared" si="114"/>
        <v>1.3312034078807243E-4</v>
      </c>
      <c r="H347" s="4"/>
      <c r="I347" s="4">
        <f t="shared" si="115"/>
        <v>7511</v>
      </c>
      <c r="J347" s="4">
        <v>219</v>
      </c>
      <c r="K347" s="4">
        <f t="shared" si="116"/>
        <v>6570</v>
      </c>
      <c r="L347" s="4">
        <v>0</v>
      </c>
      <c r="M347" s="4">
        <v>0</v>
      </c>
      <c r="N347" s="4">
        <f t="shared" si="117"/>
        <v>6570</v>
      </c>
      <c r="O347" s="14">
        <f t="shared" si="118"/>
        <v>0.87460063897763574</v>
      </c>
      <c r="P347" s="4">
        <v>20</v>
      </c>
      <c r="Q347" s="4">
        <f t="shared" ref="Q347:Q363" si="123">P347*50</f>
        <v>1000</v>
      </c>
      <c r="R347" s="4">
        <f t="shared" si="120"/>
        <v>1000000</v>
      </c>
      <c r="S347" s="4">
        <v>2911.26</v>
      </c>
      <c r="T347" s="4">
        <f t="shared" si="121"/>
        <v>58225.200000000004</v>
      </c>
      <c r="U347" s="4">
        <v>1820.94</v>
      </c>
      <c r="V347" s="4">
        <v>3000</v>
      </c>
    </row>
    <row r="348" spans="1:22" x14ac:dyDescent="0.35">
      <c r="A348" s="3">
        <v>64</v>
      </c>
      <c r="B348" s="2">
        <v>46158</v>
      </c>
      <c r="C348" s="4"/>
      <c r="D348" s="18"/>
      <c r="E348" s="4">
        <f t="shared" si="122"/>
        <v>7511</v>
      </c>
      <c r="F348" s="4">
        <v>1</v>
      </c>
      <c r="G348" s="14">
        <f t="shared" si="114"/>
        <v>1.3313806417254693E-4</v>
      </c>
      <c r="H348" s="4"/>
      <c r="I348" s="4">
        <f t="shared" si="115"/>
        <v>7510</v>
      </c>
      <c r="J348" s="4">
        <v>221</v>
      </c>
      <c r="K348" s="4">
        <f t="shared" si="116"/>
        <v>6630</v>
      </c>
      <c r="L348" s="4">
        <v>0</v>
      </c>
      <c r="M348" s="4">
        <v>0</v>
      </c>
      <c r="N348" s="4">
        <f t="shared" si="117"/>
        <v>6630</v>
      </c>
      <c r="O348" s="14">
        <f t="shared" si="118"/>
        <v>0.88270536546398615</v>
      </c>
      <c r="P348" s="4">
        <v>20</v>
      </c>
      <c r="Q348" s="4">
        <f t="shared" si="123"/>
        <v>1000</v>
      </c>
      <c r="R348" s="4">
        <f t="shared" si="120"/>
        <v>1000000</v>
      </c>
      <c r="S348" s="4">
        <v>2911.26</v>
      </c>
      <c r="T348" s="4">
        <f t="shared" si="121"/>
        <v>58225.200000000004</v>
      </c>
      <c r="U348" s="4">
        <v>1820.94</v>
      </c>
      <c r="V348" s="4">
        <v>2800</v>
      </c>
    </row>
    <row r="349" spans="1:22" x14ac:dyDescent="0.35">
      <c r="A349" s="3">
        <v>64</v>
      </c>
      <c r="B349" s="2">
        <v>46159</v>
      </c>
      <c r="C349" s="4"/>
      <c r="D349" s="18"/>
      <c r="E349" s="4">
        <f t="shared" si="122"/>
        <v>7510</v>
      </c>
      <c r="F349" s="4">
        <v>0</v>
      </c>
      <c r="G349" s="14">
        <f t="shared" si="114"/>
        <v>0</v>
      </c>
      <c r="H349" s="4"/>
      <c r="I349" s="4">
        <f t="shared" si="115"/>
        <v>7510</v>
      </c>
      <c r="J349" s="4">
        <v>222</v>
      </c>
      <c r="K349" s="4">
        <f t="shared" si="116"/>
        <v>6660</v>
      </c>
      <c r="L349" s="4">
        <v>0</v>
      </c>
      <c r="M349" s="4">
        <v>0</v>
      </c>
      <c r="N349" s="4">
        <f t="shared" si="117"/>
        <v>6660</v>
      </c>
      <c r="O349" s="14">
        <f t="shared" si="118"/>
        <v>0.8868175765645806</v>
      </c>
      <c r="P349" s="4">
        <v>20</v>
      </c>
      <c r="Q349" s="4">
        <f t="shared" si="123"/>
        <v>1000</v>
      </c>
      <c r="R349" s="4">
        <f t="shared" si="120"/>
        <v>1000000</v>
      </c>
      <c r="S349" s="4">
        <v>2911.26</v>
      </c>
      <c r="T349" s="4">
        <f t="shared" si="121"/>
        <v>58225.200000000004</v>
      </c>
      <c r="U349" s="4">
        <v>1820.94</v>
      </c>
      <c r="V349" s="4">
        <v>2700</v>
      </c>
    </row>
    <row r="350" spans="1:22" x14ac:dyDescent="0.35">
      <c r="A350" s="3">
        <v>64</v>
      </c>
      <c r="B350" s="2">
        <v>46160</v>
      </c>
      <c r="C350" s="4"/>
      <c r="D350" s="18"/>
      <c r="E350" s="4">
        <f t="shared" si="122"/>
        <v>7510</v>
      </c>
      <c r="F350" s="4">
        <v>2</v>
      </c>
      <c r="G350" s="14">
        <f t="shared" si="114"/>
        <v>2.6631158455392808E-4</v>
      </c>
      <c r="H350" s="4"/>
      <c r="I350" s="4">
        <f t="shared" si="115"/>
        <v>7508</v>
      </c>
      <c r="J350" s="4">
        <v>223</v>
      </c>
      <c r="K350" s="4">
        <f t="shared" si="116"/>
        <v>6690</v>
      </c>
      <c r="L350" s="4">
        <v>0</v>
      </c>
      <c r="M350" s="4">
        <v>0</v>
      </c>
      <c r="N350" s="4">
        <f t="shared" si="117"/>
        <v>6690</v>
      </c>
      <c r="O350" s="14">
        <f t="shared" si="118"/>
        <v>0.89081225033288947</v>
      </c>
      <c r="P350" s="4">
        <v>20</v>
      </c>
      <c r="Q350" s="4">
        <f t="shared" si="123"/>
        <v>1000</v>
      </c>
      <c r="R350" s="4">
        <f t="shared" si="120"/>
        <v>1000000</v>
      </c>
      <c r="S350" s="4">
        <v>2911.26</v>
      </c>
      <c r="T350" s="4">
        <f t="shared" si="121"/>
        <v>58225.200000000004</v>
      </c>
      <c r="U350" s="4">
        <v>1820.94</v>
      </c>
      <c r="V350" s="4">
        <v>2800</v>
      </c>
    </row>
    <row r="351" spans="1:22" x14ac:dyDescent="0.35">
      <c r="A351" s="3">
        <v>65</v>
      </c>
      <c r="B351" s="2">
        <v>46161</v>
      </c>
      <c r="C351" s="4"/>
      <c r="D351" s="18"/>
      <c r="E351" s="4">
        <f t="shared" si="122"/>
        <v>7508</v>
      </c>
      <c r="F351" s="4">
        <v>2</v>
      </c>
      <c r="G351" s="14">
        <f t="shared" si="114"/>
        <v>2.6638252530633989E-4</v>
      </c>
      <c r="H351" s="4"/>
      <c r="I351" s="4">
        <f t="shared" si="115"/>
        <v>7506</v>
      </c>
      <c r="J351" s="4">
        <v>225</v>
      </c>
      <c r="K351" s="4">
        <f t="shared" si="116"/>
        <v>6750</v>
      </c>
      <c r="L351" s="4">
        <v>0</v>
      </c>
      <c r="M351" s="4">
        <v>0</v>
      </c>
      <c r="N351" s="4">
        <f t="shared" si="117"/>
        <v>6750</v>
      </c>
      <c r="O351" s="14">
        <f t="shared" si="118"/>
        <v>0.8990410229088972</v>
      </c>
      <c r="P351" s="4">
        <v>20</v>
      </c>
      <c r="Q351" s="4">
        <f t="shared" si="123"/>
        <v>1000</v>
      </c>
      <c r="R351" s="4">
        <f t="shared" si="120"/>
        <v>1000000</v>
      </c>
      <c r="S351" s="4">
        <v>2911.26</v>
      </c>
      <c r="T351" s="4">
        <f t="shared" si="121"/>
        <v>58225.200000000004</v>
      </c>
      <c r="U351" s="4">
        <v>1820.94</v>
      </c>
      <c r="V351" s="4">
        <v>2400</v>
      </c>
    </row>
    <row r="352" spans="1:22" x14ac:dyDescent="0.35">
      <c r="A352" s="3">
        <v>65</v>
      </c>
      <c r="B352" s="2">
        <v>46162</v>
      </c>
      <c r="C352" s="4"/>
      <c r="D352" s="18"/>
      <c r="E352" s="4">
        <f t="shared" si="122"/>
        <v>7506</v>
      </c>
      <c r="F352" s="4">
        <v>2</v>
      </c>
      <c r="G352" s="14">
        <f t="shared" si="114"/>
        <v>2.664535038635758E-4</v>
      </c>
      <c r="H352" s="4"/>
      <c r="I352" s="4">
        <f t="shared" si="115"/>
        <v>7504</v>
      </c>
      <c r="J352" s="4">
        <v>225</v>
      </c>
      <c r="K352" s="4">
        <f t="shared" si="116"/>
        <v>6750</v>
      </c>
      <c r="L352" s="4">
        <v>2</v>
      </c>
      <c r="M352" s="4">
        <v>0</v>
      </c>
      <c r="N352" s="4">
        <f t="shared" si="117"/>
        <v>6752</v>
      </c>
      <c r="O352" s="14">
        <f t="shared" si="118"/>
        <v>0.89954702904343187</v>
      </c>
      <c r="P352" s="4">
        <v>20</v>
      </c>
      <c r="Q352" s="4">
        <f t="shared" si="123"/>
        <v>1000</v>
      </c>
      <c r="R352" s="4">
        <f t="shared" si="120"/>
        <v>1000000</v>
      </c>
      <c r="S352" s="4">
        <v>2911.26</v>
      </c>
      <c r="T352" s="4">
        <f t="shared" si="121"/>
        <v>58225.200000000004</v>
      </c>
      <c r="U352" s="4">
        <v>1820.94</v>
      </c>
      <c r="V352" s="4">
        <v>2800</v>
      </c>
    </row>
    <row r="353" spans="1:22" x14ac:dyDescent="0.35">
      <c r="A353" s="3">
        <v>65</v>
      </c>
      <c r="B353" s="2">
        <v>46163</v>
      </c>
      <c r="C353" s="4"/>
      <c r="D353" s="18"/>
      <c r="E353" s="4">
        <f t="shared" si="122"/>
        <v>7504</v>
      </c>
      <c r="F353" s="4">
        <v>1</v>
      </c>
      <c r="G353" s="14">
        <f t="shared" si="114"/>
        <v>1.3326226012793177E-4</v>
      </c>
      <c r="H353" s="4"/>
      <c r="I353" s="4">
        <f t="shared" si="115"/>
        <v>7503</v>
      </c>
      <c r="J353" s="4">
        <v>225</v>
      </c>
      <c r="K353" s="4">
        <f t="shared" si="116"/>
        <v>6750</v>
      </c>
      <c r="L353" s="4">
        <v>0</v>
      </c>
      <c r="M353" s="4">
        <v>0</v>
      </c>
      <c r="N353" s="4">
        <f t="shared" si="117"/>
        <v>6750</v>
      </c>
      <c r="O353" s="14">
        <f t="shared" si="118"/>
        <v>0.89952025586353945</v>
      </c>
      <c r="P353" s="4">
        <v>20</v>
      </c>
      <c r="Q353" s="4">
        <f t="shared" si="123"/>
        <v>1000</v>
      </c>
      <c r="R353" s="4">
        <f t="shared" si="120"/>
        <v>1000000</v>
      </c>
      <c r="S353" s="4">
        <v>2911.26</v>
      </c>
      <c r="T353" s="4">
        <f t="shared" si="121"/>
        <v>58225.200000000004</v>
      </c>
      <c r="U353" s="4">
        <v>1820.94</v>
      </c>
      <c r="V353" s="4">
        <v>2700</v>
      </c>
    </row>
    <row r="354" spans="1:22" x14ac:dyDescent="0.35">
      <c r="A354" s="3">
        <v>65</v>
      </c>
      <c r="B354" s="2">
        <v>46164</v>
      </c>
      <c r="C354" s="4"/>
      <c r="D354" s="18"/>
      <c r="E354" s="4">
        <f t="shared" si="122"/>
        <v>7503</v>
      </c>
      <c r="F354" s="4">
        <v>2</v>
      </c>
      <c r="G354" s="14">
        <f t="shared" si="114"/>
        <v>2.6656004264960682E-4</v>
      </c>
      <c r="H354" s="4"/>
      <c r="I354" s="4">
        <f t="shared" si="115"/>
        <v>7501</v>
      </c>
      <c r="J354" s="4">
        <v>225</v>
      </c>
      <c r="K354" s="4">
        <f t="shared" si="116"/>
        <v>6750</v>
      </c>
      <c r="L354" s="4">
        <v>0</v>
      </c>
      <c r="M354" s="4">
        <v>0</v>
      </c>
      <c r="N354" s="4">
        <f t="shared" si="117"/>
        <v>6750</v>
      </c>
      <c r="O354" s="14">
        <f t="shared" si="118"/>
        <v>0.89964014394242298</v>
      </c>
      <c r="P354" s="4">
        <v>20</v>
      </c>
      <c r="Q354" s="4">
        <f t="shared" si="123"/>
        <v>1000</v>
      </c>
      <c r="R354" s="4">
        <f t="shared" si="120"/>
        <v>1000000</v>
      </c>
      <c r="S354" s="4">
        <v>2900.26</v>
      </c>
      <c r="T354" s="4">
        <f t="shared" si="121"/>
        <v>58005.200000000004</v>
      </c>
      <c r="U354" s="4">
        <v>1820.94</v>
      </c>
      <c r="V354" s="4">
        <v>3000</v>
      </c>
    </row>
    <row r="355" spans="1:22" x14ac:dyDescent="0.35">
      <c r="A355" s="3">
        <v>65</v>
      </c>
      <c r="B355" s="2">
        <v>46165</v>
      </c>
      <c r="C355" s="4"/>
      <c r="D355" s="18"/>
      <c r="E355" s="4">
        <f t="shared" si="122"/>
        <v>7501</v>
      </c>
      <c r="F355" s="4">
        <v>2</v>
      </c>
      <c r="G355" s="14">
        <f t="shared" si="114"/>
        <v>2.6663111585121981E-4</v>
      </c>
      <c r="H355" s="4"/>
      <c r="I355" s="4">
        <f t="shared" si="115"/>
        <v>7499</v>
      </c>
      <c r="J355" s="4">
        <v>223</v>
      </c>
      <c r="K355" s="4">
        <f t="shared" si="116"/>
        <v>6690</v>
      </c>
      <c r="L355" s="4">
        <v>0</v>
      </c>
      <c r="M355" s="4">
        <v>0</v>
      </c>
      <c r="N355" s="4">
        <f t="shared" si="117"/>
        <v>6690</v>
      </c>
      <c r="O355" s="14">
        <f t="shared" si="118"/>
        <v>0.89188108252233034</v>
      </c>
      <c r="P355" s="4">
        <v>20</v>
      </c>
      <c r="Q355" s="4">
        <f t="shared" si="123"/>
        <v>1000</v>
      </c>
      <c r="R355" s="4">
        <f t="shared" si="120"/>
        <v>1000000</v>
      </c>
      <c r="S355" s="4">
        <v>2900.26</v>
      </c>
      <c r="T355" s="4">
        <f t="shared" si="121"/>
        <v>58005.200000000004</v>
      </c>
      <c r="U355" s="4">
        <v>1820.94</v>
      </c>
      <c r="V355" s="4">
        <v>2500</v>
      </c>
    </row>
    <row r="356" spans="1:22" x14ac:dyDescent="0.35">
      <c r="A356" s="3">
        <v>65</v>
      </c>
      <c r="B356" s="2">
        <v>46166</v>
      </c>
      <c r="C356" s="4"/>
      <c r="D356" s="18"/>
      <c r="E356" s="4">
        <f t="shared" si="122"/>
        <v>7499</v>
      </c>
      <c r="F356" s="4">
        <v>2</v>
      </c>
      <c r="G356" s="14">
        <f t="shared" si="114"/>
        <v>2.6670222696359517E-4</v>
      </c>
      <c r="H356" s="4"/>
      <c r="I356" s="4">
        <f t="shared" si="115"/>
        <v>7497</v>
      </c>
      <c r="J356" s="4">
        <v>223</v>
      </c>
      <c r="K356" s="4">
        <f t="shared" si="116"/>
        <v>6690</v>
      </c>
      <c r="L356" s="4">
        <v>0</v>
      </c>
      <c r="M356" s="4">
        <v>0</v>
      </c>
      <c r="N356" s="4">
        <f t="shared" si="117"/>
        <v>6690</v>
      </c>
      <c r="O356" s="14">
        <f t="shared" si="118"/>
        <v>0.89211894919322576</v>
      </c>
      <c r="P356" s="4">
        <v>20</v>
      </c>
      <c r="Q356" s="4">
        <f t="shared" si="123"/>
        <v>1000</v>
      </c>
      <c r="R356" s="4">
        <f t="shared" si="120"/>
        <v>1000000</v>
      </c>
      <c r="S356" s="4">
        <v>2900.26</v>
      </c>
      <c r="T356" s="4">
        <f t="shared" si="121"/>
        <v>58005.200000000004</v>
      </c>
      <c r="U356" s="4">
        <v>1820.94</v>
      </c>
      <c r="V356" s="4">
        <v>2700</v>
      </c>
    </row>
    <row r="357" spans="1:22" x14ac:dyDescent="0.35">
      <c r="A357" s="3">
        <v>65</v>
      </c>
      <c r="B357" s="2">
        <v>46167</v>
      </c>
      <c r="C357" s="4"/>
      <c r="D357" s="18"/>
      <c r="E357" s="4">
        <f t="shared" si="122"/>
        <v>7497</v>
      </c>
      <c r="F357" s="4">
        <v>3</v>
      </c>
      <c r="G357" s="14">
        <f t="shared" si="114"/>
        <v>4.0016006402561027E-4</v>
      </c>
      <c r="H357" s="4"/>
      <c r="I357" s="4">
        <f t="shared" si="115"/>
        <v>7494</v>
      </c>
      <c r="J357" s="4">
        <v>222</v>
      </c>
      <c r="K357" s="4">
        <f t="shared" si="116"/>
        <v>6660</v>
      </c>
      <c r="L357" s="4">
        <v>0</v>
      </c>
      <c r="M357" s="4">
        <v>0</v>
      </c>
      <c r="N357" s="4">
        <f>K357+L357-M357</f>
        <v>6660</v>
      </c>
      <c r="O357" s="14">
        <f t="shared" si="118"/>
        <v>0.88835534213685474</v>
      </c>
      <c r="P357" s="4">
        <v>20</v>
      </c>
      <c r="Q357" s="4">
        <f t="shared" si="123"/>
        <v>1000</v>
      </c>
      <c r="R357" s="4">
        <f t="shared" si="120"/>
        <v>1000000</v>
      </c>
      <c r="S357" s="4">
        <v>2900.26</v>
      </c>
      <c r="T357" s="4">
        <f t="shared" si="121"/>
        <v>58005.200000000004</v>
      </c>
      <c r="U357" s="4">
        <v>1820.94</v>
      </c>
      <c r="V357" s="4">
        <v>2700</v>
      </c>
    </row>
    <row r="358" spans="1:22" x14ac:dyDescent="0.35">
      <c r="A358" s="3">
        <v>66</v>
      </c>
      <c r="B358" s="2">
        <v>46168</v>
      </c>
      <c r="C358" s="4"/>
      <c r="D358" s="18"/>
      <c r="E358" s="4">
        <f t="shared" si="122"/>
        <v>7494</v>
      </c>
      <c r="F358" s="4">
        <v>2</v>
      </c>
      <c r="G358" s="14">
        <f t="shared" si="114"/>
        <v>2.6688017080330931E-4</v>
      </c>
      <c r="H358" s="4"/>
      <c r="I358" s="4">
        <f t="shared" si="115"/>
        <v>7492</v>
      </c>
      <c r="J358" s="4">
        <v>222</v>
      </c>
      <c r="K358" s="4">
        <f t="shared" si="116"/>
        <v>6660</v>
      </c>
      <c r="L358" s="4">
        <v>0</v>
      </c>
      <c r="M358" s="4">
        <v>0</v>
      </c>
      <c r="N358" s="4">
        <f>K358+L358-M358</f>
        <v>6660</v>
      </c>
      <c r="O358" s="14">
        <f t="shared" si="118"/>
        <v>0.88871096877501998</v>
      </c>
      <c r="P358" s="4">
        <v>20</v>
      </c>
      <c r="Q358" s="4">
        <f t="shared" si="123"/>
        <v>1000</v>
      </c>
      <c r="R358" s="4">
        <f t="shared" si="120"/>
        <v>1000000</v>
      </c>
      <c r="S358" s="4">
        <v>2900.26</v>
      </c>
      <c r="T358" s="4">
        <f t="shared" si="121"/>
        <v>58005.200000000004</v>
      </c>
      <c r="U358" s="4">
        <v>1820.94</v>
      </c>
      <c r="V358" s="4">
        <v>2700</v>
      </c>
    </row>
    <row r="359" spans="1:22" x14ac:dyDescent="0.35">
      <c r="A359" s="3">
        <v>66</v>
      </c>
      <c r="B359" s="2">
        <v>46169</v>
      </c>
      <c r="C359" s="4"/>
      <c r="D359" s="18"/>
      <c r="E359" s="4">
        <f t="shared" si="122"/>
        <v>7492</v>
      </c>
      <c r="F359" s="4">
        <v>2</v>
      </c>
      <c r="G359" s="14">
        <f t="shared" si="114"/>
        <v>2.6695141484249865E-4</v>
      </c>
      <c r="H359" s="4"/>
      <c r="I359" s="4">
        <f t="shared" si="115"/>
        <v>7490</v>
      </c>
      <c r="J359" s="4">
        <v>222</v>
      </c>
      <c r="K359" s="4">
        <f t="shared" si="116"/>
        <v>6660</v>
      </c>
      <c r="L359" s="4">
        <v>0</v>
      </c>
      <c r="M359" s="4">
        <v>0</v>
      </c>
      <c r="N359" s="4">
        <f t="shared" ref="N359:N363" si="124">K359+L359-M359</f>
        <v>6660</v>
      </c>
      <c r="O359" s="14">
        <f t="shared" si="118"/>
        <v>0.88894821142552061</v>
      </c>
      <c r="P359" s="4">
        <v>20</v>
      </c>
      <c r="Q359" s="4">
        <f t="shared" si="123"/>
        <v>1000</v>
      </c>
      <c r="R359" s="4">
        <f t="shared" si="120"/>
        <v>1000000</v>
      </c>
      <c r="S359" s="4">
        <v>2900.26</v>
      </c>
      <c r="T359" s="4">
        <f t="shared" si="121"/>
        <v>58005.200000000004</v>
      </c>
      <c r="U359" s="4">
        <v>1820.94</v>
      </c>
      <c r="V359" s="4">
        <v>2700</v>
      </c>
    </row>
    <row r="360" spans="1:22" x14ac:dyDescent="0.35">
      <c r="A360" s="3">
        <v>66</v>
      </c>
      <c r="B360" s="2">
        <v>46170</v>
      </c>
      <c r="C360" s="4"/>
      <c r="D360" s="18"/>
      <c r="E360" s="4">
        <f t="shared" si="122"/>
        <v>7490</v>
      </c>
      <c r="F360" s="4">
        <v>2</v>
      </c>
      <c r="G360" s="14">
        <f t="shared" si="114"/>
        <v>2.6702269692923899E-4</v>
      </c>
      <c r="H360" s="4"/>
      <c r="I360" s="4">
        <f t="shared" si="115"/>
        <v>7488</v>
      </c>
      <c r="J360" s="4">
        <v>222</v>
      </c>
      <c r="K360" s="4">
        <f t="shared" si="116"/>
        <v>6660</v>
      </c>
      <c r="L360" s="4">
        <v>0</v>
      </c>
      <c r="M360" s="4">
        <v>0</v>
      </c>
      <c r="N360" s="4">
        <f t="shared" si="124"/>
        <v>6660</v>
      </c>
      <c r="O360" s="14">
        <f t="shared" si="118"/>
        <v>0.88918558077436582</v>
      </c>
      <c r="P360" s="4">
        <v>20</v>
      </c>
      <c r="Q360" s="4">
        <f t="shared" si="123"/>
        <v>1000</v>
      </c>
      <c r="R360" s="4">
        <f t="shared" si="120"/>
        <v>1000000</v>
      </c>
      <c r="S360" s="4">
        <v>2900.26</v>
      </c>
      <c r="T360" s="4">
        <f t="shared" si="121"/>
        <v>58005.200000000004</v>
      </c>
      <c r="U360" s="4">
        <v>1820.94</v>
      </c>
      <c r="V360" s="4">
        <v>2700</v>
      </c>
    </row>
    <row r="361" spans="1:22" x14ac:dyDescent="0.35">
      <c r="A361" s="3">
        <v>66</v>
      </c>
      <c r="B361" s="2">
        <v>46171</v>
      </c>
      <c r="C361" s="4"/>
      <c r="D361" s="18"/>
      <c r="E361" s="4">
        <f t="shared" si="122"/>
        <v>7488</v>
      </c>
      <c r="F361" s="4">
        <v>1</v>
      </c>
      <c r="G361" s="14">
        <f t="shared" si="114"/>
        <v>1.3354700854700856E-4</v>
      </c>
      <c r="H361" s="4"/>
      <c r="I361" s="4">
        <f t="shared" si="115"/>
        <v>7487</v>
      </c>
      <c r="J361" s="4">
        <v>220</v>
      </c>
      <c r="K361" s="4">
        <f t="shared" si="116"/>
        <v>6600</v>
      </c>
      <c r="L361" s="4">
        <v>0</v>
      </c>
      <c r="M361" s="4">
        <v>0</v>
      </c>
      <c r="N361" s="4">
        <f t="shared" si="124"/>
        <v>6600</v>
      </c>
      <c r="O361" s="14">
        <f t="shared" si="118"/>
        <v>0.88141025641025639</v>
      </c>
      <c r="P361" s="4">
        <v>20</v>
      </c>
      <c r="Q361" s="4">
        <f t="shared" si="123"/>
        <v>1000</v>
      </c>
      <c r="R361" s="4">
        <f t="shared" si="120"/>
        <v>1000000</v>
      </c>
      <c r="S361" s="4">
        <v>2900.26</v>
      </c>
      <c r="T361" s="4">
        <f t="shared" si="121"/>
        <v>58005.200000000004</v>
      </c>
      <c r="U361" s="4">
        <v>1820.94</v>
      </c>
      <c r="V361" s="4">
        <v>2700</v>
      </c>
    </row>
    <row r="362" spans="1:22" x14ac:dyDescent="0.35">
      <c r="A362" s="3">
        <v>66</v>
      </c>
      <c r="B362" s="2">
        <v>46172</v>
      </c>
      <c r="C362" s="4"/>
      <c r="D362" s="18"/>
      <c r="E362" s="4">
        <f t="shared" si="122"/>
        <v>7487</v>
      </c>
      <c r="F362" s="4">
        <v>0</v>
      </c>
      <c r="G362" s="14">
        <f t="shared" si="114"/>
        <v>0</v>
      </c>
      <c r="H362" s="4"/>
      <c r="I362" s="4">
        <f t="shared" si="115"/>
        <v>7487</v>
      </c>
      <c r="J362" s="4">
        <v>221</v>
      </c>
      <c r="K362" s="4">
        <f t="shared" si="116"/>
        <v>6630</v>
      </c>
      <c r="L362" s="4">
        <v>0</v>
      </c>
      <c r="M362" s="4">
        <v>0</v>
      </c>
      <c r="N362" s="4">
        <f t="shared" si="124"/>
        <v>6630</v>
      </c>
      <c r="O362" s="14">
        <f t="shared" si="118"/>
        <v>0.88553492720715909</v>
      </c>
      <c r="P362" s="4">
        <v>20</v>
      </c>
      <c r="Q362" s="4">
        <f t="shared" si="123"/>
        <v>1000</v>
      </c>
      <c r="R362" s="4">
        <f t="shared" si="120"/>
        <v>1000000</v>
      </c>
      <c r="S362" s="4">
        <v>2900.26</v>
      </c>
      <c r="T362" s="4">
        <f t="shared" si="121"/>
        <v>58005.200000000004</v>
      </c>
      <c r="U362" s="4">
        <v>1820.94</v>
      </c>
      <c r="V362" s="4">
        <v>2800</v>
      </c>
    </row>
    <row r="363" spans="1:22" x14ac:dyDescent="0.35">
      <c r="A363" s="3">
        <v>66</v>
      </c>
      <c r="B363" s="2">
        <v>46173</v>
      </c>
      <c r="C363" s="4"/>
      <c r="D363" s="18"/>
      <c r="E363" s="4">
        <f t="shared" si="122"/>
        <v>7487</v>
      </c>
      <c r="F363" s="4">
        <v>0</v>
      </c>
      <c r="G363" s="14">
        <f t="shared" si="114"/>
        <v>0</v>
      </c>
      <c r="H363" s="4"/>
      <c r="I363" s="4">
        <f t="shared" si="115"/>
        <v>7487</v>
      </c>
      <c r="J363" s="4">
        <v>220</v>
      </c>
      <c r="K363" s="4">
        <f t="shared" si="116"/>
        <v>6600</v>
      </c>
      <c r="L363" s="4">
        <v>0</v>
      </c>
      <c r="M363" s="4">
        <v>0</v>
      </c>
      <c r="N363" s="4">
        <f t="shared" si="124"/>
        <v>6600</v>
      </c>
      <c r="O363" s="14">
        <f t="shared" si="118"/>
        <v>0.881527981835181</v>
      </c>
      <c r="P363" s="4">
        <v>20</v>
      </c>
      <c r="Q363" s="4">
        <f t="shared" si="123"/>
        <v>1000</v>
      </c>
      <c r="R363" s="4">
        <f t="shared" si="120"/>
        <v>1000000</v>
      </c>
      <c r="S363" s="4">
        <v>2900.26</v>
      </c>
      <c r="T363" s="4">
        <f t="shared" si="121"/>
        <v>58005.200000000004</v>
      </c>
      <c r="U363" s="4">
        <v>1820.94</v>
      </c>
      <c r="V363" s="4">
        <v>2700</v>
      </c>
    </row>
    <row r="364" spans="1:22" x14ac:dyDescent="0.35">
      <c r="A364" s="3"/>
      <c r="B364" s="2"/>
      <c r="C364" s="4"/>
      <c r="D364" s="18"/>
      <c r="E364" s="4"/>
      <c r="F364" s="4"/>
      <c r="G364" s="14"/>
      <c r="H364" s="4"/>
      <c r="I364" s="26"/>
      <c r="J364" s="26"/>
      <c r="K364" s="26"/>
      <c r="L364" s="26"/>
      <c r="M364" s="26"/>
      <c r="N364" s="26"/>
      <c r="O364" s="27"/>
      <c r="P364" s="26"/>
      <c r="Q364" s="26"/>
      <c r="R364" s="26"/>
      <c r="S364" s="51"/>
      <c r="T364" s="26"/>
    </row>
    <row r="365" spans="1:22" x14ac:dyDescent="0.35">
      <c r="A365" s="3"/>
      <c r="B365" s="2"/>
      <c r="C365" s="4"/>
      <c r="D365" s="18"/>
      <c r="E365" s="4"/>
      <c r="F365" s="4"/>
      <c r="G365" s="14"/>
      <c r="H365" s="4"/>
      <c r="I365" s="4"/>
      <c r="J365" s="4"/>
      <c r="K365" s="4"/>
      <c r="L365" s="4"/>
      <c r="M365" s="4"/>
      <c r="N365" s="4"/>
      <c r="O365" s="14"/>
      <c r="P365" s="4"/>
      <c r="Q365" s="4"/>
      <c r="R365" s="4"/>
      <c r="S365" s="22"/>
      <c r="T365" s="4"/>
      <c r="U365" s="4"/>
      <c r="V365" s="4"/>
    </row>
    <row r="366" spans="1:22" x14ac:dyDescent="0.35">
      <c r="A366" s="1" t="s">
        <v>20</v>
      </c>
      <c r="B366" s="37" t="s">
        <v>1</v>
      </c>
      <c r="C366" s="38" t="s">
        <v>19</v>
      </c>
      <c r="D366" s="38" t="s">
        <v>18</v>
      </c>
      <c r="E366" s="39" t="s">
        <v>2</v>
      </c>
      <c r="F366" s="40" t="s">
        <v>3</v>
      </c>
      <c r="G366" s="41" t="s">
        <v>4</v>
      </c>
      <c r="H366" s="40" t="s">
        <v>5</v>
      </c>
      <c r="I366" s="9" t="s">
        <v>6</v>
      </c>
      <c r="J366" s="10" t="s">
        <v>7</v>
      </c>
      <c r="K366" s="7" t="s">
        <v>8</v>
      </c>
      <c r="L366" s="7" t="s">
        <v>9</v>
      </c>
      <c r="M366" s="7" t="s">
        <v>10</v>
      </c>
      <c r="N366" s="7" t="s">
        <v>11</v>
      </c>
      <c r="O366" s="35" t="s">
        <v>12</v>
      </c>
      <c r="P366" s="10" t="s">
        <v>13</v>
      </c>
      <c r="Q366" s="7" t="s">
        <v>14</v>
      </c>
      <c r="R366" s="11" t="s">
        <v>15</v>
      </c>
      <c r="S366" s="12" t="s">
        <v>16</v>
      </c>
      <c r="T366" s="13" t="s">
        <v>17</v>
      </c>
      <c r="U366" s="36" t="s">
        <v>22</v>
      </c>
      <c r="V366" s="36" t="s">
        <v>24</v>
      </c>
    </row>
    <row r="367" spans="1:22" x14ac:dyDescent="0.35">
      <c r="A367" s="3">
        <v>66</v>
      </c>
      <c r="B367" s="2">
        <v>46174</v>
      </c>
      <c r="C367" s="18"/>
      <c r="D367" s="18"/>
      <c r="E367" s="4">
        <v>7487</v>
      </c>
      <c r="F367" s="4">
        <v>2</v>
      </c>
      <c r="G367" s="14">
        <f t="shared" ref="G367:G396" si="125">F367/E367</f>
        <v>2.6712969146520634E-4</v>
      </c>
      <c r="H367" s="4"/>
      <c r="I367" s="4">
        <f t="shared" ref="I367:I396" si="126">E367-F367-H367</f>
        <v>7485</v>
      </c>
      <c r="J367" s="4">
        <v>221</v>
      </c>
      <c r="K367" s="4">
        <f t="shared" ref="K367:K396" si="127">J367*30</f>
        <v>6630</v>
      </c>
      <c r="L367" s="4">
        <v>0</v>
      </c>
      <c r="M367" s="4">
        <v>0</v>
      </c>
      <c r="N367" s="4">
        <f t="shared" ref="N367:N377" si="128">K367+L367-M367</f>
        <v>6630</v>
      </c>
      <c r="O367" s="14">
        <f t="shared" ref="O367:O396" si="129">N367/E367</f>
        <v>0.88553492720715909</v>
      </c>
      <c r="P367" s="4">
        <v>20</v>
      </c>
      <c r="Q367" s="4">
        <f t="shared" ref="Q367:Q396" si="130">P367*50</f>
        <v>1000</v>
      </c>
      <c r="R367" s="4">
        <f t="shared" ref="R367:R386" si="131">Q367*1000</f>
        <v>1000000</v>
      </c>
      <c r="S367" s="4">
        <v>2900.26</v>
      </c>
      <c r="T367" s="4">
        <f t="shared" ref="T367:T396" si="132">P367*S367</f>
        <v>58005.200000000004</v>
      </c>
      <c r="U367" s="4">
        <v>1820.94</v>
      </c>
      <c r="V367" s="4">
        <v>2900</v>
      </c>
    </row>
    <row r="368" spans="1:22" x14ac:dyDescent="0.35">
      <c r="A368" s="3">
        <v>67</v>
      </c>
      <c r="B368" s="2">
        <v>46175</v>
      </c>
      <c r="C368" s="4"/>
      <c r="D368" s="18"/>
      <c r="E368" s="4">
        <f>I367</f>
        <v>7485</v>
      </c>
      <c r="F368" s="4">
        <v>0</v>
      </c>
      <c r="G368" s="14">
        <f t="shared" si="125"/>
        <v>0</v>
      </c>
      <c r="H368" s="4"/>
      <c r="I368" s="4">
        <f t="shared" si="126"/>
        <v>7485</v>
      </c>
      <c r="J368" s="4">
        <v>221</v>
      </c>
      <c r="K368" s="4">
        <f t="shared" si="127"/>
        <v>6630</v>
      </c>
      <c r="L368" s="4">
        <v>0</v>
      </c>
      <c r="M368" s="4">
        <v>0</v>
      </c>
      <c r="N368" s="4">
        <f t="shared" si="128"/>
        <v>6630</v>
      </c>
      <c r="O368" s="14">
        <f t="shared" si="129"/>
        <v>0.88577154308617234</v>
      </c>
      <c r="P368" s="4">
        <v>20</v>
      </c>
      <c r="Q368" s="4">
        <f t="shared" si="130"/>
        <v>1000</v>
      </c>
      <c r="R368" s="4">
        <f t="shared" si="131"/>
        <v>1000000</v>
      </c>
      <c r="S368" s="4">
        <v>2900.26</v>
      </c>
      <c r="T368" s="4">
        <f t="shared" si="132"/>
        <v>58005.200000000004</v>
      </c>
      <c r="U368" s="4">
        <v>1820.94</v>
      </c>
      <c r="V368" s="4">
        <v>2400</v>
      </c>
    </row>
    <row r="369" spans="1:22" x14ac:dyDescent="0.35">
      <c r="A369" s="3">
        <v>67</v>
      </c>
      <c r="B369" s="2">
        <v>46176</v>
      </c>
      <c r="C369" s="4"/>
      <c r="D369" s="18"/>
      <c r="E369" s="4">
        <f>I368</f>
        <v>7485</v>
      </c>
      <c r="F369" s="4">
        <v>2</v>
      </c>
      <c r="G369" s="14">
        <f t="shared" si="125"/>
        <v>2.6720106880427522E-4</v>
      </c>
      <c r="H369" s="4"/>
      <c r="I369" s="4">
        <f t="shared" si="126"/>
        <v>7483</v>
      </c>
      <c r="J369" s="4">
        <v>221</v>
      </c>
      <c r="K369" s="4">
        <f t="shared" si="127"/>
        <v>6630</v>
      </c>
      <c r="L369" s="4">
        <v>0</v>
      </c>
      <c r="M369" s="4">
        <v>0</v>
      </c>
      <c r="N369" s="4">
        <f t="shared" si="128"/>
        <v>6630</v>
      </c>
      <c r="O369" s="14">
        <f t="shared" si="129"/>
        <v>0.88577154308617234</v>
      </c>
      <c r="P369" s="4">
        <v>20</v>
      </c>
      <c r="Q369" s="4">
        <f t="shared" si="130"/>
        <v>1000</v>
      </c>
      <c r="R369" s="4">
        <f t="shared" si="131"/>
        <v>1000000</v>
      </c>
      <c r="S369" s="4">
        <v>2900.26</v>
      </c>
      <c r="T369" s="4">
        <f t="shared" si="132"/>
        <v>58005.200000000004</v>
      </c>
      <c r="U369" s="4">
        <v>1820.94</v>
      </c>
      <c r="V369" s="4">
        <v>2800</v>
      </c>
    </row>
    <row r="370" spans="1:22" x14ac:dyDescent="0.35">
      <c r="A370" s="3">
        <v>67</v>
      </c>
      <c r="B370" s="2">
        <v>46177</v>
      </c>
      <c r="C370" s="4"/>
      <c r="D370" s="18"/>
      <c r="E370" s="4">
        <f>I369</f>
        <v>7483</v>
      </c>
      <c r="F370" s="4">
        <v>1</v>
      </c>
      <c r="G370" s="14">
        <f t="shared" si="125"/>
        <v>1.3363624214887077E-4</v>
      </c>
      <c r="H370" s="4"/>
      <c r="I370" s="4">
        <f t="shared" si="126"/>
        <v>7482</v>
      </c>
      <c r="J370" s="4">
        <v>220</v>
      </c>
      <c r="K370" s="4">
        <f t="shared" si="127"/>
        <v>6600</v>
      </c>
      <c r="L370" s="4">
        <v>0</v>
      </c>
      <c r="M370" s="4">
        <v>0</v>
      </c>
      <c r="N370" s="4">
        <f t="shared" si="128"/>
        <v>6600</v>
      </c>
      <c r="O370" s="14">
        <f t="shared" si="129"/>
        <v>0.88199919818254713</v>
      </c>
      <c r="P370" s="4">
        <v>20</v>
      </c>
      <c r="Q370" s="4">
        <f t="shared" si="130"/>
        <v>1000</v>
      </c>
      <c r="R370" s="4">
        <f t="shared" si="131"/>
        <v>1000000</v>
      </c>
      <c r="S370" s="4">
        <v>2900.26</v>
      </c>
      <c r="T370" s="4">
        <f t="shared" si="132"/>
        <v>58005.200000000004</v>
      </c>
      <c r="U370" s="4">
        <v>1820.94</v>
      </c>
      <c r="V370" s="4">
        <v>2900</v>
      </c>
    </row>
    <row r="371" spans="1:22" x14ac:dyDescent="0.35">
      <c r="A371" s="3">
        <v>67</v>
      </c>
      <c r="B371" s="2">
        <v>46178</v>
      </c>
      <c r="C371" s="19"/>
      <c r="D371" s="19"/>
      <c r="E371" s="4">
        <f t="shared" ref="E371:E396" si="133">I370</f>
        <v>7482</v>
      </c>
      <c r="F371" s="4">
        <v>2</v>
      </c>
      <c r="G371" s="14">
        <f t="shared" si="125"/>
        <v>2.6730820636193531E-4</v>
      </c>
      <c r="H371" s="7"/>
      <c r="I371" s="4">
        <f t="shared" si="126"/>
        <v>7480</v>
      </c>
      <c r="J371" s="4">
        <v>221</v>
      </c>
      <c r="K371" s="4">
        <f t="shared" si="127"/>
        <v>6630</v>
      </c>
      <c r="L371" s="4">
        <v>0</v>
      </c>
      <c r="M371" s="4">
        <v>0</v>
      </c>
      <c r="N371" s="4">
        <f t="shared" si="128"/>
        <v>6630</v>
      </c>
      <c r="O371" s="14">
        <f t="shared" si="129"/>
        <v>0.88612670408981553</v>
      </c>
      <c r="P371" s="4">
        <v>20</v>
      </c>
      <c r="Q371" s="4">
        <f t="shared" si="130"/>
        <v>1000</v>
      </c>
      <c r="R371" s="4">
        <f t="shared" si="131"/>
        <v>1000000</v>
      </c>
      <c r="S371" s="4">
        <v>2900.26</v>
      </c>
      <c r="T371" s="4">
        <f t="shared" si="132"/>
        <v>58005.200000000004</v>
      </c>
      <c r="U371" s="4">
        <v>1820.94</v>
      </c>
      <c r="V371" s="4">
        <v>2700</v>
      </c>
    </row>
    <row r="372" spans="1:22" x14ac:dyDescent="0.35">
      <c r="A372" s="3">
        <v>67</v>
      </c>
      <c r="B372" s="2">
        <v>46179</v>
      </c>
      <c r="C372" s="4"/>
      <c r="D372" s="18"/>
      <c r="E372" s="4">
        <f t="shared" si="133"/>
        <v>7480</v>
      </c>
      <c r="F372" s="4">
        <v>1</v>
      </c>
      <c r="G372" s="14">
        <f t="shared" si="125"/>
        <v>1.3368983957219252E-4</v>
      </c>
      <c r="H372" s="4"/>
      <c r="I372" s="4">
        <f t="shared" si="126"/>
        <v>7479</v>
      </c>
      <c r="J372" s="4">
        <v>221</v>
      </c>
      <c r="K372" s="4">
        <f t="shared" si="127"/>
        <v>6630</v>
      </c>
      <c r="L372" s="4">
        <v>0</v>
      </c>
      <c r="M372" s="4">
        <v>0</v>
      </c>
      <c r="N372" s="4">
        <f t="shared" si="128"/>
        <v>6630</v>
      </c>
      <c r="O372" s="14">
        <f t="shared" si="129"/>
        <v>0.88636363636363635</v>
      </c>
      <c r="P372" s="4">
        <v>20</v>
      </c>
      <c r="Q372" s="4">
        <f t="shared" si="130"/>
        <v>1000</v>
      </c>
      <c r="R372" s="4">
        <f t="shared" si="131"/>
        <v>1000000</v>
      </c>
      <c r="S372" s="4">
        <v>2900.26</v>
      </c>
      <c r="T372" s="4">
        <f t="shared" si="132"/>
        <v>58005.200000000004</v>
      </c>
      <c r="U372" s="4">
        <v>1820.94</v>
      </c>
      <c r="V372" s="4">
        <v>3000</v>
      </c>
    </row>
    <row r="373" spans="1:22" x14ac:dyDescent="0.35">
      <c r="A373" s="3">
        <v>67</v>
      </c>
      <c r="B373" s="2">
        <v>46180</v>
      </c>
      <c r="C373" s="4"/>
      <c r="D373" s="18"/>
      <c r="E373" s="4">
        <f t="shared" si="133"/>
        <v>7479</v>
      </c>
      <c r="F373" s="4">
        <v>1</v>
      </c>
      <c r="G373" s="14">
        <f t="shared" si="125"/>
        <v>1.3370771493515177E-4</v>
      </c>
      <c r="H373" s="4"/>
      <c r="I373" s="4">
        <f t="shared" si="126"/>
        <v>7478</v>
      </c>
      <c r="J373" s="4">
        <v>219</v>
      </c>
      <c r="K373" s="4">
        <f t="shared" si="127"/>
        <v>6570</v>
      </c>
      <c r="L373" s="4">
        <v>0</v>
      </c>
      <c r="M373" s="4">
        <v>0</v>
      </c>
      <c r="N373" s="4">
        <f t="shared" si="128"/>
        <v>6570</v>
      </c>
      <c r="O373" s="14">
        <f t="shared" si="129"/>
        <v>0.87845968712394706</v>
      </c>
      <c r="P373" s="4">
        <v>20</v>
      </c>
      <c r="Q373" s="4">
        <f t="shared" si="130"/>
        <v>1000</v>
      </c>
      <c r="R373" s="4">
        <f t="shared" si="131"/>
        <v>1000000</v>
      </c>
      <c r="S373" s="4">
        <v>2900.26</v>
      </c>
      <c r="T373" s="4">
        <f t="shared" si="132"/>
        <v>58005.200000000004</v>
      </c>
      <c r="U373" s="4">
        <v>1820.94</v>
      </c>
      <c r="V373" s="4">
        <v>2900</v>
      </c>
    </row>
    <row r="374" spans="1:22" x14ac:dyDescent="0.35">
      <c r="A374" s="3">
        <v>67</v>
      </c>
      <c r="B374" s="2">
        <v>46181</v>
      </c>
      <c r="C374" s="4"/>
      <c r="D374" s="18"/>
      <c r="E374" s="4">
        <f t="shared" si="133"/>
        <v>7478</v>
      </c>
      <c r="F374" s="4">
        <v>1</v>
      </c>
      <c r="G374" s="14">
        <f t="shared" si="125"/>
        <v>1.3372559507889809E-4</v>
      </c>
      <c r="H374" s="4"/>
      <c r="I374" s="4">
        <f t="shared" si="126"/>
        <v>7477</v>
      </c>
      <c r="J374" s="4">
        <v>220</v>
      </c>
      <c r="K374" s="4">
        <f t="shared" si="127"/>
        <v>6600</v>
      </c>
      <c r="L374" s="4">
        <v>0</v>
      </c>
      <c r="M374" s="4">
        <v>0</v>
      </c>
      <c r="N374" s="4">
        <f t="shared" si="128"/>
        <v>6600</v>
      </c>
      <c r="O374" s="14">
        <f t="shared" si="129"/>
        <v>0.88258892752072748</v>
      </c>
      <c r="P374" s="4">
        <v>20</v>
      </c>
      <c r="Q374" s="4">
        <f t="shared" si="130"/>
        <v>1000</v>
      </c>
      <c r="R374" s="4">
        <f t="shared" si="131"/>
        <v>1000000</v>
      </c>
      <c r="S374" s="4">
        <v>2900.26</v>
      </c>
      <c r="T374" s="4">
        <f t="shared" si="132"/>
        <v>58005.200000000004</v>
      </c>
      <c r="U374" s="4">
        <v>1820.94</v>
      </c>
      <c r="V374" s="4">
        <v>2900</v>
      </c>
    </row>
    <row r="375" spans="1:22" x14ac:dyDescent="0.35">
      <c r="A375" s="3">
        <v>68</v>
      </c>
      <c r="B375" s="2">
        <v>46182</v>
      </c>
      <c r="C375" s="4"/>
      <c r="D375" s="18"/>
      <c r="E375" s="4">
        <f t="shared" si="133"/>
        <v>7477</v>
      </c>
      <c r="F375" s="4">
        <v>0</v>
      </c>
      <c r="G375" s="14">
        <f t="shared" si="125"/>
        <v>0</v>
      </c>
      <c r="H375" s="4"/>
      <c r="I375" s="4">
        <f t="shared" si="126"/>
        <v>7477</v>
      </c>
      <c r="J375" s="4">
        <v>220</v>
      </c>
      <c r="K375" s="4">
        <f t="shared" si="127"/>
        <v>6600</v>
      </c>
      <c r="L375" s="4">
        <v>0</v>
      </c>
      <c r="M375" s="4">
        <v>0</v>
      </c>
      <c r="N375" s="4">
        <f t="shared" si="128"/>
        <v>6600</v>
      </c>
      <c r="O375" s="14">
        <f t="shared" si="129"/>
        <v>0.88270696803530824</v>
      </c>
      <c r="P375" s="4">
        <v>20</v>
      </c>
      <c r="Q375" s="4">
        <f t="shared" si="130"/>
        <v>1000</v>
      </c>
      <c r="R375" s="4">
        <f t="shared" si="131"/>
        <v>1000000</v>
      </c>
      <c r="S375" s="4">
        <v>2900.26</v>
      </c>
      <c r="T375" s="4">
        <f t="shared" si="132"/>
        <v>58005.200000000004</v>
      </c>
      <c r="U375" s="4">
        <v>1820.94</v>
      </c>
      <c r="V375" s="4">
        <v>2800</v>
      </c>
    </row>
    <row r="376" spans="1:22" x14ac:dyDescent="0.35">
      <c r="A376" s="3">
        <v>68</v>
      </c>
      <c r="B376" s="2">
        <v>46183</v>
      </c>
      <c r="C376" s="4"/>
      <c r="D376" s="18"/>
      <c r="E376" s="4">
        <f t="shared" si="133"/>
        <v>7477</v>
      </c>
      <c r="F376" s="4">
        <v>1</v>
      </c>
      <c r="G376" s="14">
        <f t="shared" si="125"/>
        <v>1.3374348000534973E-4</v>
      </c>
      <c r="H376" s="4"/>
      <c r="I376" s="4">
        <f t="shared" si="126"/>
        <v>7476</v>
      </c>
      <c r="J376" s="4">
        <v>219</v>
      </c>
      <c r="K376" s="4">
        <f t="shared" si="127"/>
        <v>6570</v>
      </c>
      <c r="L376" s="4">
        <v>0</v>
      </c>
      <c r="M376" s="4">
        <v>0</v>
      </c>
      <c r="N376" s="4">
        <f t="shared" si="128"/>
        <v>6570</v>
      </c>
      <c r="O376" s="14">
        <f t="shared" si="129"/>
        <v>0.87869466363514781</v>
      </c>
      <c r="P376" s="4">
        <v>20</v>
      </c>
      <c r="Q376" s="4">
        <f t="shared" si="130"/>
        <v>1000</v>
      </c>
      <c r="R376" s="4">
        <f t="shared" si="131"/>
        <v>1000000</v>
      </c>
      <c r="S376" s="4">
        <v>2900.26</v>
      </c>
      <c r="T376" s="4">
        <f t="shared" si="132"/>
        <v>58005.200000000004</v>
      </c>
      <c r="U376" s="4">
        <v>1820.94</v>
      </c>
      <c r="V376" s="4">
        <v>3000</v>
      </c>
    </row>
    <row r="377" spans="1:22" x14ac:dyDescent="0.35">
      <c r="A377" s="3">
        <v>68</v>
      </c>
      <c r="B377" s="2">
        <v>46184</v>
      </c>
      <c r="C377" s="4"/>
      <c r="D377" s="18"/>
      <c r="E377" s="4">
        <f t="shared" si="133"/>
        <v>7476</v>
      </c>
      <c r="F377" s="4">
        <v>1</v>
      </c>
      <c r="G377" s="14">
        <f t="shared" si="125"/>
        <v>1.3376136971642589E-4</v>
      </c>
      <c r="H377" s="4"/>
      <c r="I377" s="4">
        <f t="shared" si="126"/>
        <v>7475</v>
      </c>
      <c r="J377" s="4">
        <v>220</v>
      </c>
      <c r="K377" s="4">
        <f t="shared" si="127"/>
        <v>6600</v>
      </c>
      <c r="L377" s="4">
        <v>0</v>
      </c>
      <c r="M377" s="4">
        <v>0</v>
      </c>
      <c r="N377" s="4">
        <f t="shared" si="128"/>
        <v>6600</v>
      </c>
      <c r="O377" s="14">
        <f t="shared" si="129"/>
        <v>0.8828250401284109</v>
      </c>
      <c r="P377" s="4">
        <v>20</v>
      </c>
      <c r="Q377" s="4">
        <f t="shared" si="130"/>
        <v>1000</v>
      </c>
      <c r="R377" s="4">
        <f t="shared" si="131"/>
        <v>1000000</v>
      </c>
      <c r="S377" s="4">
        <v>2900.26</v>
      </c>
      <c r="T377" s="4">
        <f t="shared" si="132"/>
        <v>58005.200000000004</v>
      </c>
      <c r="U377" s="4">
        <v>1820.94</v>
      </c>
      <c r="V377" s="4">
        <v>2900</v>
      </c>
    </row>
    <row r="378" spans="1:22" x14ac:dyDescent="0.35">
      <c r="A378" s="3">
        <v>68</v>
      </c>
      <c r="B378" s="2">
        <v>46185</v>
      </c>
      <c r="C378" s="4"/>
      <c r="D378" s="18"/>
      <c r="E378" s="4">
        <f t="shared" si="133"/>
        <v>7475</v>
      </c>
      <c r="F378" s="4">
        <v>2</v>
      </c>
      <c r="G378" s="14">
        <f t="shared" si="125"/>
        <v>2.6755852842809364E-4</v>
      </c>
      <c r="H378" s="4"/>
      <c r="I378" s="4">
        <f t="shared" si="126"/>
        <v>7473</v>
      </c>
      <c r="J378" s="4">
        <v>220</v>
      </c>
      <c r="K378" s="4">
        <f t="shared" si="127"/>
        <v>6600</v>
      </c>
      <c r="L378" s="4">
        <v>0</v>
      </c>
      <c r="M378" s="4">
        <v>0</v>
      </c>
      <c r="N378" s="4">
        <f t="shared" ref="N378:N396" si="134">K378+L378-M378</f>
        <v>6600</v>
      </c>
      <c r="O378" s="14">
        <f t="shared" si="129"/>
        <v>0.882943143812709</v>
      </c>
      <c r="P378" s="4">
        <v>20</v>
      </c>
      <c r="Q378" s="4">
        <f t="shared" si="130"/>
        <v>1000</v>
      </c>
      <c r="R378" s="4">
        <f t="shared" si="131"/>
        <v>1000000</v>
      </c>
      <c r="S378" s="4">
        <v>2900.26</v>
      </c>
      <c r="T378" s="4">
        <f t="shared" si="132"/>
        <v>58005.200000000004</v>
      </c>
      <c r="U378" s="4">
        <v>1820.94</v>
      </c>
      <c r="V378" s="4">
        <v>3000</v>
      </c>
    </row>
    <row r="379" spans="1:22" x14ac:dyDescent="0.35">
      <c r="A379" s="3">
        <v>68</v>
      </c>
      <c r="B379" s="2">
        <v>46186</v>
      </c>
      <c r="C379" s="4"/>
      <c r="D379" s="18"/>
      <c r="E379" s="4">
        <f t="shared" si="133"/>
        <v>7473</v>
      </c>
      <c r="F379" s="4">
        <v>2</v>
      </c>
      <c r="G379" s="14">
        <f t="shared" si="125"/>
        <v>2.6763013515321824E-4</v>
      </c>
      <c r="H379" s="4"/>
      <c r="I379" s="4">
        <f t="shared" si="126"/>
        <v>7471</v>
      </c>
      <c r="J379" s="4">
        <v>218</v>
      </c>
      <c r="K379" s="4">
        <f t="shared" si="127"/>
        <v>6540</v>
      </c>
      <c r="L379" s="4">
        <v>0</v>
      </c>
      <c r="M379" s="4">
        <v>0</v>
      </c>
      <c r="N379" s="4">
        <f t="shared" si="134"/>
        <v>6540</v>
      </c>
      <c r="O379" s="14">
        <f t="shared" si="129"/>
        <v>0.87515054195102371</v>
      </c>
      <c r="P379" s="4">
        <v>20</v>
      </c>
      <c r="Q379" s="4">
        <f t="shared" si="130"/>
        <v>1000</v>
      </c>
      <c r="R379" s="4">
        <f t="shared" si="131"/>
        <v>1000000</v>
      </c>
      <c r="S379" s="4">
        <v>2922.26</v>
      </c>
      <c r="T379" s="4">
        <f t="shared" si="132"/>
        <v>58445.200000000004</v>
      </c>
      <c r="U379" s="4">
        <v>1820.94</v>
      </c>
      <c r="V379" s="4">
        <v>2900</v>
      </c>
    </row>
    <row r="380" spans="1:22" x14ac:dyDescent="0.35">
      <c r="A380" s="3">
        <v>68</v>
      </c>
      <c r="B380" s="2">
        <v>46187</v>
      </c>
      <c r="C380" s="4"/>
      <c r="D380" s="18"/>
      <c r="E380" s="4">
        <f t="shared" si="133"/>
        <v>7471</v>
      </c>
      <c r="F380" s="4">
        <v>1</v>
      </c>
      <c r="G380" s="14">
        <f t="shared" si="125"/>
        <v>1.3385089010841921E-4</v>
      </c>
      <c r="H380" s="4"/>
      <c r="I380" s="4">
        <f t="shared" si="126"/>
        <v>7470</v>
      </c>
      <c r="J380" s="4">
        <v>219</v>
      </c>
      <c r="K380" s="4">
        <f t="shared" si="127"/>
        <v>6570</v>
      </c>
      <c r="L380" s="4">
        <v>0</v>
      </c>
      <c r="M380" s="4">
        <v>0</v>
      </c>
      <c r="N380" s="4">
        <f t="shared" si="134"/>
        <v>6570</v>
      </c>
      <c r="O380" s="14">
        <f t="shared" si="129"/>
        <v>0.87940034801231426</v>
      </c>
      <c r="P380" s="4">
        <v>20</v>
      </c>
      <c r="Q380" s="4">
        <f t="shared" si="130"/>
        <v>1000</v>
      </c>
      <c r="R380" s="4">
        <f t="shared" si="131"/>
        <v>1000000</v>
      </c>
      <c r="S380" s="4">
        <v>2922.26</v>
      </c>
      <c r="T380" s="4">
        <f t="shared" si="132"/>
        <v>58445.200000000004</v>
      </c>
      <c r="U380" s="4">
        <v>1820.94</v>
      </c>
      <c r="V380" s="4">
        <v>3000</v>
      </c>
    </row>
    <row r="381" spans="1:22" x14ac:dyDescent="0.35">
      <c r="A381" s="3">
        <v>68</v>
      </c>
      <c r="B381" s="2">
        <v>46188</v>
      </c>
      <c r="C381" s="4"/>
      <c r="D381" s="18"/>
      <c r="E381" s="4">
        <f t="shared" si="133"/>
        <v>7470</v>
      </c>
      <c r="F381" s="4">
        <v>3</v>
      </c>
      <c r="G381" s="14">
        <f t="shared" si="125"/>
        <v>4.0160642570281126E-4</v>
      </c>
      <c r="H381" s="4"/>
      <c r="I381" s="4">
        <f t="shared" si="126"/>
        <v>7467</v>
      </c>
      <c r="J381" s="4">
        <v>218</v>
      </c>
      <c r="K381" s="4">
        <f t="shared" si="127"/>
        <v>6540</v>
      </c>
      <c r="L381" s="4">
        <v>0</v>
      </c>
      <c r="M381" s="4">
        <v>0</v>
      </c>
      <c r="N381" s="4">
        <f t="shared" si="134"/>
        <v>6540</v>
      </c>
      <c r="O381" s="14">
        <f t="shared" si="129"/>
        <v>0.87550200803212852</v>
      </c>
      <c r="P381" s="4">
        <v>20</v>
      </c>
      <c r="Q381" s="4">
        <f t="shared" si="130"/>
        <v>1000</v>
      </c>
      <c r="R381" s="4">
        <f t="shared" si="131"/>
        <v>1000000</v>
      </c>
      <c r="S381" s="4">
        <v>2922.26</v>
      </c>
      <c r="T381" s="4">
        <f t="shared" si="132"/>
        <v>58445.200000000004</v>
      </c>
      <c r="U381" s="4">
        <v>1820.94</v>
      </c>
      <c r="V381" s="4">
        <v>2900</v>
      </c>
    </row>
    <row r="382" spans="1:22" x14ac:dyDescent="0.35">
      <c r="A382" s="3">
        <v>69</v>
      </c>
      <c r="B382" s="2">
        <v>46189</v>
      </c>
      <c r="C382" s="4"/>
      <c r="D382" s="18"/>
      <c r="E382" s="4">
        <f t="shared" si="133"/>
        <v>7467</v>
      </c>
      <c r="F382" s="4">
        <v>3</v>
      </c>
      <c r="G382" s="14">
        <f t="shared" si="125"/>
        <v>4.017677782241864E-4</v>
      </c>
      <c r="H382" s="4"/>
      <c r="I382" s="4">
        <f t="shared" si="126"/>
        <v>7464</v>
      </c>
      <c r="J382" s="4">
        <v>218</v>
      </c>
      <c r="K382" s="4">
        <f t="shared" si="127"/>
        <v>6540</v>
      </c>
      <c r="L382" s="4">
        <v>0</v>
      </c>
      <c r="M382" s="4">
        <v>0</v>
      </c>
      <c r="N382" s="4">
        <f t="shared" si="134"/>
        <v>6540</v>
      </c>
      <c r="O382" s="14">
        <f t="shared" si="129"/>
        <v>0.87585375652872643</v>
      </c>
      <c r="P382" s="4">
        <v>20</v>
      </c>
      <c r="Q382" s="4">
        <f t="shared" si="130"/>
        <v>1000</v>
      </c>
      <c r="R382" s="4">
        <f t="shared" si="131"/>
        <v>1000000</v>
      </c>
      <c r="S382" s="4">
        <v>2922.26</v>
      </c>
      <c r="T382" s="4">
        <f t="shared" si="132"/>
        <v>58445.200000000004</v>
      </c>
      <c r="U382" s="4">
        <v>1820.94</v>
      </c>
      <c r="V382" s="4">
        <v>2900</v>
      </c>
    </row>
    <row r="383" spans="1:22" x14ac:dyDescent="0.35">
      <c r="A383" s="3">
        <v>69</v>
      </c>
      <c r="B383" s="2">
        <v>46190</v>
      </c>
      <c r="C383" s="4"/>
      <c r="D383" s="18"/>
      <c r="E383" s="4">
        <f t="shared" si="133"/>
        <v>7464</v>
      </c>
      <c r="F383" s="4">
        <v>3</v>
      </c>
      <c r="G383" s="14">
        <f t="shared" si="125"/>
        <v>4.0192926045016077E-4</v>
      </c>
      <c r="H383" s="4"/>
      <c r="I383" s="4">
        <f t="shared" si="126"/>
        <v>7461</v>
      </c>
      <c r="J383" s="4">
        <v>218</v>
      </c>
      <c r="K383" s="4">
        <f t="shared" si="127"/>
        <v>6540</v>
      </c>
      <c r="L383" s="4">
        <v>0</v>
      </c>
      <c r="M383" s="4">
        <v>0</v>
      </c>
      <c r="N383" s="4">
        <f t="shared" si="134"/>
        <v>6540</v>
      </c>
      <c r="O383" s="14">
        <f t="shared" si="129"/>
        <v>0.8762057877813505</v>
      </c>
      <c r="P383" s="4">
        <v>20</v>
      </c>
      <c r="Q383" s="4">
        <f t="shared" si="130"/>
        <v>1000</v>
      </c>
      <c r="R383" s="4">
        <f t="shared" si="131"/>
        <v>1000000</v>
      </c>
      <c r="S383" s="4">
        <v>2943.76</v>
      </c>
      <c r="T383" s="4">
        <f t="shared" si="132"/>
        <v>58875.200000000004</v>
      </c>
      <c r="U383" s="4">
        <v>1820.94</v>
      </c>
      <c r="V383" s="4">
        <v>2900</v>
      </c>
    </row>
    <row r="384" spans="1:22" x14ac:dyDescent="0.35">
      <c r="A384" s="3">
        <v>69</v>
      </c>
      <c r="B384" s="2">
        <v>46191</v>
      </c>
      <c r="C384" s="4"/>
      <c r="D384" s="18"/>
      <c r="E384" s="4">
        <f t="shared" si="133"/>
        <v>7461</v>
      </c>
      <c r="F384" s="4">
        <v>2</v>
      </c>
      <c r="G384" s="14">
        <f t="shared" si="125"/>
        <v>2.6806058169146228E-4</v>
      </c>
      <c r="H384" s="4"/>
      <c r="I384" s="4">
        <f t="shared" si="126"/>
        <v>7459</v>
      </c>
      <c r="J384" s="4">
        <v>218</v>
      </c>
      <c r="K384" s="4">
        <f t="shared" si="127"/>
        <v>6540</v>
      </c>
      <c r="L384" s="4">
        <v>0</v>
      </c>
      <c r="M384" s="4">
        <v>0</v>
      </c>
      <c r="N384" s="4">
        <f t="shared" si="134"/>
        <v>6540</v>
      </c>
      <c r="O384" s="14">
        <f t="shared" si="129"/>
        <v>0.87655810213108165</v>
      </c>
      <c r="P384" s="4">
        <v>20</v>
      </c>
      <c r="Q384" s="4">
        <f t="shared" si="130"/>
        <v>1000</v>
      </c>
      <c r="R384" s="4">
        <f t="shared" si="131"/>
        <v>1000000</v>
      </c>
      <c r="S384" s="4">
        <v>2943.76</v>
      </c>
      <c r="T384" s="4">
        <f t="shared" si="132"/>
        <v>58875.200000000004</v>
      </c>
      <c r="U384" s="4">
        <v>1820.94</v>
      </c>
      <c r="V384" s="4">
        <v>2800</v>
      </c>
    </row>
    <row r="385" spans="1:22" x14ac:dyDescent="0.35">
      <c r="A385" s="3">
        <v>69</v>
      </c>
      <c r="B385" s="2">
        <v>46192</v>
      </c>
      <c r="C385" s="4"/>
      <c r="D385" s="18"/>
      <c r="E385" s="4">
        <f t="shared" si="133"/>
        <v>7459</v>
      </c>
      <c r="F385" s="4">
        <v>2</v>
      </c>
      <c r="G385" s="14">
        <f t="shared" si="125"/>
        <v>2.681324574339724E-4</v>
      </c>
      <c r="H385" s="4"/>
      <c r="I385" s="4">
        <f t="shared" si="126"/>
        <v>7457</v>
      </c>
      <c r="J385" s="4">
        <v>217</v>
      </c>
      <c r="K385" s="4">
        <f t="shared" si="127"/>
        <v>6510</v>
      </c>
      <c r="L385" s="4">
        <v>0</v>
      </c>
      <c r="M385" s="4">
        <v>0</v>
      </c>
      <c r="N385" s="4">
        <f t="shared" si="134"/>
        <v>6510</v>
      </c>
      <c r="O385" s="14">
        <f t="shared" si="129"/>
        <v>0.87277114894758012</v>
      </c>
      <c r="P385" s="4">
        <v>20</v>
      </c>
      <c r="Q385" s="4">
        <f t="shared" si="130"/>
        <v>1000</v>
      </c>
      <c r="R385" s="4">
        <f t="shared" si="131"/>
        <v>1000000</v>
      </c>
      <c r="S385" s="4">
        <v>2943.76</v>
      </c>
      <c r="T385" s="4">
        <f t="shared" si="132"/>
        <v>58875.200000000004</v>
      </c>
      <c r="U385" s="4">
        <v>1820.94</v>
      </c>
      <c r="V385" s="4">
        <v>3000</v>
      </c>
    </row>
    <row r="386" spans="1:22" x14ac:dyDescent="0.35">
      <c r="A386" s="3">
        <v>69</v>
      </c>
      <c r="B386" s="2">
        <v>46193</v>
      </c>
      <c r="C386" s="4"/>
      <c r="D386" s="18"/>
      <c r="E386" s="4">
        <f t="shared" si="133"/>
        <v>7457</v>
      </c>
      <c r="F386" s="4">
        <v>2</v>
      </c>
      <c r="G386" s="14">
        <f t="shared" si="125"/>
        <v>2.6820437173125924E-4</v>
      </c>
      <c r="H386" s="4"/>
      <c r="I386" s="4">
        <f t="shared" si="126"/>
        <v>7455</v>
      </c>
      <c r="J386" s="4">
        <v>214</v>
      </c>
      <c r="K386" s="4">
        <f t="shared" si="127"/>
        <v>6420</v>
      </c>
      <c r="L386" s="4">
        <v>0</v>
      </c>
      <c r="M386" s="4">
        <v>0</v>
      </c>
      <c r="N386" s="4">
        <f t="shared" si="134"/>
        <v>6420</v>
      </c>
      <c r="O386" s="14">
        <f t="shared" si="129"/>
        <v>0.86093603325734214</v>
      </c>
      <c r="P386" s="4">
        <v>20</v>
      </c>
      <c r="Q386" s="4">
        <f t="shared" si="130"/>
        <v>1000</v>
      </c>
      <c r="R386" s="4">
        <f t="shared" si="131"/>
        <v>1000000</v>
      </c>
      <c r="S386" s="4">
        <v>2918.26</v>
      </c>
      <c r="T386" s="4">
        <f t="shared" si="132"/>
        <v>58365.200000000004</v>
      </c>
      <c r="U386" s="4">
        <v>1820.94</v>
      </c>
      <c r="V386" s="4">
        <v>3000</v>
      </c>
    </row>
    <row r="387" spans="1:22" x14ac:dyDescent="0.35">
      <c r="A387" s="3">
        <v>69</v>
      </c>
      <c r="B387" s="2">
        <v>46194</v>
      </c>
      <c r="C387" s="4"/>
      <c r="D387" s="18"/>
      <c r="E387" s="4">
        <f t="shared" si="133"/>
        <v>7455</v>
      </c>
      <c r="F387" s="4">
        <v>4</v>
      </c>
      <c r="G387" s="14">
        <f t="shared" si="125"/>
        <v>5.3655264922870555E-4</v>
      </c>
      <c r="H387" s="4"/>
      <c r="I387" s="4">
        <f t="shared" si="126"/>
        <v>7451</v>
      </c>
      <c r="J387" s="4">
        <v>210</v>
      </c>
      <c r="K387" s="4">
        <f t="shared" si="127"/>
        <v>6300</v>
      </c>
      <c r="L387" s="4">
        <v>0</v>
      </c>
      <c r="M387" s="4">
        <v>0</v>
      </c>
      <c r="N387" s="4">
        <f t="shared" si="134"/>
        <v>6300</v>
      </c>
      <c r="O387" s="14">
        <f t="shared" si="129"/>
        <v>0.84507042253521125</v>
      </c>
      <c r="P387" s="4">
        <v>20</v>
      </c>
      <c r="Q387" s="4">
        <f t="shared" si="130"/>
        <v>1000</v>
      </c>
      <c r="R387" s="4">
        <f t="shared" ref="R387:R396" si="135">Q387*1000</f>
        <v>1000000</v>
      </c>
      <c r="S387" s="4">
        <v>2918.26</v>
      </c>
      <c r="T387" s="4">
        <f t="shared" si="132"/>
        <v>58365.200000000004</v>
      </c>
      <c r="U387" s="4">
        <v>1820.94</v>
      </c>
      <c r="V387" s="4">
        <v>2500</v>
      </c>
    </row>
    <row r="388" spans="1:22" x14ac:dyDescent="0.35">
      <c r="A388" s="3">
        <v>69</v>
      </c>
      <c r="B388" s="2">
        <v>46195</v>
      </c>
      <c r="C388" s="4"/>
      <c r="D388" s="18"/>
      <c r="E388" s="4">
        <f t="shared" si="133"/>
        <v>7451</v>
      </c>
      <c r="F388" s="4">
        <v>3</v>
      </c>
      <c r="G388" s="14">
        <f t="shared" si="125"/>
        <v>4.0263051939337001E-4</v>
      </c>
      <c r="H388" s="4"/>
      <c r="I388" s="4">
        <f t="shared" si="126"/>
        <v>7448</v>
      </c>
      <c r="J388" s="4">
        <v>213</v>
      </c>
      <c r="K388" s="4">
        <f t="shared" si="127"/>
        <v>6390</v>
      </c>
      <c r="L388" s="4">
        <v>0</v>
      </c>
      <c r="M388" s="4">
        <v>0</v>
      </c>
      <c r="N388" s="4">
        <f t="shared" si="134"/>
        <v>6390</v>
      </c>
      <c r="O388" s="14">
        <f t="shared" si="129"/>
        <v>0.85760300630787811</v>
      </c>
      <c r="P388" s="4">
        <v>20</v>
      </c>
      <c r="Q388" s="4">
        <f t="shared" si="130"/>
        <v>1000</v>
      </c>
      <c r="R388" s="4">
        <f t="shared" si="135"/>
        <v>1000000</v>
      </c>
      <c r="S388" s="4">
        <v>2918.26</v>
      </c>
      <c r="T388" s="4">
        <f t="shared" si="132"/>
        <v>58365.200000000004</v>
      </c>
      <c r="U388" s="4">
        <v>1820.94</v>
      </c>
      <c r="V388" s="4">
        <v>3000</v>
      </c>
    </row>
    <row r="389" spans="1:22" x14ac:dyDescent="0.35">
      <c r="A389" s="3">
        <v>70</v>
      </c>
      <c r="B389" s="2">
        <v>46196</v>
      </c>
      <c r="C389" s="4"/>
      <c r="D389" s="18"/>
      <c r="E389" s="4">
        <f t="shared" si="133"/>
        <v>7448</v>
      </c>
      <c r="F389" s="4">
        <v>5</v>
      </c>
      <c r="G389" s="14">
        <f t="shared" si="125"/>
        <v>6.7132116004296456E-4</v>
      </c>
      <c r="H389" s="4"/>
      <c r="I389" s="4">
        <f t="shared" si="126"/>
        <v>7443</v>
      </c>
      <c r="J389" s="4">
        <v>214</v>
      </c>
      <c r="K389" s="4">
        <f t="shared" si="127"/>
        <v>6420</v>
      </c>
      <c r="L389" s="4">
        <v>0</v>
      </c>
      <c r="M389" s="4">
        <v>0</v>
      </c>
      <c r="N389" s="4">
        <f t="shared" si="134"/>
        <v>6420</v>
      </c>
      <c r="O389" s="14">
        <f t="shared" si="129"/>
        <v>0.86197636949516654</v>
      </c>
      <c r="P389" s="4">
        <v>20</v>
      </c>
      <c r="Q389" s="4">
        <f t="shared" si="130"/>
        <v>1000</v>
      </c>
      <c r="R389" s="4">
        <f t="shared" si="135"/>
        <v>1000000</v>
      </c>
      <c r="S389" s="4">
        <v>2918.26</v>
      </c>
      <c r="T389" s="4">
        <f t="shared" si="132"/>
        <v>58365.200000000004</v>
      </c>
      <c r="U389" s="4">
        <v>1820.94</v>
      </c>
      <c r="V389" s="4">
        <v>2800</v>
      </c>
    </row>
    <row r="390" spans="1:22" x14ac:dyDescent="0.35">
      <c r="A390" s="3">
        <v>70</v>
      </c>
      <c r="B390" s="2">
        <v>46197</v>
      </c>
      <c r="C390" s="4"/>
      <c r="D390" s="18"/>
      <c r="E390" s="4">
        <f t="shared" si="133"/>
        <v>7443</v>
      </c>
      <c r="F390" s="4">
        <v>3</v>
      </c>
      <c r="G390" s="14">
        <f t="shared" si="125"/>
        <v>4.0306328093510683E-4</v>
      </c>
      <c r="H390" s="4"/>
      <c r="I390" s="4">
        <f t="shared" si="126"/>
        <v>7440</v>
      </c>
      <c r="J390" s="4">
        <v>212</v>
      </c>
      <c r="K390" s="4">
        <f t="shared" si="127"/>
        <v>6360</v>
      </c>
      <c r="L390" s="4">
        <v>0</v>
      </c>
      <c r="M390" s="4">
        <v>0</v>
      </c>
      <c r="N390" s="4">
        <f t="shared" si="134"/>
        <v>6360</v>
      </c>
      <c r="O390" s="14">
        <f t="shared" si="129"/>
        <v>0.85449415558242647</v>
      </c>
      <c r="P390" s="4">
        <v>20</v>
      </c>
      <c r="Q390" s="4">
        <f t="shared" si="130"/>
        <v>1000</v>
      </c>
      <c r="R390" s="4">
        <f t="shared" si="135"/>
        <v>1000000</v>
      </c>
      <c r="S390" s="4">
        <v>2918.26</v>
      </c>
      <c r="T390" s="4">
        <f t="shared" si="132"/>
        <v>58365.200000000004</v>
      </c>
      <c r="U390" s="4">
        <v>1820.94</v>
      </c>
      <c r="V390" s="4">
        <v>2800</v>
      </c>
    </row>
    <row r="391" spans="1:22" x14ac:dyDescent="0.35">
      <c r="A391" s="3">
        <v>70</v>
      </c>
      <c r="B391" s="2">
        <v>46198</v>
      </c>
      <c r="C391" s="4"/>
      <c r="D391" s="18"/>
      <c r="E391" s="4">
        <f t="shared" si="133"/>
        <v>7440</v>
      </c>
      <c r="F391" s="4">
        <v>2</v>
      </c>
      <c r="G391" s="14">
        <f t="shared" si="125"/>
        <v>2.6881720430107527E-4</v>
      </c>
      <c r="H391" s="4"/>
      <c r="I391" s="4">
        <f t="shared" si="126"/>
        <v>7438</v>
      </c>
      <c r="J391" s="4">
        <v>213</v>
      </c>
      <c r="K391" s="4">
        <f t="shared" si="127"/>
        <v>6390</v>
      </c>
      <c r="L391" s="4">
        <v>0</v>
      </c>
      <c r="M391" s="4">
        <v>0</v>
      </c>
      <c r="N391" s="4">
        <f t="shared" si="134"/>
        <v>6390</v>
      </c>
      <c r="O391" s="14">
        <f t="shared" si="129"/>
        <v>0.8588709677419355</v>
      </c>
      <c r="P391" s="4">
        <v>20</v>
      </c>
      <c r="Q391" s="4">
        <f t="shared" si="130"/>
        <v>1000</v>
      </c>
      <c r="R391" s="4">
        <f t="shared" si="135"/>
        <v>1000000</v>
      </c>
      <c r="S391" s="4">
        <v>2918.26</v>
      </c>
      <c r="T391" s="4">
        <f t="shared" si="132"/>
        <v>58365.200000000004</v>
      </c>
      <c r="U391" s="4">
        <v>1820.94</v>
      </c>
      <c r="V391" s="4">
        <v>2600</v>
      </c>
    </row>
    <row r="392" spans="1:22" x14ac:dyDescent="0.35">
      <c r="A392" s="3">
        <v>70</v>
      </c>
      <c r="B392" s="2">
        <v>46199</v>
      </c>
      <c r="C392" s="4"/>
      <c r="D392" s="18"/>
      <c r="E392" s="4">
        <f t="shared" si="133"/>
        <v>7438</v>
      </c>
      <c r="F392" s="4">
        <v>2</v>
      </c>
      <c r="G392" s="14">
        <f t="shared" si="125"/>
        <v>2.6888948642108095E-4</v>
      </c>
      <c r="H392" s="4"/>
      <c r="I392" s="4">
        <f t="shared" si="126"/>
        <v>7436</v>
      </c>
      <c r="J392" s="4">
        <v>213</v>
      </c>
      <c r="K392" s="4">
        <f t="shared" si="127"/>
        <v>6390</v>
      </c>
      <c r="L392" s="4">
        <v>0</v>
      </c>
      <c r="M392" s="4">
        <v>0</v>
      </c>
      <c r="N392" s="4">
        <f t="shared" si="134"/>
        <v>6390</v>
      </c>
      <c r="O392" s="14">
        <f t="shared" si="129"/>
        <v>0.85910190911535356</v>
      </c>
      <c r="P392" s="4">
        <v>20</v>
      </c>
      <c r="Q392" s="4">
        <f t="shared" si="130"/>
        <v>1000</v>
      </c>
      <c r="R392" s="4">
        <f t="shared" si="135"/>
        <v>1000000</v>
      </c>
      <c r="S392" s="4">
        <v>2918.26</v>
      </c>
      <c r="T392" s="4">
        <f t="shared" si="132"/>
        <v>58365.200000000004</v>
      </c>
      <c r="U392" s="4">
        <v>1820.94</v>
      </c>
      <c r="V392" s="4">
        <v>2400</v>
      </c>
    </row>
    <row r="393" spans="1:22" x14ac:dyDescent="0.35">
      <c r="A393" s="3">
        <v>70</v>
      </c>
      <c r="B393" s="2">
        <v>46200</v>
      </c>
      <c r="C393" s="4"/>
      <c r="D393" s="18"/>
      <c r="E393" s="4">
        <f t="shared" si="133"/>
        <v>7436</v>
      </c>
      <c r="F393" s="4">
        <v>2</v>
      </c>
      <c r="G393" s="14">
        <f t="shared" si="125"/>
        <v>2.6896180742334586E-4</v>
      </c>
      <c r="H393" s="4"/>
      <c r="I393" s="4">
        <f t="shared" si="126"/>
        <v>7434</v>
      </c>
      <c r="J393" s="4">
        <v>212</v>
      </c>
      <c r="K393" s="4">
        <f t="shared" si="127"/>
        <v>6360</v>
      </c>
      <c r="L393" s="4">
        <v>0</v>
      </c>
      <c r="M393" s="4">
        <v>0</v>
      </c>
      <c r="N393" s="4">
        <f t="shared" si="134"/>
        <v>6360</v>
      </c>
      <c r="O393" s="14">
        <f t="shared" si="129"/>
        <v>0.85529854760623991</v>
      </c>
      <c r="P393" s="4">
        <v>20</v>
      </c>
      <c r="Q393" s="4">
        <f t="shared" si="130"/>
        <v>1000</v>
      </c>
      <c r="R393" s="4">
        <f t="shared" si="135"/>
        <v>1000000</v>
      </c>
      <c r="S393" s="4">
        <v>2918.26</v>
      </c>
      <c r="T393" s="4">
        <f t="shared" si="132"/>
        <v>58365.200000000004</v>
      </c>
      <c r="U393" s="4">
        <v>1820.94</v>
      </c>
      <c r="V393" s="4">
        <v>2700</v>
      </c>
    </row>
    <row r="394" spans="1:22" x14ac:dyDescent="0.35">
      <c r="A394" s="3">
        <v>70</v>
      </c>
      <c r="B394" s="2">
        <v>46201</v>
      </c>
      <c r="C394" s="4"/>
      <c r="D394" s="18"/>
      <c r="E394" s="4">
        <f t="shared" si="133"/>
        <v>7434</v>
      </c>
      <c r="F394" s="4">
        <v>3</v>
      </c>
      <c r="G394" s="14">
        <f t="shared" si="125"/>
        <v>4.0355125100887811E-4</v>
      </c>
      <c r="H394" s="4"/>
      <c r="I394" s="4">
        <f t="shared" si="126"/>
        <v>7431</v>
      </c>
      <c r="J394" s="4">
        <v>210</v>
      </c>
      <c r="K394" s="4">
        <f t="shared" si="127"/>
        <v>6300</v>
      </c>
      <c r="L394" s="4">
        <v>0</v>
      </c>
      <c r="M394" s="4">
        <v>0</v>
      </c>
      <c r="N394" s="4">
        <f t="shared" si="134"/>
        <v>6300</v>
      </c>
      <c r="O394" s="14">
        <f t="shared" si="129"/>
        <v>0.84745762711864403</v>
      </c>
      <c r="P394" s="4">
        <v>20</v>
      </c>
      <c r="Q394" s="4">
        <f t="shared" si="130"/>
        <v>1000</v>
      </c>
      <c r="R394" s="4">
        <f t="shared" si="135"/>
        <v>1000000</v>
      </c>
      <c r="S394" s="4">
        <v>2918.26</v>
      </c>
      <c r="T394" s="4">
        <f t="shared" si="132"/>
        <v>58365.200000000004</v>
      </c>
      <c r="U394" s="4">
        <v>1820.94</v>
      </c>
      <c r="V394" s="4">
        <v>2800</v>
      </c>
    </row>
    <row r="395" spans="1:22" x14ac:dyDescent="0.35">
      <c r="A395" s="3">
        <v>70</v>
      </c>
      <c r="B395" s="2">
        <v>46202</v>
      </c>
      <c r="C395" s="4"/>
      <c r="D395" s="18"/>
      <c r="E395" s="4">
        <f t="shared" si="133"/>
        <v>7431</v>
      </c>
      <c r="F395" s="4">
        <v>2</v>
      </c>
      <c r="G395" s="14">
        <f t="shared" si="125"/>
        <v>2.6914278024491994E-4</v>
      </c>
      <c r="H395" s="4"/>
      <c r="I395" s="4">
        <f t="shared" si="126"/>
        <v>7429</v>
      </c>
      <c r="J395" s="4">
        <v>212</v>
      </c>
      <c r="K395" s="4">
        <f t="shared" si="127"/>
        <v>6360</v>
      </c>
      <c r="L395" s="4">
        <v>0</v>
      </c>
      <c r="M395" s="4">
        <v>0</v>
      </c>
      <c r="N395" s="4">
        <f t="shared" si="134"/>
        <v>6360</v>
      </c>
      <c r="O395" s="14">
        <f t="shared" si="129"/>
        <v>0.85587404117884536</v>
      </c>
      <c r="P395" s="4">
        <v>20</v>
      </c>
      <c r="Q395" s="4">
        <f t="shared" si="130"/>
        <v>1000</v>
      </c>
      <c r="R395" s="4">
        <f t="shared" si="135"/>
        <v>1000000</v>
      </c>
      <c r="S395" s="4">
        <v>2918.26</v>
      </c>
      <c r="T395" s="4">
        <f t="shared" si="132"/>
        <v>58365.200000000004</v>
      </c>
      <c r="U395" s="4">
        <v>1820.94</v>
      </c>
      <c r="V395" s="4">
        <v>2900</v>
      </c>
    </row>
    <row r="396" spans="1:22" x14ac:dyDescent="0.35">
      <c r="A396" s="3">
        <v>71</v>
      </c>
      <c r="B396" s="2">
        <v>46203</v>
      </c>
      <c r="C396" s="4"/>
      <c r="D396" s="18"/>
      <c r="E396" s="4">
        <f t="shared" si="133"/>
        <v>7429</v>
      </c>
      <c r="F396" s="4">
        <v>4</v>
      </c>
      <c r="G396" s="14">
        <f t="shared" si="125"/>
        <v>5.3843047516489431E-4</v>
      </c>
      <c r="H396" s="4"/>
      <c r="I396" s="4">
        <f t="shared" si="126"/>
        <v>7425</v>
      </c>
      <c r="J396" s="4">
        <v>214</v>
      </c>
      <c r="K396" s="4">
        <f t="shared" si="127"/>
        <v>6420</v>
      </c>
      <c r="L396" s="4">
        <v>0</v>
      </c>
      <c r="M396" s="4">
        <v>0</v>
      </c>
      <c r="N396" s="4">
        <f t="shared" si="134"/>
        <v>6420</v>
      </c>
      <c r="O396" s="14">
        <f t="shared" si="129"/>
        <v>0.86418091263965535</v>
      </c>
      <c r="P396" s="4">
        <v>20</v>
      </c>
      <c r="Q396" s="4">
        <f t="shared" si="130"/>
        <v>1000</v>
      </c>
      <c r="R396" s="4">
        <f t="shared" si="135"/>
        <v>1000000</v>
      </c>
      <c r="S396" s="4">
        <v>2918.26</v>
      </c>
      <c r="T396" s="4">
        <f t="shared" si="132"/>
        <v>58365.200000000004</v>
      </c>
      <c r="U396" s="4">
        <v>1820.94</v>
      </c>
      <c r="V396" s="4">
        <v>2600</v>
      </c>
    </row>
    <row r="397" spans="1:22" x14ac:dyDescent="0.35">
      <c r="A397" s="3"/>
      <c r="B397" s="23"/>
      <c r="C397" s="4"/>
      <c r="D397" s="18"/>
      <c r="E397" s="4"/>
      <c r="F397" s="4"/>
      <c r="G397" s="14"/>
      <c r="H397" s="4"/>
      <c r="I397" s="4"/>
      <c r="J397" s="4"/>
      <c r="K397" s="4"/>
      <c r="L397" s="4"/>
      <c r="M397" s="4"/>
      <c r="N397" s="4"/>
      <c r="O397" s="14"/>
      <c r="P397" s="4"/>
      <c r="Q397" s="4"/>
      <c r="R397" s="4"/>
      <c r="S397" s="22"/>
      <c r="T397" s="4"/>
      <c r="U397" s="4"/>
      <c r="V397" s="4"/>
    </row>
    <row r="398" spans="1:22" x14ac:dyDescent="0.35">
      <c r="A398" s="3"/>
      <c r="B398" s="23"/>
      <c r="C398" s="4"/>
      <c r="D398" s="18"/>
      <c r="E398" s="4"/>
      <c r="F398" s="4"/>
      <c r="G398" s="14"/>
      <c r="H398" s="4"/>
      <c r="I398" s="4"/>
      <c r="J398" s="4"/>
      <c r="K398" s="4"/>
      <c r="L398" s="4"/>
      <c r="M398" s="4"/>
      <c r="N398" s="4"/>
      <c r="O398" s="14"/>
      <c r="P398" s="4"/>
      <c r="Q398" s="4"/>
      <c r="R398" s="4"/>
      <c r="S398" s="22"/>
      <c r="T398" s="4"/>
      <c r="U398" s="4"/>
      <c r="V398" s="4"/>
    </row>
    <row r="399" spans="1:22" x14ac:dyDescent="0.35">
      <c r="A399" s="1" t="s">
        <v>20</v>
      </c>
      <c r="B399" s="37" t="s">
        <v>1</v>
      </c>
      <c r="C399" s="38" t="s">
        <v>19</v>
      </c>
      <c r="D399" s="38" t="s">
        <v>18</v>
      </c>
      <c r="E399" s="39" t="s">
        <v>2</v>
      </c>
      <c r="F399" s="40" t="s">
        <v>3</v>
      </c>
      <c r="G399" s="41" t="s">
        <v>4</v>
      </c>
      <c r="H399" s="40" t="s">
        <v>5</v>
      </c>
      <c r="I399" s="9" t="s">
        <v>6</v>
      </c>
      <c r="J399" s="10" t="s">
        <v>7</v>
      </c>
      <c r="K399" s="7" t="s">
        <v>8</v>
      </c>
      <c r="L399" s="7" t="s">
        <v>9</v>
      </c>
      <c r="M399" s="7" t="s">
        <v>10</v>
      </c>
      <c r="N399" s="7" t="s">
        <v>11</v>
      </c>
      <c r="O399" s="35" t="s">
        <v>12</v>
      </c>
      <c r="P399" s="10" t="s">
        <v>13</v>
      </c>
      <c r="Q399" s="7" t="s">
        <v>14</v>
      </c>
      <c r="R399" s="11" t="s">
        <v>15</v>
      </c>
      <c r="S399" s="12" t="s">
        <v>16</v>
      </c>
      <c r="T399" s="13" t="s">
        <v>17</v>
      </c>
      <c r="U399" s="36" t="s">
        <v>22</v>
      </c>
      <c r="V399" s="36" t="s">
        <v>24</v>
      </c>
    </row>
    <row r="400" spans="1:22" x14ac:dyDescent="0.35">
      <c r="A400" s="3">
        <v>71</v>
      </c>
      <c r="B400" s="2">
        <v>46204</v>
      </c>
      <c r="C400" s="18"/>
      <c r="D400" s="18"/>
      <c r="E400" s="4">
        <v>7425</v>
      </c>
      <c r="F400" s="4">
        <v>3</v>
      </c>
      <c r="G400" s="14">
        <f t="shared" ref="G400:G430" si="136">F400/E400</f>
        <v>4.0404040404040404E-4</v>
      </c>
      <c r="H400" s="4"/>
      <c r="I400" s="4">
        <f t="shared" ref="I400:I430" si="137">E400-F400-H400</f>
        <v>7422</v>
      </c>
      <c r="J400" s="4">
        <v>212</v>
      </c>
      <c r="K400" s="4">
        <f t="shared" ref="K400:K430" si="138">J400*30</f>
        <v>6360</v>
      </c>
      <c r="L400" s="4">
        <v>0</v>
      </c>
      <c r="M400" s="4">
        <v>0</v>
      </c>
      <c r="N400" s="4">
        <f t="shared" ref="N400:N430" si="139">K400+L400-M400</f>
        <v>6360</v>
      </c>
      <c r="O400" s="14">
        <f t="shared" ref="O400:O403" si="140">N400/E400</f>
        <v>0.85656565656565653</v>
      </c>
      <c r="P400" s="4">
        <v>20</v>
      </c>
      <c r="Q400" s="4">
        <f t="shared" ref="Q400:Q430" si="141">P400*50</f>
        <v>1000</v>
      </c>
      <c r="R400" s="4">
        <f t="shared" ref="R400:R430" si="142">Q400*1000</f>
        <v>1000000</v>
      </c>
      <c r="S400" s="4">
        <v>2918.26</v>
      </c>
      <c r="T400" s="4">
        <f t="shared" ref="T400:T430" si="143">P400*S400</f>
        <v>58365.200000000004</v>
      </c>
      <c r="U400" s="4">
        <v>1820.94</v>
      </c>
      <c r="V400" s="4">
        <v>2600</v>
      </c>
    </row>
    <row r="401" spans="1:22" x14ac:dyDescent="0.35">
      <c r="A401" s="3">
        <v>71</v>
      </c>
      <c r="B401" s="2">
        <v>46205</v>
      </c>
      <c r="C401" s="4"/>
      <c r="D401" s="18"/>
      <c r="E401" s="4">
        <f>I400</f>
        <v>7422</v>
      </c>
      <c r="F401" s="4">
        <v>3</v>
      </c>
      <c r="G401" s="14">
        <f t="shared" si="136"/>
        <v>4.0420371867421178E-4</v>
      </c>
      <c r="H401" s="4"/>
      <c r="I401" s="4">
        <f t="shared" si="137"/>
        <v>7419</v>
      </c>
      <c r="J401" s="4">
        <v>212</v>
      </c>
      <c r="K401" s="4">
        <f t="shared" si="138"/>
        <v>6360</v>
      </c>
      <c r="L401" s="4">
        <v>0</v>
      </c>
      <c r="M401" s="4">
        <v>0</v>
      </c>
      <c r="N401" s="4">
        <f t="shared" si="139"/>
        <v>6360</v>
      </c>
      <c r="O401" s="14">
        <f t="shared" si="140"/>
        <v>0.85691188358932902</v>
      </c>
      <c r="P401" s="4">
        <v>20</v>
      </c>
      <c r="Q401" s="4">
        <f t="shared" si="141"/>
        <v>1000</v>
      </c>
      <c r="R401" s="4">
        <f t="shared" si="142"/>
        <v>1000000</v>
      </c>
      <c r="S401" s="4">
        <v>2810.11</v>
      </c>
      <c r="T401" s="4">
        <f t="shared" si="143"/>
        <v>56202.200000000004</v>
      </c>
      <c r="U401" s="4">
        <v>1820.94</v>
      </c>
      <c r="V401" s="4">
        <v>2600</v>
      </c>
    </row>
    <row r="402" spans="1:22" x14ac:dyDescent="0.35">
      <c r="A402" s="3">
        <v>71</v>
      </c>
      <c r="B402" s="2">
        <v>46206</v>
      </c>
      <c r="C402" s="4"/>
      <c r="D402" s="18"/>
      <c r="E402" s="4">
        <f>I401</f>
        <v>7419</v>
      </c>
      <c r="F402" s="4">
        <v>2</v>
      </c>
      <c r="G402" s="14">
        <f t="shared" si="136"/>
        <v>2.6957811025744708E-4</v>
      </c>
      <c r="H402" s="4"/>
      <c r="I402" s="4">
        <f t="shared" si="137"/>
        <v>7417</v>
      </c>
      <c r="J402" s="4">
        <v>213</v>
      </c>
      <c r="K402" s="4">
        <f t="shared" si="138"/>
        <v>6390</v>
      </c>
      <c r="L402" s="4">
        <v>0</v>
      </c>
      <c r="M402" s="4">
        <v>0</v>
      </c>
      <c r="N402" s="4">
        <f t="shared" si="139"/>
        <v>6390</v>
      </c>
      <c r="O402" s="14">
        <f t="shared" si="140"/>
        <v>0.86130206227254347</v>
      </c>
      <c r="P402" s="4">
        <v>20</v>
      </c>
      <c r="Q402" s="4">
        <f t="shared" si="141"/>
        <v>1000</v>
      </c>
      <c r="R402" s="4">
        <f t="shared" si="142"/>
        <v>1000000</v>
      </c>
      <c r="S402" s="4">
        <v>2810.11</v>
      </c>
      <c r="T402" s="4">
        <f t="shared" si="143"/>
        <v>56202.200000000004</v>
      </c>
      <c r="U402" s="4">
        <v>1820.94</v>
      </c>
      <c r="V402" s="4">
        <v>2700</v>
      </c>
    </row>
    <row r="403" spans="1:22" x14ac:dyDescent="0.35">
      <c r="A403" s="4">
        <v>71</v>
      </c>
      <c r="B403" s="2">
        <v>46207</v>
      </c>
      <c r="C403" s="4"/>
      <c r="D403" s="18"/>
      <c r="E403" s="4">
        <f t="shared" ref="E403:E429" si="144">I402</f>
        <v>7417</v>
      </c>
      <c r="F403" s="4">
        <v>2</v>
      </c>
      <c r="G403" s="52">
        <f t="shared" si="136"/>
        <v>2.6965080221113657E-4</v>
      </c>
      <c r="H403" s="4"/>
      <c r="I403" s="4">
        <f t="shared" si="137"/>
        <v>7415</v>
      </c>
      <c r="J403" s="4">
        <v>213</v>
      </c>
      <c r="K403" s="4">
        <f t="shared" si="138"/>
        <v>6390</v>
      </c>
      <c r="L403" s="4">
        <v>0</v>
      </c>
      <c r="M403" s="4">
        <v>0</v>
      </c>
      <c r="N403" s="4">
        <f t="shared" si="139"/>
        <v>6390</v>
      </c>
      <c r="O403" s="52">
        <f t="shared" si="140"/>
        <v>0.86153431306458139</v>
      </c>
      <c r="P403" s="4">
        <v>20</v>
      </c>
      <c r="Q403" s="4">
        <f t="shared" si="141"/>
        <v>1000</v>
      </c>
      <c r="R403" s="4">
        <f t="shared" si="142"/>
        <v>1000000</v>
      </c>
      <c r="S403" s="4">
        <v>2827.36</v>
      </c>
      <c r="T403" s="4">
        <f t="shared" si="143"/>
        <v>56547.200000000004</v>
      </c>
      <c r="U403" s="4">
        <v>1820.94</v>
      </c>
      <c r="V403" s="4">
        <v>2900</v>
      </c>
    </row>
    <row r="404" spans="1:22" x14ac:dyDescent="0.35">
      <c r="A404" s="3">
        <v>71</v>
      </c>
      <c r="B404" s="2">
        <v>46208</v>
      </c>
      <c r="C404" s="19"/>
      <c r="D404" s="19"/>
      <c r="E404" s="4">
        <f t="shared" si="144"/>
        <v>7415</v>
      </c>
      <c r="F404" s="4">
        <v>3</v>
      </c>
      <c r="G404" s="14">
        <f t="shared" si="136"/>
        <v>4.0458530006743087E-4</v>
      </c>
      <c r="H404" s="7"/>
      <c r="I404" s="4">
        <f t="shared" si="137"/>
        <v>7412</v>
      </c>
      <c r="J404" s="4">
        <v>212</v>
      </c>
      <c r="K404" s="4">
        <f t="shared" si="138"/>
        <v>6360</v>
      </c>
      <c r="L404" s="4">
        <v>0</v>
      </c>
      <c r="M404" s="4">
        <v>0</v>
      </c>
      <c r="N404" s="4">
        <f t="shared" si="139"/>
        <v>6360</v>
      </c>
      <c r="O404" s="14">
        <f t="shared" ref="O404:O430" si="145">N404/E404</f>
        <v>0.85772083614295347</v>
      </c>
      <c r="P404" s="4">
        <v>20</v>
      </c>
      <c r="Q404" s="4">
        <f t="shared" si="141"/>
        <v>1000</v>
      </c>
      <c r="R404" s="4">
        <f t="shared" si="142"/>
        <v>1000000</v>
      </c>
      <c r="S404" s="4">
        <v>2827.36</v>
      </c>
      <c r="T404" s="4">
        <f t="shared" si="143"/>
        <v>56547.200000000004</v>
      </c>
      <c r="U404" s="4">
        <v>1820.94</v>
      </c>
      <c r="V404" s="4">
        <v>2700</v>
      </c>
    </row>
    <row r="405" spans="1:22" x14ac:dyDescent="0.35">
      <c r="A405" s="3">
        <v>71</v>
      </c>
      <c r="B405" s="2">
        <v>46209</v>
      </c>
      <c r="C405" s="4"/>
      <c r="D405" s="18"/>
      <c r="E405" s="4">
        <f t="shared" si="144"/>
        <v>7412</v>
      </c>
      <c r="F405" s="4">
        <v>2</v>
      </c>
      <c r="G405" s="14">
        <f t="shared" si="136"/>
        <v>2.6983270372369131E-4</v>
      </c>
      <c r="H405" s="4"/>
      <c r="I405" s="4">
        <f t="shared" si="137"/>
        <v>7410</v>
      </c>
      <c r="J405" s="4">
        <v>211</v>
      </c>
      <c r="K405" s="4">
        <f t="shared" si="138"/>
        <v>6330</v>
      </c>
      <c r="L405" s="4">
        <v>0</v>
      </c>
      <c r="M405" s="4">
        <v>0</v>
      </c>
      <c r="N405" s="4">
        <f t="shared" si="139"/>
        <v>6330</v>
      </c>
      <c r="O405" s="14">
        <f t="shared" si="145"/>
        <v>0.85402050728548295</v>
      </c>
      <c r="P405" s="4">
        <v>20</v>
      </c>
      <c r="Q405" s="4">
        <f t="shared" si="141"/>
        <v>1000</v>
      </c>
      <c r="R405" s="4">
        <f t="shared" si="142"/>
        <v>1000000</v>
      </c>
      <c r="S405" s="4">
        <v>2827.36</v>
      </c>
      <c r="T405" s="4">
        <f t="shared" si="143"/>
        <v>56547.200000000004</v>
      </c>
      <c r="U405" s="4">
        <v>1820.94</v>
      </c>
      <c r="V405" s="4">
        <v>2700</v>
      </c>
    </row>
    <row r="406" spans="1:22" x14ac:dyDescent="0.35">
      <c r="A406" s="3">
        <v>72</v>
      </c>
      <c r="B406" s="2">
        <v>46210</v>
      </c>
      <c r="C406" s="4"/>
      <c r="D406" s="18"/>
      <c r="E406" s="4">
        <f t="shared" si="144"/>
        <v>7410</v>
      </c>
      <c r="F406" s="4">
        <v>3</v>
      </c>
      <c r="G406" s="14">
        <f t="shared" si="136"/>
        <v>4.0485829959514168E-4</v>
      </c>
      <c r="H406" s="4"/>
      <c r="I406" s="4">
        <f t="shared" si="137"/>
        <v>7407</v>
      </c>
      <c r="J406" s="4">
        <v>211</v>
      </c>
      <c r="K406" s="4">
        <f t="shared" si="138"/>
        <v>6330</v>
      </c>
      <c r="L406" s="4">
        <v>0</v>
      </c>
      <c r="M406" s="4">
        <v>0</v>
      </c>
      <c r="N406" s="4">
        <f t="shared" si="139"/>
        <v>6330</v>
      </c>
      <c r="O406" s="14">
        <f t="shared" si="145"/>
        <v>0.85425101214574894</v>
      </c>
      <c r="P406" s="4">
        <v>20</v>
      </c>
      <c r="Q406" s="4">
        <f t="shared" si="141"/>
        <v>1000</v>
      </c>
      <c r="R406" s="4">
        <f t="shared" si="142"/>
        <v>1000000</v>
      </c>
      <c r="S406" s="4">
        <v>2827.36</v>
      </c>
      <c r="T406" s="4">
        <f t="shared" si="143"/>
        <v>56547.200000000004</v>
      </c>
      <c r="U406" s="4">
        <v>1820.94</v>
      </c>
      <c r="V406" s="4">
        <v>2900</v>
      </c>
    </row>
    <row r="407" spans="1:22" x14ac:dyDescent="0.35">
      <c r="A407" s="3">
        <v>72</v>
      </c>
      <c r="B407" s="2">
        <v>46211</v>
      </c>
      <c r="C407" s="4"/>
      <c r="D407" s="18"/>
      <c r="E407" s="4">
        <f t="shared" si="144"/>
        <v>7407</v>
      </c>
      <c r="F407" s="4">
        <v>2</v>
      </c>
      <c r="G407" s="14">
        <f t="shared" si="136"/>
        <v>2.700148508167949E-4</v>
      </c>
      <c r="H407" s="4"/>
      <c r="I407" s="4">
        <f t="shared" si="137"/>
        <v>7405</v>
      </c>
      <c r="J407" s="4">
        <v>208</v>
      </c>
      <c r="K407" s="4">
        <f t="shared" si="138"/>
        <v>6240</v>
      </c>
      <c r="L407" s="4">
        <v>0</v>
      </c>
      <c r="M407" s="4">
        <v>0</v>
      </c>
      <c r="N407" s="4">
        <f t="shared" si="139"/>
        <v>6240</v>
      </c>
      <c r="O407" s="14">
        <f t="shared" si="145"/>
        <v>0.84244633454840012</v>
      </c>
      <c r="P407" s="4">
        <v>20</v>
      </c>
      <c r="Q407" s="4">
        <f t="shared" si="141"/>
        <v>1000</v>
      </c>
      <c r="R407" s="4">
        <f t="shared" si="142"/>
        <v>1000000</v>
      </c>
      <c r="S407" s="4">
        <v>2827.36</v>
      </c>
      <c r="T407" s="4">
        <f t="shared" si="143"/>
        <v>56547.200000000004</v>
      </c>
      <c r="U407" s="4">
        <v>1820.94</v>
      </c>
      <c r="V407" s="4">
        <v>2900</v>
      </c>
    </row>
    <row r="408" spans="1:22" x14ac:dyDescent="0.35">
      <c r="A408" s="3">
        <v>72</v>
      </c>
      <c r="B408" s="2">
        <v>46212</v>
      </c>
      <c r="C408" s="4"/>
      <c r="D408" s="18"/>
      <c r="E408" s="4">
        <f t="shared" si="144"/>
        <v>7405</v>
      </c>
      <c r="F408" s="4">
        <v>2</v>
      </c>
      <c r="G408" s="14">
        <f t="shared" si="136"/>
        <v>2.7008777852802158E-4</v>
      </c>
      <c r="H408" s="4"/>
      <c r="I408" s="4">
        <f t="shared" si="137"/>
        <v>7403</v>
      </c>
      <c r="J408" s="4">
        <v>208</v>
      </c>
      <c r="K408" s="4">
        <f t="shared" si="138"/>
        <v>6240</v>
      </c>
      <c r="L408" s="4">
        <v>0</v>
      </c>
      <c r="M408" s="4">
        <v>0</v>
      </c>
      <c r="N408" s="4">
        <f t="shared" si="139"/>
        <v>6240</v>
      </c>
      <c r="O408" s="14">
        <f t="shared" si="145"/>
        <v>0.84267386900742747</v>
      </c>
      <c r="P408" s="4">
        <v>20</v>
      </c>
      <c r="Q408" s="4">
        <f t="shared" si="141"/>
        <v>1000</v>
      </c>
      <c r="R408" s="4">
        <f t="shared" si="142"/>
        <v>1000000</v>
      </c>
      <c r="S408" s="4">
        <v>2827.36</v>
      </c>
      <c r="T408" s="4">
        <f t="shared" si="143"/>
        <v>56547.200000000004</v>
      </c>
      <c r="U408" s="4">
        <v>1820.94</v>
      </c>
      <c r="V408" s="4">
        <v>2900</v>
      </c>
    </row>
    <row r="409" spans="1:22" x14ac:dyDescent="0.35">
      <c r="A409" s="3">
        <v>72</v>
      </c>
      <c r="B409" s="2">
        <v>46213</v>
      </c>
      <c r="C409" s="4"/>
      <c r="D409" s="18"/>
      <c r="E409" s="4">
        <f t="shared" si="144"/>
        <v>7403</v>
      </c>
      <c r="F409" s="4">
        <v>2</v>
      </c>
      <c r="G409" s="14">
        <f t="shared" si="136"/>
        <v>2.7016074564365796E-4</v>
      </c>
      <c r="H409" s="4"/>
      <c r="I409" s="4">
        <f t="shared" si="137"/>
        <v>7401</v>
      </c>
      <c r="J409" s="4">
        <v>207</v>
      </c>
      <c r="K409" s="4">
        <f t="shared" si="138"/>
        <v>6210</v>
      </c>
      <c r="L409" s="4">
        <v>0</v>
      </c>
      <c r="M409" s="4">
        <v>0</v>
      </c>
      <c r="N409" s="4">
        <f t="shared" si="139"/>
        <v>6210</v>
      </c>
      <c r="O409" s="14">
        <f t="shared" si="145"/>
        <v>0.83884911522355798</v>
      </c>
      <c r="P409" s="4">
        <v>20</v>
      </c>
      <c r="Q409" s="4">
        <f t="shared" si="141"/>
        <v>1000</v>
      </c>
      <c r="R409" s="4">
        <f t="shared" si="142"/>
        <v>1000000</v>
      </c>
      <c r="S409" s="4">
        <v>2827.36</v>
      </c>
      <c r="T409" s="4">
        <f t="shared" si="143"/>
        <v>56547.200000000004</v>
      </c>
      <c r="U409" s="4">
        <v>1820.94</v>
      </c>
      <c r="V409" s="4">
        <v>3000</v>
      </c>
    </row>
    <row r="410" spans="1:22" x14ac:dyDescent="0.35">
      <c r="A410" s="3">
        <v>72</v>
      </c>
      <c r="B410" s="2">
        <v>46214</v>
      </c>
      <c r="C410" s="4"/>
      <c r="D410" s="18"/>
      <c r="E410" s="4">
        <f t="shared" si="144"/>
        <v>7401</v>
      </c>
      <c r="F410" s="4">
        <v>1</v>
      </c>
      <c r="G410" s="14">
        <f t="shared" si="136"/>
        <v>1.3511687609782462E-4</v>
      </c>
      <c r="H410" s="4"/>
      <c r="I410" s="4">
        <f t="shared" si="137"/>
        <v>7400</v>
      </c>
      <c r="J410" s="4">
        <v>207</v>
      </c>
      <c r="K410" s="4">
        <f t="shared" si="138"/>
        <v>6210</v>
      </c>
      <c r="L410" s="4">
        <v>0</v>
      </c>
      <c r="M410" s="4">
        <v>0</v>
      </c>
      <c r="N410" s="4">
        <f t="shared" si="139"/>
        <v>6210</v>
      </c>
      <c r="O410" s="14">
        <f t="shared" si="145"/>
        <v>0.83907580056749087</v>
      </c>
      <c r="P410" s="4">
        <v>20</v>
      </c>
      <c r="Q410" s="4">
        <f t="shared" si="141"/>
        <v>1000</v>
      </c>
      <c r="R410" s="4">
        <f t="shared" si="142"/>
        <v>1000000</v>
      </c>
      <c r="S410" s="4">
        <v>2827.36</v>
      </c>
      <c r="T410" s="4">
        <f t="shared" si="143"/>
        <v>56547.200000000004</v>
      </c>
      <c r="U410" s="4">
        <v>1820.94</v>
      </c>
      <c r="V410" s="4">
        <v>3000</v>
      </c>
    </row>
    <row r="411" spans="1:22" x14ac:dyDescent="0.35">
      <c r="A411" s="3">
        <v>72</v>
      </c>
      <c r="B411" s="2">
        <v>46215</v>
      </c>
      <c r="C411" s="4"/>
      <c r="D411" s="18"/>
      <c r="E411" s="4">
        <f t="shared" si="144"/>
        <v>7400</v>
      </c>
      <c r="F411" s="4">
        <v>3</v>
      </c>
      <c r="G411" s="14">
        <f t="shared" si="136"/>
        <v>4.0540540540540538E-4</v>
      </c>
      <c r="H411" s="4"/>
      <c r="I411" s="4">
        <f t="shared" si="137"/>
        <v>7397</v>
      </c>
      <c r="J411" s="4">
        <v>205</v>
      </c>
      <c r="K411" s="4">
        <f t="shared" si="138"/>
        <v>6150</v>
      </c>
      <c r="L411" s="4">
        <v>0</v>
      </c>
      <c r="M411" s="4">
        <v>0</v>
      </c>
      <c r="N411" s="4">
        <f t="shared" si="139"/>
        <v>6150</v>
      </c>
      <c r="O411" s="14">
        <f t="shared" si="145"/>
        <v>0.83108108108108103</v>
      </c>
      <c r="P411" s="4">
        <v>20</v>
      </c>
      <c r="Q411" s="4">
        <f t="shared" si="141"/>
        <v>1000</v>
      </c>
      <c r="R411" s="4">
        <f t="shared" si="142"/>
        <v>1000000</v>
      </c>
      <c r="S411" s="4">
        <v>2827.36</v>
      </c>
      <c r="T411" s="4">
        <f t="shared" si="143"/>
        <v>56547.200000000004</v>
      </c>
      <c r="U411" s="4">
        <v>1820.94</v>
      </c>
      <c r="V411" s="4">
        <v>2900</v>
      </c>
    </row>
    <row r="412" spans="1:22" x14ac:dyDescent="0.35">
      <c r="A412" s="3">
        <v>72</v>
      </c>
      <c r="B412" s="2">
        <v>46216</v>
      </c>
      <c r="C412" s="4"/>
      <c r="D412" s="18"/>
      <c r="E412" s="4">
        <f t="shared" si="144"/>
        <v>7397</v>
      </c>
      <c r="F412" s="4">
        <v>3</v>
      </c>
      <c r="G412" s="14">
        <f t="shared" si="136"/>
        <v>4.05569825604975E-4</v>
      </c>
      <c r="H412" s="4"/>
      <c r="I412" s="4">
        <f t="shared" si="137"/>
        <v>7394</v>
      </c>
      <c r="J412" s="4">
        <v>207</v>
      </c>
      <c r="K412" s="4">
        <f t="shared" si="138"/>
        <v>6210</v>
      </c>
      <c r="L412" s="4">
        <v>0</v>
      </c>
      <c r="M412" s="4">
        <v>0</v>
      </c>
      <c r="N412" s="4">
        <f t="shared" si="139"/>
        <v>6210</v>
      </c>
      <c r="O412" s="14">
        <f t="shared" si="145"/>
        <v>0.83952953900229821</v>
      </c>
      <c r="P412" s="4">
        <v>20</v>
      </c>
      <c r="Q412" s="4">
        <f t="shared" si="141"/>
        <v>1000</v>
      </c>
      <c r="R412" s="4">
        <f t="shared" si="142"/>
        <v>1000000</v>
      </c>
      <c r="S412" s="4">
        <v>2827.36</v>
      </c>
      <c r="T412" s="4">
        <f t="shared" si="143"/>
        <v>56547.200000000004</v>
      </c>
      <c r="U412" s="4">
        <v>1820.94</v>
      </c>
      <c r="V412" s="4">
        <v>2900</v>
      </c>
    </row>
    <row r="413" spans="1:22" x14ac:dyDescent="0.35">
      <c r="A413" s="3">
        <v>73</v>
      </c>
      <c r="B413" s="2">
        <v>46217</v>
      </c>
      <c r="C413" s="4"/>
      <c r="D413" s="18"/>
      <c r="E413" s="4">
        <f t="shared" si="144"/>
        <v>7394</v>
      </c>
      <c r="F413" s="4">
        <v>2</v>
      </c>
      <c r="G413" s="14">
        <f t="shared" si="136"/>
        <v>2.7048958615093319E-4</v>
      </c>
      <c r="H413" s="4"/>
      <c r="I413" s="4">
        <f t="shared" si="137"/>
        <v>7392</v>
      </c>
      <c r="J413" s="4">
        <v>207</v>
      </c>
      <c r="K413" s="4">
        <f t="shared" si="138"/>
        <v>6210</v>
      </c>
      <c r="L413" s="4">
        <v>0</v>
      </c>
      <c r="M413" s="4">
        <v>0</v>
      </c>
      <c r="N413" s="4">
        <f t="shared" si="139"/>
        <v>6210</v>
      </c>
      <c r="O413" s="14">
        <f t="shared" si="145"/>
        <v>0.83987016499864753</v>
      </c>
      <c r="P413" s="4">
        <v>20</v>
      </c>
      <c r="Q413" s="4">
        <f t="shared" si="141"/>
        <v>1000</v>
      </c>
      <c r="R413" s="4">
        <f t="shared" si="142"/>
        <v>1000000</v>
      </c>
      <c r="S413" s="4">
        <v>2827.36</v>
      </c>
      <c r="T413" s="4">
        <f t="shared" si="143"/>
        <v>56547.200000000004</v>
      </c>
      <c r="U413" s="4">
        <v>1820.94</v>
      </c>
      <c r="V413" s="4">
        <v>3000</v>
      </c>
    </row>
    <row r="414" spans="1:22" x14ac:dyDescent="0.35">
      <c r="A414" s="3">
        <v>73</v>
      </c>
      <c r="B414" s="2">
        <v>46218</v>
      </c>
      <c r="C414" s="4"/>
      <c r="D414" s="18"/>
      <c r="E414" s="4">
        <f t="shared" si="144"/>
        <v>7392</v>
      </c>
      <c r="F414" s="4">
        <v>2</v>
      </c>
      <c r="G414" s="14">
        <f t="shared" si="136"/>
        <v>2.7056277056277056E-4</v>
      </c>
      <c r="H414" s="4"/>
      <c r="I414" s="4">
        <f t="shared" si="137"/>
        <v>7390</v>
      </c>
      <c r="J414" s="4">
        <v>207</v>
      </c>
      <c r="K414" s="4">
        <f t="shared" si="138"/>
        <v>6210</v>
      </c>
      <c r="L414" s="4">
        <v>0</v>
      </c>
      <c r="M414" s="4">
        <v>0</v>
      </c>
      <c r="N414" s="4">
        <f t="shared" si="139"/>
        <v>6210</v>
      </c>
      <c r="O414" s="14">
        <f t="shared" si="145"/>
        <v>0.84009740259740262</v>
      </c>
      <c r="P414" s="4">
        <v>20</v>
      </c>
      <c r="Q414" s="4">
        <f t="shared" si="141"/>
        <v>1000</v>
      </c>
      <c r="R414" s="4">
        <f t="shared" si="142"/>
        <v>1000000</v>
      </c>
      <c r="S414" s="4">
        <v>2838.96</v>
      </c>
      <c r="T414" s="4">
        <f t="shared" si="143"/>
        <v>56779.199999999997</v>
      </c>
      <c r="U414" s="4">
        <v>1820.94</v>
      </c>
      <c r="V414" s="4">
        <v>3200</v>
      </c>
    </row>
    <row r="415" spans="1:22" x14ac:dyDescent="0.35">
      <c r="A415" s="3">
        <v>73</v>
      </c>
      <c r="B415" s="2">
        <v>46219</v>
      </c>
      <c r="C415" s="4"/>
      <c r="D415" s="18"/>
      <c r="E415" s="4">
        <f t="shared" si="144"/>
        <v>7390</v>
      </c>
      <c r="F415" s="4">
        <v>2</v>
      </c>
      <c r="G415" s="14">
        <f t="shared" si="136"/>
        <v>2.7063599458728013E-4</v>
      </c>
      <c r="H415" s="4"/>
      <c r="I415" s="4">
        <f t="shared" si="137"/>
        <v>7388</v>
      </c>
      <c r="J415" s="4">
        <v>205</v>
      </c>
      <c r="K415" s="4">
        <f t="shared" si="138"/>
        <v>6150</v>
      </c>
      <c r="L415" s="4">
        <v>0</v>
      </c>
      <c r="M415" s="4">
        <v>0</v>
      </c>
      <c r="N415" s="4">
        <f t="shared" si="139"/>
        <v>6150</v>
      </c>
      <c r="O415" s="14">
        <f t="shared" si="145"/>
        <v>0.83220568335588629</v>
      </c>
      <c r="P415" s="4">
        <v>20</v>
      </c>
      <c r="Q415" s="4">
        <f t="shared" si="141"/>
        <v>1000</v>
      </c>
      <c r="R415" s="4">
        <f t="shared" si="142"/>
        <v>1000000</v>
      </c>
      <c r="S415" s="4">
        <v>2838.96</v>
      </c>
      <c r="T415" s="4">
        <f t="shared" si="143"/>
        <v>56779.199999999997</v>
      </c>
      <c r="U415" s="4">
        <v>1820.94</v>
      </c>
      <c r="V415" s="4">
        <v>3200</v>
      </c>
    </row>
    <row r="416" spans="1:22" x14ac:dyDescent="0.35">
      <c r="A416" s="3">
        <v>73</v>
      </c>
      <c r="B416" s="2">
        <v>46220</v>
      </c>
      <c r="C416" s="4"/>
      <c r="D416" s="18"/>
      <c r="E416" s="4">
        <f t="shared" si="144"/>
        <v>7388</v>
      </c>
      <c r="F416" s="4">
        <v>3</v>
      </c>
      <c r="G416" s="14">
        <f t="shared" si="136"/>
        <v>4.0606388738494858E-4</v>
      </c>
      <c r="H416" s="4"/>
      <c r="I416" s="4">
        <f t="shared" si="137"/>
        <v>7385</v>
      </c>
      <c r="J416" s="4">
        <v>204</v>
      </c>
      <c r="K416" s="4">
        <f t="shared" si="138"/>
        <v>6120</v>
      </c>
      <c r="L416" s="4">
        <v>0</v>
      </c>
      <c r="M416" s="4">
        <v>0</v>
      </c>
      <c r="N416" s="4">
        <f t="shared" si="139"/>
        <v>6120</v>
      </c>
      <c r="O416" s="14">
        <f t="shared" si="145"/>
        <v>0.82837033026529505</v>
      </c>
      <c r="P416" s="4">
        <v>20</v>
      </c>
      <c r="Q416" s="4">
        <f t="shared" si="141"/>
        <v>1000</v>
      </c>
      <c r="R416" s="4">
        <f t="shared" si="142"/>
        <v>1000000</v>
      </c>
      <c r="S416" s="4">
        <v>2838.96</v>
      </c>
      <c r="T416" s="4">
        <f t="shared" si="143"/>
        <v>56779.199999999997</v>
      </c>
      <c r="U416" s="4">
        <v>1820.94</v>
      </c>
      <c r="V416" s="4">
        <v>3200</v>
      </c>
    </row>
    <row r="417" spans="1:22" x14ac:dyDescent="0.35">
      <c r="A417" s="3">
        <v>73</v>
      </c>
      <c r="B417" s="2">
        <v>46221</v>
      </c>
      <c r="C417" s="4"/>
      <c r="D417" s="18"/>
      <c r="E417" s="4">
        <f t="shared" si="144"/>
        <v>7385</v>
      </c>
      <c r="F417" s="4">
        <v>2</v>
      </c>
      <c r="G417" s="14">
        <f t="shared" si="136"/>
        <v>2.7081922816519973E-4</v>
      </c>
      <c r="H417" s="4"/>
      <c r="I417" s="4">
        <f t="shared" si="137"/>
        <v>7383</v>
      </c>
      <c r="J417" s="4">
        <v>205</v>
      </c>
      <c r="K417" s="4">
        <f t="shared" si="138"/>
        <v>6150</v>
      </c>
      <c r="L417" s="4">
        <v>0</v>
      </c>
      <c r="M417" s="4">
        <v>0</v>
      </c>
      <c r="N417" s="4">
        <f t="shared" si="139"/>
        <v>6150</v>
      </c>
      <c r="O417" s="14">
        <f t="shared" si="145"/>
        <v>0.83276912660798919</v>
      </c>
      <c r="P417" s="4">
        <v>20</v>
      </c>
      <c r="Q417" s="4">
        <f t="shared" si="141"/>
        <v>1000</v>
      </c>
      <c r="R417" s="4">
        <f t="shared" si="142"/>
        <v>1000000</v>
      </c>
      <c r="S417" s="4">
        <v>2838.96</v>
      </c>
      <c r="T417" s="4">
        <f t="shared" si="143"/>
        <v>56779.199999999997</v>
      </c>
      <c r="U417" s="4">
        <v>1820.94</v>
      </c>
      <c r="V417" s="4">
        <v>2700</v>
      </c>
    </row>
    <row r="418" spans="1:22" x14ac:dyDescent="0.35">
      <c r="A418" s="3">
        <v>73</v>
      </c>
      <c r="B418" s="2">
        <v>46222</v>
      </c>
      <c r="C418" s="4"/>
      <c r="D418" s="18"/>
      <c r="E418" s="4">
        <f t="shared" si="144"/>
        <v>7383</v>
      </c>
      <c r="F418" s="4">
        <v>2</v>
      </c>
      <c r="G418" s="14">
        <f t="shared" si="136"/>
        <v>2.7089259108763376E-4</v>
      </c>
      <c r="H418" s="4"/>
      <c r="I418" s="4">
        <f t="shared" si="137"/>
        <v>7381</v>
      </c>
      <c r="J418" s="4">
        <v>203</v>
      </c>
      <c r="K418" s="4">
        <f t="shared" si="138"/>
        <v>6090</v>
      </c>
      <c r="L418" s="4">
        <v>0</v>
      </c>
      <c r="M418" s="4">
        <v>0</v>
      </c>
      <c r="N418" s="4">
        <f t="shared" si="139"/>
        <v>6090</v>
      </c>
      <c r="O418" s="14">
        <f t="shared" si="145"/>
        <v>0.82486793986184481</v>
      </c>
      <c r="P418" s="4">
        <v>20</v>
      </c>
      <c r="Q418" s="4">
        <f t="shared" si="141"/>
        <v>1000</v>
      </c>
      <c r="R418" s="4">
        <f t="shared" si="142"/>
        <v>1000000</v>
      </c>
      <c r="S418" s="4">
        <v>2838.96</v>
      </c>
      <c r="T418" s="4">
        <f t="shared" si="143"/>
        <v>56779.199999999997</v>
      </c>
      <c r="U418" s="4">
        <v>1820.94</v>
      </c>
      <c r="V418" s="4">
        <v>3300</v>
      </c>
    </row>
    <row r="419" spans="1:22" x14ac:dyDescent="0.35">
      <c r="A419" s="3">
        <v>73</v>
      </c>
      <c r="B419" s="2">
        <v>46223</v>
      </c>
      <c r="C419" s="4"/>
      <c r="D419" s="18"/>
      <c r="E419" s="4">
        <f t="shared" si="144"/>
        <v>7381</v>
      </c>
      <c r="F419" s="4">
        <v>3</v>
      </c>
      <c r="G419" s="14">
        <f t="shared" si="136"/>
        <v>4.0644899065167322E-4</v>
      </c>
      <c r="H419" s="4"/>
      <c r="I419" s="4">
        <f t="shared" si="137"/>
        <v>7378</v>
      </c>
      <c r="J419" s="4">
        <v>205</v>
      </c>
      <c r="K419" s="4">
        <f t="shared" si="138"/>
        <v>6150</v>
      </c>
      <c r="L419" s="4">
        <v>0</v>
      </c>
      <c r="M419" s="4">
        <v>0</v>
      </c>
      <c r="N419" s="4">
        <f t="shared" si="139"/>
        <v>6150</v>
      </c>
      <c r="O419" s="14">
        <f t="shared" si="145"/>
        <v>0.83322043083593011</v>
      </c>
      <c r="P419" s="4">
        <v>20</v>
      </c>
      <c r="Q419" s="4">
        <f t="shared" si="141"/>
        <v>1000</v>
      </c>
      <c r="R419" s="4">
        <f t="shared" si="142"/>
        <v>1000000</v>
      </c>
      <c r="S419" s="4">
        <v>2838.96</v>
      </c>
      <c r="T419" s="4">
        <f t="shared" si="143"/>
        <v>56779.199999999997</v>
      </c>
      <c r="U419" s="4">
        <v>1820.94</v>
      </c>
      <c r="V419" s="4">
        <v>2600</v>
      </c>
    </row>
    <row r="420" spans="1:22" x14ac:dyDescent="0.35">
      <c r="A420" s="3">
        <v>74</v>
      </c>
      <c r="B420" s="2">
        <v>46224</v>
      </c>
      <c r="C420" s="4"/>
      <c r="D420" s="18"/>
      <c r="E420" s="4">
        <f t="shared" si="144"/>
        <v>7378</v>
      </c>
      <c r="F420" s="4">
        <v>2</v>
      </c>
      <c r="G420" s="14">
        <f t="shared" si="136"/>
        <v>2.7107617240444562E-4</v>
      </c>
      <c r="H420" s="4"/>
      <c r="I420" s="4">
        <f t="shared" si="137"/>
        <v>7376</v>
      </c>
      <c r="J420" s="4">
        <v>206</v>
      </c>
      <c r="K420" s="4">
        <f t="shared" si="138"/>
        <v>6180</v>
      </c>
      <c r="L420" s="4">
        <v>0</v>
      </c>
      <c r="M420" s="4">
        <v>0</v>
      </c>
      <c r="N420" s="4">
        <f t="shared" si="139"/>
        <v>6180</v>
      </c>
      <c r="O420" s="14">
        <f t="shared" si="145"/>
        <v>0.83762537272973703</v>
      </c>
      <c r="P420" s="4">
        <v>20</v>
      </c>
      <c r="Q420" s="4">
        <f t="shared" si="141"/>
        <v>1000</v>
      </c>
      <c r="R420" s="4">
        <f t="shared" si="142"/>
        <v>1000000</v>
      </c>
      <c r="S420" s="4">
        <v>2838.96</v>
      </c>
      <c r="T420" s="4">
        <f t="shared" si="143"/>
        <v>56779.199999999997</v>
      </c>
      <c r="U420" s="4">
        <v>1820.94</v>
      </c>
      <c r="V420" s="4">
        <v>2800</v>
      </c>
    </row>
    <row r="421" spans="1:22" x14ac:dyDescent="0.35">
      <c r="A421" s="3">
        <v>74</v>
      </c>
      <c r="B421" s="2">
        <v>46225</v>
      </c>
      <c r="C421" s="4"/>
      <c r="D421" s="18"/>
      <c r="E421" s="4">
        <f t="shared" si="144"/>
        <v>7376</v>
      </c>
      <c r="F421" s="4">
        <v>2</v>
      </c>
      <c r="G421" s="14">
        <f t="shared" si="136"/>
        <v>2.7114967462039046E-4</v>
      </c>
      <c r="H421" s="4"/>
      <c r="I421" s="4">
        <f t="shared" si="137"/>
        <v>7374</v>
      </c>
      <c r="J421" s="4">
        <v>208</v>
      </c>
      <c r="K421" s="4">
        <f t="shared" si="138"/>
        <v>6240</v>
      </c>
      <c r="L421" s="4">
        <v>0</v>
      </c>
      <c r="M421" s="4">
        <v>0</v>
      </c>
      <c r="N421" s="4">
        <f t="shared" si="139"/>
        <v>6240</v>
      </c>
      <c r="O421" s="14">
        <f t="shared" si="145"/>
        <v>0.84598698481561818</v>
      </c>
      <c r="P421" s="4">
        <v>20</v>
      </c>
      <c r="Q421" s="4">
        <f t="shared" si="141"/>
        <v>1000</v>
      </c>
      <c r="R421" s="4">
        <f t="shared" si="142"/>
        <v>1000000</v>
      </c>
      <c r="S421" s="4">
        <v>2838.96</v>
      </c>
      <c r="T421" s="4">
        <f t="shared" si="143"/>
        <v>56779.199999999997</v>
      </c>
      <c r="U421" s="4">
        <v>1820.94</v>
      </c>
      <c r="V421" s="4">
        <v>2600</v>
      </c>
    </row>
    <row r="422" spans="1:22" x14ac:dyDescent="0.35">
      <c r="A422" s="3">
        <v>74</v>
      </c>
      <c r="B422" s="2">
        <v>46226</v>
      </c>
      <c r="C422" s="4"/>
      <c r="D422" s="18"/>
      <c r="E422" s="4">
        <f t="shared" si="144"/>
        <v>7374</v>
      </c>
      <c r="F422" s="4">
        <v>3</v>
      </c>
      <c r="G422" s="14">
        <f t="shared" si="136"/>
        <v>4.0683482506102521E-4</v>
      </c>
      <c r="H422" s="4"/>
      <c r="I422" s="4">
        <f t="shared" si="137"/>
        <v>7371</v>
      </c>
      <c r="J422" s="4">
        <v>207</v>
      </c>
      <c r="K422" s="4">
        <f t="shared" si="138"/>
        <v>6210</v>
      </c>
      <c r="L422" s="4">
        <v>0</v>
      </c>
      <c r="M422" s="4">
        <v>0</v>
      </c>
      <c r="N422" s="4">
        <f t="shared" si="139"/>
        <v>6210</v>
      </c>
      <c r="O422" s="14">
        <f t="shared" si="145"/>
        <v>0.84214808787632223</v>
      </c>
      <c r="P422" s="4">
        <v>20</v>
      </c>
      <c r="Q422" s="4">
        <f t="shared" si="141"/>
        <v>1000</v>
      </c>
      <c r="R422" s="4">
        <f t="shared" si="142"/>
        <v>1000000</v>
      </c>
      <c r="S422" s="4">
        <v>2838.96</v>
      </c>
      <c r="T422" s="4">
        <f t="shared" si="143"/>
        <v>56779.199999999997</v>
      </c>
      <c r="U422" s="4">
        <v>1820.94</v>
      </c>
      <c r="V422" s="4">
        <v>3100</v>
      </c>
    </row>
    <row r="423" spans="1:22" x14ac:dyDescent="0.35">
      <c r="A423" s="3">
        <v>74</v>
      </c>
      <c r="B423" s="2">
        <v>46227</v>
      </c>
      <c r="C423" s="4"/>
      <c r="D423" s="18"/>
      <c r="E423" s="4">
        <f t="shared" si="144"/>
        <v>7371</v>
      </c>
      <c r="F423" s="4">
        <v>2</v>
      </c>
      <c r="G423" s="14">
        <f t="shared" si="136"/>
        <v>2.7133360466693801E-4</v>
      </c>
      <c r="H423" s="4"/>
      <c r="I423" s="4">
        <f t="shared" si="137"/>
        <v>7369</v>
      </c>
      <c r="J423" s="4">
        <v>206</v>
      </c>
      <c r="K423" s="4">
        <f t="shared" si="138"/>
        <v>6180</v>
      </c>
      <c r="L423" s="4">
        <v>0</v>
      </c>
      <c r="M423" s="4">
        <v>0</v>
      </c>
      <c r="N423" s="4">
        <f t="shared" si="139"/>
        <v>6180</v>
      </c>
      <c r="O423" s="14">
        <f t="shared" si="145"/>
        <v>0.83842083842083837</v>
      </c>
      <c r="P423" s="4">
        <v>20</v>
      </c>
      <c r="Q423" s="4">
        <f t="shared" si="141"/>
        <v>1000</v>
      </c>
      <c r="R423" s="4">
        <f t="shared" si="142"/>
        <v>1000000</v>
      </c>
      <c r="S423" s="4">
        <v>2838.96</v>
      </c>
      <c r="T423" s="4">
        <f t="shared" si="143"/>
        <v>56779.199999999997</v>
      </c>
      <c r="U423" s="4">
        <v>1820.94</v>
      </c>
      <c r="V423" s="4">
        <v>3000</v>
      </c>
    </row>
    <row r="424" spans="1:22" x14ac:dyDescent="0.35">
      <c r="A424" s="3">
        <v>74</v>
      </c>
      <c r="B424" s="2">
        <v>46228</v>
      </c>
      <c r="C424" s="4"/>
      <c r="D424" s="18"/>
      <c r="E424" s="4">
        <f t="shared" si="144"/>
        <v>7369</v>
      </c>
      <c r="F424" s="4">
        <v>1</v>
      </c>
      <c r="G424" s="14">
        <f t="shared" si="136"/>
        <v>1.3570362328674176E-4</v>
      </c>
      <c r="H424" s="4"/>
      <c r="I424" s="4">
        <f t="shared" si="137"/>
        <v>7368</v>
      </c>
      <c r="J424" s="4">
        <v>207</v>
      </c>
      <c r="K424" s="4">
        <f t="shared" si="138"/>
        <v>6210</v>
      </c>
      <c r="L424" s="4">
        <v>0</v>
      </c>
      <c r="M424" s="4">
        <v>0</v>
      </c>
      <c r="N424" s="4">
        <f t="shared" si="139"/>
        <v>6210</v>
      </c>
      <c r="O424" s="14">
        <f t="shared" si="145"/>
        <v>0.84271950061066625</v>
      </c>
      <c r="P424" s="4">
        <v>20</v>
      </c>
      <c r="Q424" s="4">
        <f t="shared" si="141"/>
        <v>1000</v>
      </c>
      <c r="R424" s="4">
        <f t="shared" si="142"/>
        <v>1000000</v>
      </c>
      <c r="S424" s="4">
        <v>2838.96</v>
      </c>
      <c r="T424" s="4">
        <f t="shared" si="143"/>
        <v>56779.199999999997</v>
      </c>
      <c r="U424" s="4">
        <v>1820.94</v>
      </c>
      <c r="V424" s="4">
        <v>2900</v>
      </c>
    </row>
    <row r="425" spans="1:22" x14ac:dyDescent="0.35">
      <c r="A425" s="3">
        <v>74</v>
      </c>
      <c r="B425" s="2">
        <v>46229</v>
      </c>
      <c r="C425" s="4"/>
      <c r="D425" s="18"/>
      <c r="E425" s="4">
        <f t="shared" si="144"/>
        <v>7368</v>
      </c>
      <c r="F425" s="4">
        <v>2</v>
      </c>
      <c r="G425" s="14">
        <f t="shared" si="136"/>
        <v>2.714440825190011E-4</v>
      </c>
      <c r="H425" s="4"/>
      <c r="I425" s="4">
        <f t="shared" si="137"/>
        <v>7366</v>
      </c>
      <c r="J425" s="4">
        <v>208</v>
      </c>
      <c r="K425" s="4">
        <f t="shared" si="138"/>
        <v>6240</v>
      </c>
      <c r="L425" s="4">
        <v>0</v>
      </c>
      <c r="M425" s="4">
        <v>0</v>
      </c>
      <c r="N425" s="4">
        <f t="shared" si="139"/>
        <v>6240</v>
      </c>
      <c r="O425" s="14">
        <f t="shared" si="145"/>
        <v>0.84690553745928343</v>
      </c>
      <c r="P425" s="4">
        <v>20</v>
      </c>
      <c r="Q425" s="4">
        <f t="shared" si="141"/>
        <v>1000</v>
      </c>
      <c r="R425" s="4">
        <f t="shared" si="142"/>
        <v>1000000</v>
      </c>
      <c r="S425" s="4">
        <v>2838.96</v>
      </c>
      <c r="T425" s="4">
        <f t="shared" si="143"/>
        <v>56779.199999999997</v>
      </c>
      <c r="U425" s="4">
        <v>1820.94</v>
      </c>
      <c r="V425" s="4">
        <v>3100</v>
      </c>
    </row>
    <row r="426" spans="1:22" x14ac:dyDescent="0.35">
      <c r="A426" s="3">
        <v>74</v>
      </c>
      <c r="B426" s="2">
        <v>46230</v>
      </c>
      <c r="C426" s="4"/>
      <c r="D426" s="18"/>
      <c r="E426" s="4">
        <f t="shared" si="144"/>
        <v>7366</v>
      </c>
      <c r="F426" s="4">
        <v>1</v>
      </c>
      <c r="G426" s="14">
        <f t="shared" si="136"/>
        <v>1.3575889220743959E-4</v>
      </c>
      <c r="H426" s="4"/>
      <c r="I426" s="4">
        <f t="shared" si="137"/>
        <v>7365</v>
      </c>
      <c r="J426" s="4">
        <v>208</v>
      </c>
      <c r="K426" s="4">
        <f t="shared" si="138"/>
        <v>6240</v>
      </c>
      <c r="L426" s="4">
        <v>0</v>
      </c>
      <c r="M426" s="4">
        <v>0</v>
      </c>
      <c r="N426" s="4">
        <f t="shared" si="139"/>
        <v>6240</v>
      </c>
      <c r="O426" s="14">
        <f t="shared" si="145"/>
        <v>0.84713548737442301</v>
      </c>
      <c r="P426" s="4">
        <v>20</v>
      </c>
      <c r="Q426" s="4">
        <f t="shared" si="141"/>
        <v>1000</v>
      </c>
      <c r="R426" s="4">
        <f t="shared" si="142"/>
        <v>1000000</v>
      </c>
      <c r="S426" s="4">
        <v>2838.96</v>
      </c>
      <c r="T426" s="4">
        <f t="shared" si="143"/>
        <v>56779.199999999997</v>
      </c>
      <c r="U426" s="4">
        <v>1820.94</v>
      </c>
      <c r="V426" s="4">
        <v>2900</v>
      </c>
    </row>
    <row r="427" spans="1:22" x14ac:dyDescent="0.35">
      <c r="A427" s="3">
        <v>75</v>
      </c>
      <c r="B427" s="2">
        <v>46231</v>
      </c>
      <c r="C427" s="4"/>
      <c r="D427" s="18"/>
      <c r="E427" s="4">
        <f t="shared" si="144"/>
        <v>7365</v>
      </c>
      <c r="F427" s="4">
        <v>1</v>
      </c>
      <c r="G427" s="14">
        <f t="shared" si="136"/>
        <v>1.3577732518669383E-4</v>
      </c>
      <c r="H427" s="4"/>
      <c r="I427" s="4">
        <f t="shared" si="137"/>
        <v>7364</v>
      </c>
      <c r="J427" s="4">
        <v>207</v>
      </c>
      <c r="K427" s="4">
        <f t="shared" si="138"/>
        <v>6210</v>
      </c>
      <c r="L427" s="4">
        <v>0</v>
      </c>
      <c r="M427" s="4">
        <v>0</v>
      </c>
      <c r="N427" s="4">
        <f t="shared" si="139"/>
        <v>6210</v>
      </c>
      <c r="O427" s="14">
        <f t="shared" si="145"/>
        <v>0.84317718940936859</v>
      </c>
      <c r="P427" s="4">
        <v>20</v>
      </c>
      <c r="Q427" s="4">
        <f t="shared" si="141"/>
        <v>1000</v>
      </c>
      <c r="R427" s="4">
        <f t="shared" si="142"/>
        <v>1000000</v>
      </c>
      <c r="S427" s="4">
        <v>2802.96</v>
      </c>
      <c r="T427" s="4">
        <f t="shared" si="143"/>
        <v>56059.199999999997</v>
      </c>
      <c r="U427" s="4">
        <v>1820.94</v>
      </c>
      <c r="V427" s="4">
        <v>2900</v>
      </c>
    </row>
    <row r="428" spans="1:22" x14ac:dyDescent="0.35">
      <c r="A428" s="3">
        <v>75</v>
      </c>
      <c r="B428" s="2">
        <v>46232</v>
      </c>
      <c r="C428" s="4"/>
      <c r="D428" s="18"/>
      <c r="E428" s="4">
        <f t="shared" si="144"/>
        <v>7364</v>
      </c>
      <c r="F428" s="4">
        <v>3</v>
      </c>
      <c r="G428" s="14">
        <f t="shared" si="136"/>
        <v>4.0738728951656707E-4</v>
      </c>
      <c r="H428" s="4"/>
      <c r="I428" s="4">
        <f t="shared" si="137"/>
        <v>7361</v>
      </c>
      <c r="J428" s="4">
        <v>205</v>
      </c>
      <c r="K428" s="4">
        <f t="shared" si="138"/>
        <v>6150</v>
      </c>
      <c r="L428" s="4">
        <v>0</v>
      </c>
      <c r="M428" s="4">
        <v>0</v>
      </c>
      <c r="N428" s="4">
        <f t="shared" si="139"/>
        <v>6150</v>
      </c>
      <c r="O428" s="14">
        <f t="shared" si="145"/>
        <v>0.83514394350896248</v>
      </c>
      <c r="P428" s="4">
        <v>20</v>
      </c>
      <c r="Q428" s="4">
        <f t="shared" si="141"/>
        <v>1000</v>
      </c>
      <c r="R428" s="4">
        <f t="shared" si="142"/>
        <v>1000000</v>
      </c>
      <c r="S428" s="4">
        <v>2802.96</v>
      </c>
      <c r="T428" s="4">
        <f t="shared" si="143"/>
        <v>56059.199999999997</v>
      </c>
      <c r="U428" s="4">
        <v>1820.94</v>
      </c>
      <c r="V428" s="4">
        <v>3000</v>
      </c>
    </row>
    <row r="429" spans="1:22" x14ac:dyDescent="0.35">
      <c r="A429" s="3">
        <v>75</v>
      </c>
      <c r="B429" s="2">
        <v>46233</v>
      </c>
      <c r="C429" s="4"/>
      <c r="D429" s="18"/>
      <c r="E429" s="4">
        <f>I428</f>
        <v>7361</v>
      </c>
      <c r="F429" s="4">
        <v>3</v>
      </c>
      <c r="G429" s="14">
        <f t="shared" si="136"/>
        <v>4.075533215595707E-4</v>
      </c>
      <c r="H429" s="4"/>
      <c r="I429" s="4">
        <f t="shared" si="137"/>
        <v>7358</v>
      </c>
      <c r="J429" s="4">
        <v>206</v>
      </c>
      <c r="K429" s="4">
        <f t="shared" si="138"/>
        <v>6180</v>
      </c>
      <c r="L429" s="4">
        <v>0</v>
      </c>
      <c r="M429" s="4">
        <v>0</v>
      </c>
      <c r="N429" s="4">
        <f t="shared" si="139"/>
        <v>6180</v>
      </c>
      <c r="O429" s="14">
        <f t="shared" si="145"/>
        <v>0.83955984241271564</v>
      </c>
      <c r="P429" s="4">
        <v>20</v>
      </c>
      <c r="Q429" s="4">
        <f t="shared" si="141"/>
        <v>1000</v>
      </c>
      <c r="R429" s="4">
        <f t="shared" si="142"/>
        <v>1000000</v>
      </c>
      <c r="S429" s="4">
        <v>2802.96</v>
      </c>
      <c r="T429" s="4">
        <f t="shared" si="143"/>
        <v>56059.199999999997</v>
      </c>
      <c r="U429" s="4">
        <v>1820.94</v>
      </c>
      <c r="V429" s="4">
        <v>3100</v>
      </c>
    </row>
    <row r="430" spans="1:22" x14ac:dyDescent="0.35">
      <c r="A430" s="3">
        <v>75</v>
      </c>
      <c r="B430" s="2">
        <v>46234</v>
      </c>
      <c r="C430" s="4"/>
      <c r="D430" s="18"/>
      <c r="E430" s="4">
        <f>I429</f>
        <v>7358</v>
      </c>
      <c r="F430" s="4">
        <v>2</v>
      </c>
      <c r="G430" s="14">
        <f t="shared" si="136"/>
        <v>2.7181299266104919E-4</v>
      </c>
      <c r="H430" s="4"/>
      <c r="I430" s="4">
        <f t="shared" si="137"/>
        <v>7356</v>
      </c>
      <c r="J430" s="16">
        <v>206</v>
      </c>
      <c r="K430" s="16">
        <f t="shared" si="138"/>
        <v>6180</v>
      </c>
      <c r="L430" s="4">
        <v>0</v>
      </c>
      <c r="M430" s="4">
        <v>0</v>
      </c>
      <c r="N430" s="4">
        <f t="shared" si="139"/>
        <v>6180</v>
      </c>
      <c r="O430" s="14">
        <f t="shared" si="145"/>
        <v>0.83990214732264201</v>
      </c>
      <c r="P430" s="4">
        <v>20</v>
      </c>
      <c r="Q430" s="4">
        <f t="shared" si="141"/>
        <v>1000</v>
      </c>
      <c r="R430" s="4">
        <f t="shared" si="142"/>
        <v>1000000</v>
      </c>
      <c r="S430" s="4">
        <v>2802.96</v>
      </c>
      <c r="T430" s="4">
        <f t="shared" si="143"/>
        <v>56059.199999999997</v>
      </c>
      <c r="U430" s="4">
        <v>1820.94</v>
      </c>
      <c r="V430" s="4">
        <v>3000</v>
      </c>
    </row>
    <row r="431" spans="1:22" x14ac:dyDescent="0.35">
      <c r="A431" s="3"/>
      <c r="B431" s="2"/>
      <c r="C431" s="4"/>
      <c r="D431" s="18"/>
      <c r="E431" s="4"/>
      <c r="F431" s="4"/>
      <c r="G431" s="14"/>
      <c r="H431" s="4"/>
      <c r="I431" s="4"/>
      <c r="J431" s="4"/>
      <c r="K431" s="4"/>
      <c r="L431" s="4"/>
      <c r="M431" s="4"/>
      <c r="N431" s="4"/>
      <c r="O431" s="14"/>
      <c r="P431" s="4"/>
      <c r="Q431" s="4"/>
      <c r="R431" s="4"/>
      <c r="S431" s="4"/>
      <c r="T431" s="4"/>
    </row>
    <row r="432" spans="1:22" x14ac:dyDescent="0.35">
      <c r="A432" s="3"/>
      <c r="B432" s="2"/>
      <c r="C432" s="4"/>
      <c r="D432" s="18"/>
      <c r="E432" s="4"/>
      <c r="F432" s="4"/>
      <c r="G432" s="14"/>
      <c r="H432" s="4"/>
      <c r="I432" s="4"/>
      <c r="J432" s="4"/>
      <c r="K432" s="4"/>
      <c r="L432" s="4"/>
      <c r="M432" s="4"/>
      <c r="N432" s="4"/>
      <c r="O432" s="14"/>
      <c r="P432" s="4"/>
      <c r="Q432" s="4"/>
      <c r="R432" s="4"/>
      <c r="S432" s="4"/>
      <c r="T432" s="4"/>
    </row>
    <row r="433" spans="1:20" x14ac:dyDescent="0.35">
      <c r="A433" s="3"/>
      <c r="B433" s="2"/>
      <c r="C433" s="4"/>
      <c r="D433" s="18"/>
      <c r="E433" s="4"/>
      <c r="F433" s="4"/>
      <c r="G433" s="14"/>
      <c r="H433" s="4"/>
      <c r="I433" s="4"/>
      <c r="J433" s="4"/>
      <c r="K433" s="4"/>
      <c r="L433" s="4"/>
      <c r="M433" s="4"/>
      <c r="N433" s="4"/>
      <c r="O433" s="14"/>
      <c r="P433" s="4"/>
      <c r="Q433" s="4"/>
      <c r="R433" s="4"/>
      <c r="S433" s="4"/>
      <c r="T433" s="4"/>
    </row>
    <row r="434" spans="1:20" x14ac:dyDescent="0.35">
      <c r="A434" s="3"/>
      <c r="B434" s="2"/>
      <c r="C434" s="4"/>
      <c r="D434" s="18"/>
      <c r="E434" s="4"/>
      <c r="F434" s="4"/>
      <c r="G434" s="14"/>
      <c r="H434" s="4"/>
      <c r="I434" s="4"/>
      <c r="J434" s="4"/>
      <c r="K434" s="4"/>
      <c r="L434" s="4"/>
      <c r="M434" s="4"/>
      <c r="N434" s="4"/>
      <c r="O434" s="14"/>
      <c r="P434" s="4"/>
      <c r="Q434" s="4"/>
      <c r="R434" s="4"/>
      <c r="S434" s="4"/>
      <c r="T434" s="4"/>
    </row>
    <row r="435" spans="1:20" x14ac:dyDescent="0.35">
      <c r="A435" s="3"/>
      <c r="B435" s="2"/>
      <c r="C435" s="4"/>
      <c r="D435" s="18"/>
      <c r="E435" s="4"/>
      <c r="F435" s="4"/>
      <c r="G435" s="14"/>
      <c r="H435" s="4"/>
      <c r="I435" s="4"/>
      <c r="J435" s="4"/>
      <c r="K435" s="4"/>
      <c r="L435" s="4"/>
      <c r="M435" s="4"/>
      <c r="N435" s="4"/>
      <c r="O435" s="14"/>
      <c r="P435" s="4"/>
      <c r="Q435" s="4"/>
      <c r="R435" s="4"/>
      <c r="S435" s="4"/>
      <c r="T435" s="4"/>
    </row>
    <row r="436" spans="1:20" x14ac:dyDescent="0.35">
      <c r="A436" s="3"/>
      <c r="B436" s="2"/>
      <c r="C436" s="4"/>
      <c r="D436" s="18"/>
      <c r="E436" s="4"/>
      <c r="F436" s="4"/>
      <c r="G436" s="14"/>
      <c r="H436" s="4"/>
      <c r="I436" s="4"/>
      <c r="J436" s="4"/>
      <c r="K436" s="4"/>
      <c r="L436" s="4"/>
      <c r="M436" s="4"/>
      <c r="N436" s="4"/>
      <c r="O436" s="14"/>
      <c r="P436" s="4"/>
      <c r="Q436" s="4"/>
      <c r="R436" s="4"/>
      <c r="S436" s="4"/>
      <c r="T436" s="4"/>
    </row>
    <row r="437" spans="1:20" x14ac:dyDescent="0.35">
      <c r="A437" s="3"/>
      <c r="B437" s="4"/>
      <c r="C437" s="4"/>
      <c r="D437" s="18"/>
      <c r="E437" s="4"/>
      <c r="F437" s="4"/>
      <c r="G437" s="14"/>
      <c r="H437" s="4"/>
      <c r="I437" s="4"/>
      <c r="J437" s="4"/>
      <c r="K437" s="4"/>
      <c r="L437" s="4"/>
      <c r="M437" s="4"/>
      <c r="N437" s="4"/>
      <c r="O437" s="14"/>
      <c r="P437" s="4"/>
      <c r="Q437" s="4"/>
      <c r="R437" s="4"/>
      <c r="S437" s="4"/>
      <c r="T437" s="4"/>
    </row>
    <row r="438" spans="1:20" x14ac:dyDescent="0.35">
      <c r="A438" s="3"/>
      <c r="B438" s="4"/>
      <c r="C438" s="4"/>
      <c r="D438" s="18"/>
      <c r="E438" s="4"/>
      <c r="F438" s="4"/>
      <c r="G438" s="14"/>
      <c r="H438" s="4"/>
      <c r="I438" s="4"/>
      <c r="J438" s="4"/>
      <c r="K438" s="4"/>
      <c r="L438" s="4"/>
      <c r="M438" s="4"/>
      <c r="N438" s="4"/>
      <c r="O438" s="14"/>
      <c r="P438" s="4"/>
      <c r="Q438" s="4"/>
      <c r="R438" s="4"/>
      <c r="S438" s="4"/>
      <c r="T438" s="4"/>
    </row>
    <row r="439" spans="1:20" x14ac:dyDescent="0.35">
      <c r="A439" s="3"/>
      <c r="B439" s="3"/>
      <c r="C439" s="19"/>
      <c r="D439" s="19"/>
      <c r="E439" s="6"/>
      <c r="F439" s="7"/>
      <c r="G439" s="8"/>
      <c r="H439" s="7"/>
      <c r="I439" s="9"/>
      <c r="J439" s="10"/>
      <c r="K439" s="7"/>
      <c r="L439" s="7"/>
      <c r="M439" s="7"/>
      <c r="N439" s="7"/>
      <c r="O439" s="35"/>
      <c r="P439" s="10"/>
      <c r="Q439" s="7"/>
      <c r="R439" s="11"/>
      <c r="S439" s="12"/>
      <c r="T439" s="13"/>
    </row>
    <row r="440" spans="1:20" x14ac:dyDescent="0.35">
      <c r="A440" s="3"/>
      <c r="B440" s="2"/>
      <c r="C440" s="4"/>
      <c r="D440" s="18"/>
      <c r="E440" s="4"/>
      <c r="F440" s="4"/>
      <c r="G440" s="14"/>
      <c r="H440" s="4"/>
      <c r="I440" s="4"/>
      <c r="J440" s="4"/>
      <c r="K440" s="4"/>
      <c r="L440" s="4"/>
      <c r="M440" s="4"/>
      <c r="N440" s="4"/>
      <c r="O440" s="14"/>
      <c r="P440" s="4"/>
      <c r="Q440" s="4"/>
      <c r="R440" s="4"/>
      <c r="S440" s="4"/>
      <c r="T440" s="4"/>
    </row>
    <row r="441" spans="1:20" x14ac:dyDescent="0.35">
      <c r="A441" s="3"/>
      <c r="B441" s="2"/>
      <c r="C441" s="4"/>
      <c r="D441" s="18"/>
      <c r="E441" s="4"/>
      <c r="F441" s="4"/>
      <c r="G441" s="14"/>
      <c r="H441" s="4"/>
      <c r="I441" s="4"/>
      <c r="J441" s="4"/>
      <c r="K441" s="4"/>
      <c r="L441" s="4"/>
      <c r="M441" s="4"/>
      <c r="N441" s="4"/>
      <c r="O441" s="14"/>
      <c r="P441" s="4"/>
      <c r="Q441" s="4"/>
      <c r="R441" s="4"/>
      <c r="S441" s="4"/>
      <c r="T441" s="4"/>
    </row>
    <row r="442" spans="1:20" x14ac:dyDescent="0.35">
      <c r="A442" s="3"/>
      <c r="B442" s="2"/>
      <c r="C442" s="4"/>
      <c r="D442" s="18"/>
      <c r="E442" s="4"/>
      <c r="F442" s="4"/>
      <c r="G442" s="14"/>
      <c r="H442" s="4"/>
      <c r="I442" s="4"/>
      <c r="J442" s="4"/>
      <c r="K442" s="4"/>
      <c r="L442" s="4"/>
      <c r="M442" s="4"/>
      <c r="N442" s="4"/>
      <c r="O442" s="14"/>
      <c r="P442" s="4"/>
      <c r="Q442" s="4"/>
      <c r="R442" s="4"/>
      <c r="S442" s="4"/>
      <c r="T442" s="4"/>
    </row>
    <row r="443" spans="1:20" x14ac:dyDescent="0.35">
      <c r="A443" s="3"/>
      <c r="B443" s="2"/>
      <c r="C443" s="4"/>
      <c r="D443" s="18"/>
      <c r="E443" s="4"/>
      <c r="F443" s="4"/>
      <c r="G443" s="14"/>
      <c r="H443" s="4"/>
      <c r="I443" s="4"/>
      <c r="J443" s="4"/>
      <c r="K443" s="4"/>
      <c r="L443" s="4"/>
      <c r="M443" s="4"/>
      <c r="N443" s="4"/>
      <c r="O443" s="14"/>
      <c r="P443" s="4"/>
      <c r="Q443" s="4"/>
      <c r="R443" s="4"/>
      <c r="S443" s="4"/>
      <c r="T443" s="4"/>
    </row>
    <row r="444" spans="1:20" x14ac:dyDescent="0.35">
      <c r="A444" s="3"/>
      <c r="B444" s="2"/>
      <c r="C444" s="4"/>
      <c r="D444" s="18"/>
      <c r="E444" s="4"/>
      <c r="F444" s="4"/>
      <c r="G444" s="14"/>
      <c r="H444" s="4"/>
      <c r="I444" s="4"/>
      <c r="J444" s="4"/>
      <c r="K444" s="4"/>
      <c r="L444" s="4"/>
      <c r="M444" s="4"/>
      <c r="N444" s="4"/>
      <c r="O444" s="14"/>
      <c r="P444" s="4"/>
      <c r="Q444" s="4"/>
      <c r="R444" s="4"/>
      <c r="S444" s="4"/>
      <c r="T444" s="4"/>
    </row>
    <row r="445" spans="1:20" x14ac:dyDescent="0.35">
      <c r="A445" s="3"/>
      <c r="B445" s="2"/>
      <c r="C445" s="4"/>
      <c r="D445" s="18"/>
      <c r="E445" s="4"/>
      <c r="F445" s="4"/>
      <c r="G445" s="14"/>
      <c r="H445" s="4"/>
      <c r="I445" s="4"/>
      <c r="J445" s="4"/>
      <c r="K445" s="4"/>
      <c r="L445" s="4"/>
      <c r="M445" s="4"/>
      <c r="N445" s="4"/>
      <c r="O445" s="14"/>
      <c r="P445" s="4"/>
      <c r="Q445" s="4"/>
      <c r="R445" s="4"/>
      <c r="S445" s="4"/>
      <c r="T445" s="4"/>
    </row>
    <row r="446" spans="1:20" x14ac:dyDescent="0.35">
      <c r="A446" s="3"/>
      <c r="B446" s="2"/>
      <c r="C446" s="4"/>
      <c r="D446" s="18"/>
      <c r="E446" s="4"/>
      <c r="F446" s="4"/>
      <c r="G446" s="14"/>
      <c r="H446" s="4"/>
      <c r="I446" s="4"/>
      <c r="J446" s="4"/>
      <c r="K446" s="4"/>
      <c r="L446" s="4"/>
      <c r="M446" s="4"/>
      <c r="N446" s="4"/>
      <c r="O446" s="14"/>
      <c r="P446" s="4"/>
      <c r="Q446" s="4"/>
      <c r="R446" s="4"/>
      <c r="S446" s="4"/>
      <c r="T446" s="4"/>
    </row>
    <row r="447" spans="1:20" x14ac:dyDescent="0.35">
      <c r="A447" s="3"/>
      <c r="B447" s="2"/>
      <c r="C447" s="4"/>
      <c r="D447" s="18"/>
      <c r="E447" s="4"/>
      <c r="F447" s="4"/>
      <c r="G447" s="14"/>
      <c r="H447" s="4"/>
      <c r="I447" s="4"/>
      <c r="J447" s="4"/>
      <c r="K447" s="4"/>
      <c r="L447" s="4"/>
      <c r="M447" s="4"/>
      <c r="N447" s="4"/>
      <c r="O447" s="14"/>
      <c r="P447" s="4"/>
      <c r="Q447" s="4"/>
      <c r="R447" s="4"/>
      <c r="S447" s="4"/>
      <c r="T447" s="4"/>
    </row>
    <row r="448" spans="1:20" x14ac:dyDescent="0.35">
      <c r="A448" s="3"/>
      <c r="B448" s="2"/>
      <c r="C448" s="4"/>
      <c r="D448" s="18"/>
      <c r="E448" s="4"/>
      <c r="F448" s="4"/>
      <c r="G448" s="14"/>
      <c r="H448" s="4"/>
      <c r="I448" s="4"/>
      <c r="J448" s="4"/>
      <c r="K448" s="4"/>
      <c r="L448" s="4"/>
      <c r="M448" s="4"/>
      <c r="N448" s="4"/>
      <c r="O448" s="14"/>
      <c r="P448" s="4"/>
      <c r="Q448" s="4"/>
      <c r="R448" s="4"/>
      <c r="S448" s="4"/>
      <c r="T448" s="4"/>
    </row>
    <row r="449" spans="1:20" x14ac:dyDescent="0.35">
      <c r="A449" s="3"/>
      <c r="B449" s="2"/>
      <c r="C449" s="4"/>
      <c r="D449" s="18"/>
      <c r="E449" s="4"/>
      <c r="F449" s="4"/>
      <c r="G449" s="14"/>
      <c r="H449" s="4"/>
      <c r="I449" s="4"/>
      <c r="J449" s="4"/>
      <c r="K449" s="4"/>
      <c r="L449" s="4"/>
      <c r="M449" s="4"/>
      <c r="N449" s="4"/>
      <c r="O449" s="14"/>
      <c r="P449" s="4"/>
      <c r="Q449" s="4"/>
      <c r="R449" s="4"/>
      <c r="S449" s="4"/>
      <c r="T449" s="4"/>
    </row>
    <row r="450" spans="1:20" x14ac:dyDescent="0.35">
      <c r="A450" s="3"/>
      <c r="B450" s="2"/>
      <c r="C450" s="4"/>
      <c r="D450" s="18"/>
      <c r="E450" s="4"/>
      <c r="F450" s="4"/>
      <c r="G450" s="14"/>
      <c r="H450" s="4"/>
      <c r="I450" s="4"/>
      <c r="J450" s="4"/>
      <c r="K450" s="4"/>
      <c r="L450" s="4"/>
      <c r="M450" s="4"/>
      <c r="N450" s="4"/>
      <c r="O450" s="14"/>
      <c r="P450" s="4"/>
      <c r="Q450" s="4"/>
      <c r="R450" s="4"/>
      <c r="S450" s="4"/>
      <c r="T450" s="4"/>
    </row>
    <row r="451" spans="1:20" x14ac:dyDescent="0.35">
      <c r="A451" s="3"/>
      <c r="B451" s="2"/>
      <c r="C451" s="4"/>
      <c r="D451" s="18"/>
      <c r="E451" s="4"/>
      <c r="F451" s="4"/>
      <c r="G451" s="14"/>
      <c r="H451" s="4"/>
      <c r="I451" s="4"/>
      <c r="J451" s="4"/>
      <c r="K451" s="4"/>
      <c r="L451" s="4"/>
      <c r="M451" s="4"/>
      <c r="N451" s="4"/>
      <c r="O451" s="14"/>
      <c r="P451" s="4"/>
      <c r="Q451" s="4"/>
      <c r="R451" s="4"/>
      <c r="S451" s="4"/>
      <c r="T451" s="4"/>
    </row>
    <row r="452" spans="1:20" x14ac:dyDescent="0.35">
      <c r="A452" s="3"/>
      <c r="B452" s="2"/>
      <c r="C452" s="4"/>
      <c r="D452" s="18"/>
      <c r="E452" s="4"/>
      <c r="F452" s="4"/>
      <c r="G452" s="14"/>
      <c r="H452" s="4"/>
      <c r="I452" s="4"/>
      <c r="J452" s="4"/>
      <c r="K452" s="4"/>
      <c r="L452" s="4"/>
      <c r="M452" s="4"/>
      <c r="N452" s="4"/>
      <c r="O452" s="14"/>
      <c r="P452" s="4"/>
      <c r="Q452" s="4"/>
      <c r="R452" s="4"/>
      <c r="S452" s="4"/>
      <c r="T452" s="4"/>
    </row>
    <row r="453" spans="1:20" x14ac:dyDescent="0.35">
      <c r="A453" s="3"/>
      <c r="B453" s="2"/>
      <c r="C453" s="4"/>
      <c r="D453" s="18"/>
      <c r="E453" s="4"/>
      <c r="F453" s="4"/>
      <c r="G453" s="14"/>
      <c r="H453" s="4"/>
      <c r="I453" s="4"/>
      <c r="J453" s="4"/>
      <c r="K453" s="4"/>
      <c r="L453" s="4"/>
      <c r="M453" s="4"/>
      <c r="N453" s="4"/>
      <c r="O453" s="14"/>
      <c r="P453" s="4"/>
      <c r="Q453" s="4"/>
      <c r="R453" s="4"/>
      <c r="S453" s="4"/>
      <c r="T453" s="4"/>
    </row>
    <row r="454" spans="1:20" x14ac:dyDescent="0.35">
      <c r="A454" s="3"/>
      <c r="B454" s="2"/>
      <c r="C454" s="4"/>
      <c r="D454" s="18"/>
      <c r="E454" s="4"/>
      <c r="F454" s="4"/>
      <c r="G454" s="14"/>
      <c r="H454" s="4"/>
      <c r="I454" s="4"/>
      <c r="J454" s="4"/>
      <c r="K454" s="4"/>
      <c r="L454" s="4"/>
      <c r="M454" s="4"/>
      <c r="N454" s="4"/>
      <c r="O454" s="14"/>
      <c r="P454" s="4"/>
      <c r="Q454" s="4"/>
      <c r="R454" s="4"/>
      <c r="S454" s="4"/>
      <c r="T454" s="4"/>
    </row>
    <row r="455" spans="1:20" x14ac:dyDescent="0.35">
      <c r="A455" s="3"/>
      <c r="B455" s="2"/>
      <c r="C455" s="4"/>
      <c r="D455" s="18"/>
      <c r="E455" s="4"/>
      <c r="F455" s="4"/>
      <c r="G455" s="14"/>
      <c r="H455" s="4"/>
      <c r="I455" s="4"/>
      <c r="J455" s="4"/>
      <c r="K455" s="4"/>
      <c r="L455" s="4"/>
      <c r="M455" s="4"/>
      <c r="N455" s="4"/>
      <c r="O455" s="14"/>
      <c r="P455" s="4"/>
      <c r="Q455" s="4"/>
      <c r="R455" s="4"/>
      <c r="S455" s="4"/>
      <c r="T455" s="4"/>
    </row>
    <row r="456" spans="1:20" x14ac:dyDescent="0.35">
      <c r="A456" s="3"/>
      <c r="B456" s="2"/>
      <c r="C456" s="4"/>
      <c r="D456" s="18"/>
      <c r="E456" s="4"/>
      <c r="F456" s="4"/>
      <c r="G456" s="14"/>
      <c r="H456" s="4"/>
      <c r="I456" s="4"/>
      <c r="J456" s="4"/>
      <c r="K456" s="4"/>
      <c r="L456" s="4"/>
      <c r="M456" s="4"/>
      <c r="N456" s="4"/>
      <c r="O456" s="14"/>
      <c r="P456" s="4"/>
      <c r="Q456" s="4"/>
      <c r="R456" s="4"/>
      <c r="S456" s="4"/>
      <c r="T456" s="4"/>
    </row>
    <row r="457" spans="1:20" x14ac:dyDescent="0.35">
      <c r="A457" s="3"/>
      <c r="B457" s="2"/>
      <c r="C457" s="4"/>
      <c r="D457" s="18"/>
      <c r="E457" s="4"/>
      <c r="F457" s="4"/>
      <c r="G457" s="14"/>
      <c r="H457" s="4"/>
      <c r="I457" s="4"/>
      <c r="J457" s="4"/>
      <c r="K457" s="4"/>
      <c r="L457" s="4"/>
      <c r="M457" s="4"/>
      <c r="N457" s="4"/>
      <c r="O457" s="14"/>
      <c r="P457" s="4"/>
      <c r="Q457" s="4"/>
      <c r="R457" s="4"/>
      <c r="S457" s="4"/>
      <c r="T457" s="4"/>
    </row>
    <row r="458" spans="1:20" x14ac:dyDescent="0.35">
      <c r="A458" s="3"/>
      <c r="B458" s="2"/>
      <c r="C458" s="4"/>
      <c r="D458" s="18"/>
      <c r="E458" s="4"/>
      <c r="F458" s="4"/>
      <c r="G458" s="14"/>
      <c r="H458" s="4"/>
      <c r="I458" s="4"/>
      <c r="J458" s="4"/>
      <c r="K458" s="4"/>
      <c r="L458" s="4"/>
      <c r="M458" s="4"/>
      <c r="N458" s="4"/>
      <c r="O458" s="14"/>
      <c r="P458" s="4"/>
      <c r="Q458" s="4"/>
      <c r="R458" s="4"/>
      <c r="S458" s="4"/>
      <c r="T458" s="4"/>
    </row>
    <row r="459" spans="1:20" x14ac:dyDescent="0.35">
      <c r="A459" s="3"/>
      <c r="B459" s="2"/>
      <c r="C459" s="4"/>
      <c r="D459" s="18"/>
      <c r="E459" s="4"/>
      <c r="F459" s="4"/>
      <c r="G459" s="14"/>
      <c r="H459" s="4"/>
      <c r="I459" s="4"/>
      <c r="J459" s="4"/>
      <c r="K459" s="4"/>
      <c r="L459" s="4"/>
      <c r="M459" s="4"/>
      <c r="N459" s="4"/>
      <c r="O459" s="14"/>
      <c r="P459" s="4"/>
      <c r="Q459" s="4"/>
      <c r="R459" s="4"/>
      <c r="S459" s="4"/>
      <c r="T459" s="4"/>
    </row>
    <row r="460" spans="1:20" x14ac:dyDescent="0.35">
      <c r="A460" s="3"/>
      <c r="B460" s="2"/>
      <c r="C460" s="4"/>
      <c r="D460" s="18"/>
      <c r="E460" s="4"/>
      <c r="F460" s="4"/>
      <c r="G460" s="14"/>
      <c r="H460" s="4"/>
      <c r="I460" s="4"/>
      <c r="J460" s="4"/>
      <c r="K460" s="4"/>
      <c r="L460" s="4"/>
      <c r="M460" s="4"/>
      <c r="N460" s="4"/>
      <c r="O460" s="14"/>
      <c r="P460" s="4"/>
      <c r="Q460" s="4"/>
      <c r="R460" s="4"/>
      <c r="S460" s="4"/>
      <c r="T460" s="4"/>
    </row>
    <row r="461" spans="1:20" x14ac:dyDescent="0.35">
      <c r="A461" s="3"/>
      <c r="B461" s="2"/>
      <c r="C461" s="4"/>
      <c r="D461" s="18"/>
      <c r="E461" s="4"/>
      <c r="F461" s="4"/>
      <c r="G461" s="14"/>
      <c r="H461" s="4"/>
      <c r="I461" s="4"/>
      <c r="J461" s="4"/>
      <c r="K461" s="4"/>
      <c r="L461" s="4"/>
      <c r="M461" s="4"/>
      <c r="N461" s="4"/>
      <c r="O461" s="14"/>
      <c r="P461" s="4"/>
      <c r="Q461" s="4"/>
      <c r="R461" s="4"/>
      <c r="S461" s="4"/>
      <c r="T461" s="4"/>
    </row>
    <row r="462" spans="1:20" x14ac:dyDescent="0.35">
      <c r="A462" s="3"/>
      <c r="B462" s="2"/>
      <c r="C462" s="4"/>
      <c r="D462" s="18"/>
      <c r="E462" s="4"/>
      <c r="F462" s="4"/>
      <c r="G462" s="14"/>
      <c r="H462" s="4"/>
      <c r="I462" s="4"/>
      <c r="J462" s="4"/>
      <c r="K462" s="4"/>
      <c r="L462" s="4"/>
      <c r="M462" s="4"/>
      <c r="N462" s="4"/>
      <c r="O462" s="14"/>
      <c r="P462" s="4"/>
      <c r="Q462" s="4"/>
      <c r="R462" s="4"/>
      <c r="S462" s="4"/>
      <c r="T462" s="4"/>
    </row>
    <row r="463" spans="1:20" x14ac:dyDescent="0.35">
      <c r="A463" s="3"/>
      <c r="B463" s="2"/>
      <c r="C463" s="4"/>
      <c r="D463" s="18"/>
      <c r="E463" s="4"/>
      <c r="F463" s="4"/>
      <c r="G463" s="14"/>
      <c r="H463" s="4"/>
      <c r="I463" s="4"/>
      <c r="J463" s="4"/>
      <c r="K463" s="4"/>
      <c r="L463" s="4"/>
      <c r="M463" s="4"/>
      <c r="N463" s="4"/>
      <c r="O463" s="14"/>
      <c r="P463" s="4"/>
      <c r="Q463" s="4"/>
      <c r="R463" s="4"/>
      <c r="S463" s="4"/>
      <c r="T463" s="4"/>
    </row>
    <row r="464" spans="1:20" x14ac:dyDescent="0.35">
      <c r="A464" s="3"/>
      <c r="B464" s="2"/>
      <c r="C464" s="4"/>
      <c r="D464" s="18"/>
      <c r="E464" s="4"/>
      <c r="F464" s="4"/>
      <c r="G464" s="14"/>
      <c r="H464" s="4"/>
      <c r="I464" s="4"/>
      <c r="J464" s="4"/>
      <c r="K464" s="4"/>
      <c r="L464" s="4"/>
      <c r="M464" s="4"/>
      <c r="N464" s="4"/>
      <c r="O464" s="14"/>
      <c r="P464" s="4"/>
      <c r="Q464" s="4"/>
      <c r="R464" s="4"/>
      <c r="S464" s="4"/>
      <c r="T464" s="4"/>
    </row>
    <row r="465" spans="1:20" x14ac:dyDescent="0.35">
      <c r="A465" s="3"/>
      <c r="B465" s="2"/>
      <c r="C465" s="4"/>
      <c r="D465" s="18"/>
      <c r="E465" s="4"/>
      <c r="F465" s="4"/>
      <c r="G465" s="14"/>
      <c r="H465" s="4"/>
      <c r="I465" s="4"/>
      <c r="J465" s="4"/>
      <c r="K465" s="4"/>
      <c r="L465" s="4"/>
      <c r="M465" s="4"/>
      <c r="N465" s="4"/>
      <c r="O465" s="14"/>
      <c r="P465" s="4"/>
      <c r="Q465" s="4"/>
      <c r="R465" s="4"/>
      <c r="S465" s="4"/>
      <c r="T465" s="4"/>
    </row>
    <row r="466" spans="1:20" x14ac:dyDescent="0.35">
      <c r="A466" s="3"/>
      <c r="B466" s="2"/>
      <c r="C466" s="4"/>
      <c r="D466" s="18"/>
      <c r="E466" s="4"/>
      <c r="F466" s="4"/>
      <c r="G466" s="14"/>
      <c r="H466" s="4"/>
      <c r="I466" s="4"/>
      <c r="J466" s="4"/>
      <c r="K466" s="4"/>
      <c r="L466" s="4"/>
      <c r="M466" s="4"/>
      <c r="N466" s="4"/>
      <c r="O466" s="14"/>
      <c r="P466" s="4"/>
      <c r="Q466" s="4"/>
      <c r="R466" s="4"/>
      <c r="S466" s="4"/>
      <c r="T466" s="4"/>
    </row>
    <row r="467" spans="1:20" x14ac:dyDescent="0.35">
      <c r="A467" s="3"/>
      <c r="B467" s="2"/>
      <c r="C467" s="4"/>
      <c r="D467" s="18"/>
      <c r="E467" s="4"/>
      <c r="F467" s="4"/>
      <c r="G467" s="14"/>
      <c r="H467" s="4"/>
      <c r="I467" s="4"/>
      <c r="J467" s="4"/>
      <c r="K467" s="4"/>
      <c r="L467" s="4"/>
      <c r="M467" s="4"/>
      <c r="N467" s="4"/>
      <c r="O467" s="14"/>
      <c r="P467" s="4"/>
      <c r="Q467" s="4"/>
      <c r="R467" s="4"/>
      <c r="S467" s="4"/>
      <c r="T467" s="4"/>
    </row>
    <row r="468" spans="1:20" x14ac:dyDescent="0.35">
      <c r="A468" s="3"/>
      <c r="B468" s="2"/>
      <c r="C468" s="4"/>
      <c r="D468" s="18"/>
      <c r="E468" s="4"/>
      <c r="F468" s="4"/>
      <c r="G468" s="14"/>
      <c r="H468" s="4"/>
      <c r="I468" s="4"/>
      <c r="J468" s="4"/>
      <c r="K468" s="4"/>
      <c r="L468" s="4"/>
      <c r="M468" s="4"/>
      <c r="N468" s="4"/>
      <c r="O468" s="14"/>
      <c r="P468" s="4"/>
      <c r="Q468" s="4"/>
      <c r="R468" s="4"/>
      <c r="S468" s="4"/>
      <c r="T468" s="4"/>
    </row>
    <row r="469" spans="1:20" x14ac:dyDescent="0.35">
      <c r="A469" s="3"/>
      <c r="B469" s="2"/>
      <c r="C469" s="4"/>
      <c r="D469" s="18"/>
      <c r="E469" s="4"/>
      <c r="F469" s="4"/>
      <c r="G469" s="14"/>
      <c r="H469" s="4"/>
      <c r="I469" s="4"/>
      <c r="J469" s="4"/>
      <c r="K469" s="4"/>
      <c r="L469" s="4"/>
      <c r="M469" s="4"/>
      <c r="N469" s="4"/>
      <c r="O469" s="14"/>
      <c r="P469" s="4"/>
      <c r="Q469" s="4"/>
      <c r="R469" s="4"/>
      <c r="S469" s="4"/>
      <c r="T469" s="4"/>
    </row>
    <row r="470" spans="1:20" x14ac:dyDescent="0.35">
      <c r="A470" s="3"/>
      <c r="B470" s="2"/>
      <c r="C470" s="4"/>
      <c r="D470" s="18"/>
      <c r="E470" s="4"/>
      <c r="F470" s="4"/>
      <c r="G470" s="14"/>
      <c r="H470" s="4"/>
      <c r="I470" s="4"/>
      <c r="J470" s="4"/>
      <c r="K470" s="4"/>
      <c r="L470" s="4"/>
      <c r="M470" s="4"/>
      <c r="N470" s="4"/>
      <c r="O470" s="14"/>
      <c r="P470" s="4"/>
      <c r="Q470" s="4"/>
      <c r="R470" s="4"/>
      <c r="S470" s="4"/>
      <c r="T470" s="4"/>
    </row>
    <row r="471" spans="1:20" x14ac:dyDescent="0.35">
      <c r="A471" s="3"/>
      <c r="B471" s="2"/>
      <c r="C471" s="4"/>
      <c r="D471" s="18"/>
      <c r="E471" s="4"/>
      <c r="F471" s="4"/>
      <c r="G471" s="14"/>
      <c r="H471" s="4"/>
      <c r="I471" s="4"/>
      <c r="J471" s="4"/>
      <c r="K471" s="4"/>
      <c r="L471" s="4"/>
      <c r="M471" s="4"/>
      <c r="N471" s="4"/>
      <c r="O471" s="14"/>
      <c r="P471" s="4"/>
      <c r="Q471" s="4"/>
      <c r="R471" s="4"/>
      <c r="S471" s="4"/>
      <c r="T471" s="4"/>
    </row>
    <row r="472" spans="1:20" x14ac:dyDescent="0.35">
      <c r="A472" s="3"/>
      <c r="B472" s="4"/>
      <c r="C472" s="4"/>
      <c r="D472" s="18"/>
      <c r="E472" s="4"/>
      <c r="F472" s="4"/>
      <c r="G472" s="14"/>
      <c r="H472" s="4"/>
      <c r="I472" s="4"/>
      <c r="J472" s="4"/>
      <c r="K472" s="4"/>
      <c r="L472" s="4"/>
      <c r="M472" s="4"/>
      <c r="N472" s="4"/>
      <c r="O472" s="14"/>
      <c r="P472" s="4"/>
      <c r="Q472" s="4"/>
      <c r="R472" s="4"/>
      <c r="S472" s="4"/>
      <c r="T472" s="4"/>
    </row>
    <row r="473" spans="1:20" x14ac:dyDescent="0.35">
      <c r="A473" s="3"/>
      <c r="B473" s="4"/>
      <c r="C473" s="4"/>
      <c r="D473" s="18"/>
      <c r="E473" s="4"/>
      <c r="F473" s="4"/>
      <c r="G473" s="14"/>
      <c r="H473" s="4"/>
      <c r="I473" s="4"/>
      <c r="J473" s="4"/>
      <c r="K473" s="4"/>
      <c r="L473" s="4"/>
      <c r="M473" s="4"/>
      <c r="N473" s="4"/>
      <c r="O473" s="14"/>
      <c r="P473" s="4"/>
      <c r="Q473" s="4"/>
      <c r="R473" s="4"/>
      <c r="S473" s="4"/>
      <c r="T473" s="4"/>
    </row>
    <row r="474" spans="1:20" x14ac:dyDescent="0.35">
      <c r="A474" s="3"/>
      <c r="B474" s="3"/>
      <c r="C474" s="19"/>
      <c r="D474" s="19"/>
      <c r="E474" s="6"/>
      <c r="F474" s="7"/>
      <c r="G474" s="8"/>
      <c r="H474" s="7"/>
      <c r="I474" s="9"/>
      <c r="J474" s="10"/>
      <c r="K474" s="7"/>
      <c r="L474" s="7"/>
      <c r="M474" s="7"/>
      <c r="N474" s="7"/>
      <c r="O474" s="35"/>
      <c r="P474" s="10"/>
      <c r="Q474" s="7"/>
      <c r="R474" s="11"/>
      <c r="S474" s="12"/>
      <c r="T474" s="13"/>
    </row>
    <row r="475" spans="1:20" x14ac:dyDescent="0.35">
      <c r="A475" s="3"/>
      <c r="B475" s="2"/>
      <c r="C475" s="4"/>
      <c r="D475" s="18"/>
      <c r="E475" s="4"/>
      <c r="F475" s="4"/>
      <c r="G475" s="14"/>
      <c r="H475" s="4"/>
      <c r="I475" s="4"/>
      <c r="J475" s="4"/>
      <c r="K475" s="4"/>
      <c r="L475" s="4"/>
      <c r="M475" s="4"/>
      <c r="N475" s="4"/>
      <c r="O475" s="14"/>
      <c r="P475" s="4"/>
      <c r="Q475" s="4"/>
      <c r="R475" s="4"/>
      <c r="S475" s="4"/>
      <c r="T475" s="4"/>
    </row>
    <row r="476" spans="1:20" x14ac:dyDescent="0.35">
      <c r="A476" s="3"/>
      <c r="B476" s="2"/>
      <c r="C476" s="4"/>
      <c r="D476" s="18"/>
      <c r="E476" s="4"/>
      <c r="F476" s="4"/>
      <c r="G476" s="14"/>
      <c r="H476" s="4"/>
      <c r="I476" s="4"/>
      <c r="J476" s="4"/>
      <c r="K476" s="4"/>
      <c r="L476" s="4"/>
      <c r="M476" s="4"/>
      <c r="N476" s="4"/>
      <c r="O476" s="14"/>
      <c r="P476" s="4"/>
      <c r="Q476" s="4"/>
      <c r="R476" s="4"/>
      <c r="S476" s="4"/>
      <c r="T476" s="4"/>
    </row>
    <row r="477" spans="1:20" x14ac:dyDescent="0.35">
      <c r="A477" s="3"/>
      <c r="B477" s="2"/>
      <c r="C477" s="4"/>
      <c r="D477" s="18"/>
      <c r="E477" s="4"/>
      <c r="F477" s="4"/>
      <c r="G477" s="14"/>
      <c r="H477" s="4"/>
      <c r="I477" s="4"/>
      <c r="J477" s="4"/>
      <c r="K477" s="4"/>
      <c r="L477" s="4"/>
      <c r="M477" s="4"/>
      <c r="N477" s="4"/>
      <c r="O477" s="14"/>
      <c r="P477" s="4"/>
      <c r="Q477" s="4"/>
      <c r="R477" s="4"/>
      <c r="S477" s="4"/>
      <c r="T477" s="4"/>
    </row>
    <row r="478" spans="1:20" x14ac:dyDescent="0.35">
      <c r="A478" s="3"/>
      <c r="B478" s="2"/>
      <c r="C478" s="4"/>
      <c r="D478" s="18"/>
      <c r="E478" s="4"/>
      <c r="F478" s="4"/>
      <c r="G478" s="14"/>
      <c r="H478" s="4"/>
      <c r="I478" s="4"/>
      <c r="J478" s="4"/>
      <c r="K478" s="4"/>
      <c r="L478" s="4"/>
      <c r="M478" s="4"/>
      <c r="N478" s="4"/>
      <c r="O478" s="14"/>
      <c r="P478" s="4"/>
      <c r="Q478" s="4"/>
      <c r="R478" s="4"/>
      <c r="S478" s="4"/>
      <c r="T478" s="4"/>
    </row>
    <row r="479" spans="1:20" x14ac:dyDescent="0.35">
      <c r="A479" s="3"/>
      <c r="B479" s="2"/>
      <c r="C479" s="4"/>
      <c r="D479" s="18"/>
      <c r="E479" s="4"/>
      <c r="F479" s="4"/>
      <c r="G479" s="14"/>
      <c r="H479" s="4"/>
      <c r="I479" s="4"/>
      <c r="J479" s="4"/>
      <c r="K479" s="4"/>
      <c r="L479" s="4"/>
      <c r="M479" s="4"/>
      <c r="N479" s="4"/>
      <c r="O479" s="14"/>
      <c r="P479" s="4"/>
      <c r="Q479" s="4"/>
      <c r="R479" s="4"/>
      <c r="S479" s="4"/>
      <c r="T479" s="4"/>
    </row>
    <row r="480" spans="1:20" x14ac:dyDescent="0.35">
      <c r="A480" s="3"/>
      <c r="B480" s="2"/>
      <c r="C480" s="4"/>
      <c r="D480" s="18"/>
      <c r="E480" s="4"/>
      <c r="F480" s="4"/>
      <c r="G480" s="14"/>
      <c r="H480" s="4"/>
      <c r="I480" s="4"/>
      <c r="J480" s="4"/>
      <c r="K480" s="4"/>
      <c r="L480" s="4"/>
      <c r="M480" s="4"/>
      <c r="N480" s="4"/>
      <c r="O480" s="14"/>
      <c r="P480" s="4"/>
      <c r="Q480" s="4"/>
      <c r="R480" s="4"/>
      <c r="S480" s="4"/>
      <c r="T480" s="4"/>
    </row>
    <row r="481" spans="1:20" x14ac:dyDescent="0.35">
      <c r="A481" s="3"/>
      <c r="B481" s="2"/>
      <c r="C481" s="4"/>
      <c r="D481" s="18"/>
      <c r="E481" s="4"/>
      <c r="F481" s="4"/>
      <c r="G481" s="14"/>
      <c r="H481" s="4"/>
      <c r="I481" s="4"/>
      <c r="J481" s="4"/>
      <c r="K481" s="4"/>
      <c r="L481" s="4"/>
      <c r="M481" s="4"/>
      <c r="N481" s="4"/>
      <c r="O481" s="14"/>
      <c r="P481" s="4"/>
      <c r="Q481" s="4"/>
      <c r="R481" s="4"/>
      <c r="S481" s="4"/>
      <c r="T481" s="4"/>
    </row>
    <row r="482" spans="1:20" x14ac:dyDescent="0.35">
      <c r="A482" s="3"/>
      <c r="B482" s="2"/>
      <c r="C482" s="4"/>
      <c r="D482" s="18"/>
      <c r="E482" s="4"/>
      <c r="F482" s="4"/>
      <c r="G482" s="14"/>
      <c r="H482" s="4"/>
      <c r="I482" s="4"/>
      <c r="J482" s="4"/>
      <c r="K482" s="4"/>
      <c r="L482" s="4"/>
      <c r="M482" s="4"/>
      <c r="N482" s="4"/>
      <c r="O482" s="14"/>
      <c r="P482" s="4"/>
      <c r="Q482" s="4"/>
      <c r="R482" s="4"/>
      <c r="S482" s="4"/>
      <c r="T482" s="4"/>
    </row>
    <row r="483" spans="1:20" x14ac:dyDescent="0.35">
      <c r="A483" s="3"/>
      <c r="B483" s="2"/>
      <c r="C483" s="4"/>
      <c r="D483" s="18"/>
      <c r="E483" s="4"/>
      <c r="F483" s="4"/>
      <c r="G483" s="14"/>
      <c r="H483" s="4"/>
      <c r="I483" s="4"/>
      <c r="J483" s="4"/>
      <c r="K483" s="4"/>
      <c r="L483" s="4"/>
      <c r="M483" s="4"/>
      <c r="N483" s="4"/>
      <c r="O483" s="14"/>
      <c r="P483" s="4"/>
      <c r="Q483" s="4"/>
      <c r="R483" s="4"/>
      <c r="S483" s="4"/>
      <c r="T483" s="4"/>
    </row>
    <row r="484" spans="1:20" x14ac:dyDescent="0.35">
      <c r="A484" s="3"/>
      <c r="B484" s="2"/>
      <c r="C484" s="4"/>
      <c r="D484" s="18"/>
      <c r="E484" s="4"/>
      <c r="F484" s="4"/>
      <c r="G484" s="14"/>
      <c r="H484" s="4"/>
      <c r="I484" s="4"/>
      <c r="J484" s="4"/>
      <c r="K484" s="4"/>
      <c r="L484" s="4"/>
      <c r="M484" s="4"/>
      <c r="N484" s="4"/>
      <c r="O484" s="14"/>
      <c r="P484" s="4"/>
      <c r="Q484" s="4"/>
      <c r="R484" s="4"/>
      <c r="S484" s="4"/>
      <c r="T484" s="4"/>
    </row>
    <row r="485" spans="1:20" x14ac:dyDescent="0.35">
      <c r="A485" s="3"/>
      <c r="B485" s="2"/>
      <c r="C485" s="4"/>
      <c r="D485" s="18"/>
      <c r="E485" s="4"/>
      <c r="F485" s="4"/>
      <c r="G485" s="14"/>
      <c r="H485" s="4"/>
      <c r="I485" s="4"/>
      <c r="J485" s="4"/>
      <c r="K485" s="4"/>
      <c r="L485" s="4"/>
      <c r="M485" s="4"/>
      <c r="N485" s="4"/>
      <c r="O485" s="14"/>
      <c r="P485" s="4"/>
      <c r="Q485" s="4"/>
      <c r="R485" s="4"/>
      <c r="S485" s="4"/>
      <c r="T485" s="4"/>
    </row>
    <row r="486" spans="1:20" x14ac:dyDescent="0.35">
      <c r="A486" s="3"/>
      <c r="B486" s="2"/>
      <c r="C486" s="4"/>
      <c r="D486" s="18"/>
      <c r="E486" s="4"/>
      <c r="F486" s="4"/>
      <c r="G486" s="14"/>
      <c r="H486" s="4"/>
      <c r="I486" s="4"/>
      <c r="J486" s="4"/>
      <c r="K486" s="4"/>
      <c r="L486" s="4"/>
      <c r="M486" s="4"/>
      <c r="N486" s="4"/>
      <c r="O486" s="14"/>
      <c r="P486" s="4"/>
      <c r="Q486" s="4"/>
      <c r="R486" s="4"/>
      <c r="S486" s="4"/>
      <c r="T486" s="4"/>
    </row>
    <row r="487" spans="1:20" x14ac:dyDescent="0.35">
      <c r="A487" s="3"/>
      <c r="B487" s="2"/>
      <c r="C487" s="4"/>
      <c r="D487" s="18"/>
      <c r="E487" s="4"/>
      <c r="F487" s="4"/>
      <c r="G487" s="14"/>
      <c r="H487" s="4"/>
      <c r="I487" s="4"/>
      <c r="J487" s="4"/>
      <c r="K487" s="4"/>
      <c r="L487" s="4"/>
      <c r="M487" s="4"/>
      <c r="N487" s="4"/>
      <c r="O487" s="14"/>
      <c r="P487" s="4"/>
      <c r="Q487" s="4"/>
      <c r="R487" s="4"/>
      <c r="S487" s="4"/>
      <c r="T487" s="4"/>
    </row>
    <row r="488" spans="1:20" x14ac:dyDescent="0.35">
      <c r="A488" s="3"/>
      <c r="B488" s="2"/>
      <c r="C488" s="4"/>
      <c r="D488" s="18"/>
      <c r="E488" s="4"/>
      <c r="F488" s="4"/>
      <c r="G488" s="14"/>
      <c r="H488" s="4"/>
      <c r="I488" s="4"/>
      <c r="J488" s="4"/>
      <c r="K488" s="4"/>
      <c r="L488" s="4"/>
      <c r="M488" s="4"/>
      <c r="N488" s="4"/>
      <c r="O488" s="14"/>
      <c r="P488" s="4"/>
      <c r="Q488" s="4"/>
      <c r="R488" s="4"/>
      <c r="S488" s="4"/>
      <c r="T488" s="4"/>
    </row>
    <row r="489" spans="1:20" x14ac:dyDescent="0.35">
      <c r="A489" s="3"/>
      <c r="B489" s="2"/>
      <c r="C489" s="4"/>
      <c r="D489" s="18"/>
      <c r="E489" s="4"/>
      <c r="F489" s="4"/>
      <c r="G489" s="14"/>
      <c r="H489" s="4"/>
      <c r="I489" s="4"/>
      <c r="J489" s="4"/>
      <c r="K489" s="4"/>
      <c r="L489" s="4"/>
      <c r="M489" s="4"/>
      <c r="N489" s="4"/>
      <c r="O489" s="14"/>
      <c r="P489" s="4"/>
      <c r="Q489" s="4"/>
      <c r="R489" s="4"/>
      <c r="S489" s="4"/>
      <c r="T489" s="4"/>
    </row>
    <row r="490" spans="1:20" x14ac:dyDescent="0.35">
      <c r="A490" s="3"/>
      <c r="B490" s="2"/>
      <c r="C490" s="4"/>
      <c r="D490" s="18"/>
      <c r="E490" s="4"/>
      <c r="F490" s="4"/>
      <c r="G490" s="14"/>
      <c r="H490" s="4"/>
      <c r="I490" s="4"/>
      <c r="J490" s="4"/>
      <c r="K490" s="4"/>
      <c r="L490" s="4"/>
      <c r="M490" s="4"/>
      <c r="N490" s="4"/>
      <c r="O490" s="14"/>
      <c r="P490" s="4"/>
      <c r="Q490" s="4"/>
      <c r="R490" s="4"/>
      <c r="S490" s="4"/>
      <c r="T490" s="4"/>
    </row>
    <row r="491" spans="1:20" x14ac:dyDescent="0.35">
      <c r="A491" s="3"/>
      <c r="B491" s="2"/>
      <c r="C491" s="4"/>
      <c r="D491" s="18"/>
      <c r="E491" s="4"/>
      <c r="F491" s="4"/>
      <c r="G491" s="14"/>
      <c r="H491" s="4"/>
      <c r="I491" s="4"/>
      <c r="J491" s="4"/>
      <c r="K491" s="4"/>
      <c r="L491" s="4"/>
      <c r="M491" s="4"/>
      <c r="N491" s="4"/>
      <c r="O491" s="14"/>
      <c r="P491" s="4"/>
      <c r="Q491" s="4"/>
      <c r="R491" s="4"/>
      <c r="S491" s="4"/>
      <c r="T491" s="4"/>
    </row>
    <row r="492" spans="1:20" x14ac:dyDescent="0.35">
      <c r="A492" s="3"/>
      <c r="B492" s="2"/>
      <c r="C492" s="4"/>
      <c r="D492" s="18"/>
      <c r="E492" s="4"/>
      <c r="F492" s="4"/>
      <c r="G492" s="14"/>
      <c r="H492" s="4"/>
      <c r="I492" s="4"/>
      <c r="J492" s="4"/>
      <c r="K492" s="4"/>
      <c r="L492" s="4"/>
      <c r="M492" s="4"/>
      <c r="N492" s="4"/>
      <c r="O492" s="14"/>
      <c r="P492" s="4"/>
      <c r="Q492" s="4"/>
      <c r="R492" s="4"/>
      <c r="S492" s="4"/>
      <c r="T492" s="4"/>
    </row>
    <row r="493" spans="1:20" x14ac:dyDescent="0.35">
      <c r="A493" s="3"/>
      <c r="B493" s="2"/>
      <c r="C493" s="4"/>
      <c r="D493" s="18"/>
      <c r="E493" s="4"/>
      <c r="F493" s="4"/>
      <c r="G493" s="14"/>
      <c r="H493" s="4"/>
      <c r="I493" s="4"/>
      <c r="J493" s="4"/>
      <c r="K493" s="4"/>
      <c r="L493" s="4"/>
      <c r="M493" s="4"/>
      <c r="N493" s="4"/>
      <c r="O493" s="14"/>
      <c r="P493" s="4"/>
      <c r="Q493" s="4"/>
      <c r="R493" s="4"/>
      <c r="S493" s="4"/>
      <c r="T493" s="4"/>
    </row>
    <row r="494" spans="1:20" x14ac:dyDescent="0.35">
      <c r="A494" s="3"/>
      <c r="B494" s="2"/>
      <c r="C494" s="4"/>
      <c r="D494" s="18"/>
      <c r="E494" s="4"/>
      <c r="F494" s="4"/>
      <c r="G494" s="14"/>
      <c r="H494" s="4"/>
      <c r="I494" s="4"/>
      <c r="J494" s="4"/>
      <c r="K494" s="4"/>
      <c r="L494" s="4"/>
      <c r="M494" s="4"/>
      <c r="N494" s="4"/>
      <c r="O494" s="14"/>
      <c r="P494" s="4"/>
      <c r="Q494" s="4"/>
      <c r="R494" s="4"/>
      <c r="S494" s="4"/>
      <c r="T494" s="4"/>
    </row>
    <row r="495" spans="1:20" x14ac:dyDescent="0.35">
      <c r="A495" s="3"/>
      <c r="B495" s="2"/>
      <c r="C495" s="4"/>
      <c r="D495" s="18"/>
      <c r="E495" s="4"/>
      <c r="F495" s="4"/>
      <c r="G495" s="14"/>
      <c r="H495" s="4"/>
      <c r="I495" s="4"/>
      <c r="J495" s="4"/>
      <c r="K495" s="4"/>
      <c r="L495" s="4"/>
      <c r="M495" s="4"/>
      <c r="N495" s="4"/>
      <c r="O495" s="14"/>
      <c r="P495" s="4"/>
      <c r="Q495" s="4"/>
      <c r="R495" s="4"/>
      <c r="S495" s="4"/>
      <c r="T495" s="4"/>
    </row>
    <row r="496" spans="1:20" x14ac:dyDescent="0.35">
      <c r="A496" s="3"/>
      <c r="B496" s="2"/>
      <c r="C496" s="4"/>
      <c r="D496" s="18"/>
      <c r="E496" s="4"/>
      <c r="F496" s="4"/>
      <c r="G496" s="14"/>
      <c r="H496" s="4"/>
      <c r="I496" s="4"/>
      <c r="J496" s="4"/>
      <c r="K496" s="4"/>
      <c r="L496" s="4"/>
      <c r="M496" s="4"/>
      <c r="N496" s="4"/>
      <c r="O496" s="14"/>
      <c r="P496" s="4"/>
      <c r="Q496" s="4"/>
      <c r="R496" s="4"/>
      <c r="S496" s="4"/>
      <c r="T496" s="4"/>
    </row>
    <row r="497" spans="1:20" x14ac:dyDescent="0.35">
      <c r="A497" s="3"/>
      <c r="B497" s="2"/>
      <c r="C497" s="4"/>
      <c r="D497" s="18"/>
      <c r="E497" s="4"/>
      <c r="F497" s="4"/>
      <c r="G497" s="14"/>
      <c r="H497" s="4"/>
      <c r="I497" s="4"/>
      <c r="J497" s="4"/>
      <c r="K497" s="4"/>
      <c r="L497" s="4"/>
      <c r="M497" s="4"/>
      <c r="N497" s="4"/>
      <c r="O497" s="14"/>
      <c r="P497" s="4"/>
      <c r="Q497" s="4"/>
      <c r="R497" s="4"/>
      <c r="S497" s="4"/>
      <c r="T497" s="4"/>
    </row>
    <row r="498" spans="1:20" x14ac:dyDescent="0.35">
      <c r="A498" s="3"/>
      <c r="B498" s="2"/>
      <c r="C498" s="4"/>
      <c r="D498" s="18"/>
      <c r="E498" s="4"/>
      <c r="F498" s="4"/>
      <c r="G498" s="14"/>
      <c r="H498" s="4"/>
      <c r="I498" s="4"/>
      <c r="J498" s="4"/>
      <c r="K498" s="4"/>
      <c r="L498" s="4"/>
      <c r="M498" s="4"/>
      <c r="N498" s="4"/>
      <c r="O498" s="14"/>
      <c r="P498" s="4"/>
      <c r="Q498" s="4"/>
      <c r="R498" s="4"/>
      <c r="S498" s="4"/>
      <c r="T498" s="4"/>
    </row>
    <row r="499" spans="1:20" x14ac:dyDescent="0.35">
      <c r="A499" s="3"/>
      <c r="B499" s="2"/>
      <c r="C499" s="4"/>
      <c r="D499" s="18"/>
      <c r="E499" s="4"/>
      <c r="F499" s="4"/>
      <c r="G499" s="14"/>
      <c r="H499" s="4"/>
      <c r="I499" s="4"/>
      <c r="J499" s="4"/>
      <c r="K499" s="4"/>
      <c r="L499" s="4"/>
      <c r="M499" s="4"/>
      <c r="N499" s="4"/>
      <c r="O499" s="14"/>
      <c r="P499" s="4"/>
      <c r="Q499" s="4"/>
      <c r="R499" s="4"/>
      <c r="S499" s="4"/>
      <c r="T499" s="4"/>
    </row>
    <row r="500" spans="1:20" x14ac:dyDescent="0.35">
      <c r="A500" s="3"/>
      <c r="B500" s="2"/>
      <c r="C500" s="4"/>
      <c r="D500" s="18"/>
      <c r="E500" s="4"/>
      <c r="F500" s="4"/>
      <c r="G500" s="14"/>
      <c r="H500" s="4"/>
      <c r="I500" s="4"/>
      <c r="J500" s="4"/>
      <c r="K500" s="4"/>
      <c r="L500" s="4"/>
      <c r="M500" s="4"/>
      <c r="N500" s="4"/>
      <c r="O500" s="14"/>
      <c r="P500" s="4"/>
      <c r="Q500" s="4"/>
      <c r="R500" s="4"/>
      <c r="S500" s="4"/>
      <c r="T500" s="4"/>
    </row>
    <row r="501" spans="1:20" x14ac:dyDescent="0.35">
      <c r="A501" s="3"/>
      <c r="B501" s="2"/>
      <c r="C501" s="4"/>
      <c r="D501" s="18"/>
      <c r="E501" s="4"/>
      <c r="F501" s="4"/>
      <c r="G501" s="14"/>
      <c r="H501" s="4"/>
      <c r="I501" s="4"/>
      <c r="J501" s="4"/>
      <c r="K501" s="4"/>
      <c r="L501" s="4"/>
      <c r="M501" s="4"/>
      <c r="N501" s="4"/>
      <c r="O501" s="14"/>
      <c r="P501" s="4"/>
      <c r="Q501" s="4"/>
      <c r="R501" s="4"/>
      <c r="S501" s="4"/>
      <c r="T501" s="4"/>
    </row>
    <row r="502" spans="1:20" x14ac:dyDescent="0.35">
      <c r="A502" s="3"/>
      <c r="B502" s="2"/>
      <c r="C502" s="4"/>
      <c r="D502" s="18"/>
      <c r="E502" s="4"/>
      <c r="F502" s="4"/>
      <c r="G502" s="14"/>
      <c r="H502" s="4"/>
      <c r="I502" s="4"/>
      <c r="J502" s="4"/>
      <c r="K502" s="4"/>
      <c r="L502" s="4"/>
      <c r="M502" s="4"/>
      <c r="N502" s="4"/>
      <c r="O502" s="14"/>
      <c r="P502" s="4"/>
      <c r="Q502" s="4"/>
      <c r="R502" s="4"/>
      <c r="S502" s="4"/>
      <c r="T502" s="4"/>
    </row>
    <row r="503" spans="1:20" x14ac:dyDescent="0.35">
      <c r="A503" s="3"/>
      <c r="B503" s="4"/>
      <c r="C503" s="4"/>
      <c r="D503" s="18"/>
      <c r="E503" s="4"/>
      <c r="F503" s="4"/>
      <c r="G503" s="14"/>
      <c r="H503" s="4"/>
      <c r="I503" s="4"/>
      <c r="J503" s="4"/>
      <c r="K503" s="4"/>
      <c r="L503" s="4"/>
      <c r="M503" s="4"/>
      <c r="N503" s="4"/>
      <c r="O503" s="14"/>
      <c r="P503" s="4"/>
      <c r="Q503" s="4"/>
      <c r="R503" s="4"/>
      <c r="S503" s="4"/>
      <c r="T503" s="4"/>
    </row>
    <row r="504" spans="1:20" x14ac:dyDescent="0.35">
      <c r="A504" s="3"/>
      <c r="B504" s="4"/>
      <c r="C504" s="4"/>
      <c r="D504" s="18"/>
      <c r="E504" s="4"/>
      <c r="F504" s="4"/>
      <c r="G504" s="14"/>
      <c r="H504" s="4"/>
      <c r="I504" s="4"/>
      <c r="J504" s="4"/>
      <c r="K504" s="4"/>
      <c r="L504" s="4"/>
      <c r="M504" s="4"/>
      <c r="N504" s="4"/>
      <c r="O504" s="14"/>
      <c r="P504" s="4"/>
      <c r="Q504" s="4"/>
      <c r="R504" s="4"/>
      <c r="S504" s="4"/>
      <c r="T504" s="4"/>
    </row>
    <row r="505" spans="1:20" x14ac:dyDescent="0.35">
      <c r="A505" s="3"/>
      <c r="B505" s="4"/>
      <c r="C505" s="4"/>
      <c r="D505" s="18"/>
      <c r="E505" s="4"/>
      <c r="F505" s="4"/>
      <c r="G505" s="14"/>
      <c r="H505" s="4"/>
      <c r="I505" s="4"/>
      <c r="J505" s="4"/>
      <c r="K505" s="4"/>
      <c r="L505" s="4"/>
      <c r="M505" s="4"/>
      <c r="N505" s="4"/>
      <c r="O505" s="14"/>
      <c r="P505" s="4"/>
      <c r="Q505" s="4"/>
      <c r="R505" s="4"/>
      <c r="S505" s="4"/>
      <c r="T505" s="4"/>
    </row>
    <row r="506" spans="1:20" x14ac:dyDescent="0.35">
      <c r="A506" s="3"/>
      <c r="B506" s="3"/>
      <c r="C506" s="19"/>
      <c r="D506" s="19"/>
      <c r="E506" s="6"/>
      <c r="F506" s="7"/>
      <c r="G506" s="8"/>
      <c r="H506" s="7"/>
      <c r="I506" s="9"/>
      <c r="J506" s="10"/>
      <c r="K506" s="7"/>
      <c r="L506" s="7"/>
      <c r="M506" s="7"/>
      <c r="N506" s="7"/>
      <c r="O506" s="35"/>
      <c r="P506" s="10"/>
      <c r="Q506" s="7"/>
      <c r="R506" s="11"/>
      <c r="S506" s="12"/>
      <c r="T506" s="13"/>
    </row>
    <row r="507" spans="1:20" x14ac:dyDescent="0.35">
      <c r="A507" s="3"/>
      <c r="B507" s="2"/>
      <c r="C507" s="4"/>
      <c r="D507" s="18"/>
      <c r="E507" s="4"/>
      <c r="F507" s="4"/>
      <c r="G507" s="14"/>
      <c r="H507" s="4"/>
      <c r="I507" s="4"/>
      <c r="J507" s="4"/>
      <c r="K507" s="4"/>
      <c r="L507" s="4"/>
      <c r="M507" s="4"/>
      <c r="N507" s="4"/>
      <c r="O507" s="14"/>
      <c r="P507" s="4"/>
      <c r="Q507" s="4"/>
      <c r="R507" s="4"/>
      <c r="S507" s="4"/>
      <c r="T507" s="4"/>
    </row>
    <row r="508" spans="1:20" x14ac:dyDescent="0.35">
      <c r="A508" s="3"/>
      <c r="B508" s="2"/>
      <c r="C508" s="4"/>
      <c r="D508" s="18"/>
      <c r="E508" s="4"/>
      <c r="F508" s="4"/>
      <c r="G508" s="14"/>
      <c r="H508" s="4"/>
      <c r="I508" s="4"/>
      <c r="J508" s="4"/>
      <c r="K508" s="4"/>
      <c r="L508" s="4"/>
      <c r="M508" s="4"/>
      <c r="N508" s="4"/>
      <c r="O508" s="14"/>
      <c r="P508" s="4"/>
      <c r="Q508" s="4"/>
      <c r="R508" s="4"/>
      <c r="S508" s="4"/>
      <c r="T508" s="4"/>
    </row>
    <row r="509" spans="1:20" x14ac:dyDescent="0.35">
      <c r="A509" s="3"/>
      <c r="B509" s="2"/>
      <c r="C509" s="4"/>
      <c r="D509" s="18"/>
      <c r="E509" s="4"/>
      <c r="F509" s="4"/>
      <c r="G509" s="14"/>
      <c r="H509" s="4"/>
      <c r="I509" s="4"/>
      <c r="J509" s="4"/>
      <c r="K509" s="4"/>
      <c r="L509" s="4"/>
      <c r="M509" s="4"/>
      <c r="N509" s="4"/>
      <c r="O509" s="14"/>
      <c r="P509" s="4"/>
      <c r="Q509" s="4"/>
      <c r="R509" s="4"/>
      <c r="S509" s="4"/>
      <c r="T509" s="4"/>
    </row>
    <row r="510" spans="1:20" x14ac:dyDescent="0.35">
      <c r="A510" s="3"/>
      <c r="B510" s="2"/>
      <c r="C510" s="4"/>
      <c r="D510" s="18"/>
      <c r="E510" s="4"/>
      <c r="F510" s="4"/>
      <c r="G510" s="14"/>
      <c r="H510" s="4"/>
      <c r="I510" s="4"/>
      <c r="J510" s="4"/>
      <c r="K510" s="4"/>
      <c r="L510" s="4"/>
      <c r="M510" s="4"/>
      <c r="N510" s="4"/>
      <c r="O510" s="14"/>
      <c r="P510" s="4"/>
      <c r="Q510" s="4"/>
      <c r="R510" s="4"/>
      <c r="S510" s="4"/>
      <c r="T510" s="4"/>
    </row>
    <row r="511" spans="1:20" x14ac:dyDescent="0.35">
      <c r="A511" s="3"/>
      <c r="B511" s="2"/>
      <c r="C511" s="4"/>
      <c r="D511" s="18"/>
      <c r="E511" s="4"/>
      <c r="F511" s="4"/>
      <c r="G511" s="14"/>
      <c r="H511" s="4"/>
      <c r="I511" s="4"/>
      <c r="J511" s="4"/>
      <c r="K511" s="4"/>
      <c r="L511" s="4"/>
      <c r="M511" s="4"/>
      <c r="N511" s="4"/>
      <c r="O511" s="14"/>
      <c r="P511" s="4"/>
      <c r="Q511" s="4"/>
      <c r="R511" s="4"/>
      <c r="S511" s="4"/>
      <c r="T511" s="4"/>
    </row>
    <row r="512" spans="1:20" x14ac:dyDescent="0.35">
      <c r="A512" s="3"/>
      <c r="B512" s="2"/>
      <c r="C512" s="4"/>
      <c r="D512" s="18"/>
      <c r="E512" s="4"/>
      <c r="F512" s="4"/>
      <c r="G512" s="14"/>
      <c r="H512" s="4"/>
      <c r="I512" s="4"/>
      <c r="J512" s="4"/>
      <c r="K512" s="4"/>
      <c r="L512" s="4"/>
      <c r="M512" s="4"/>
      <c r="N512" s="4"/>
      <c r="O512" s="14"/>
      <c r="P512" s="4"/>
      <c r="Q512" s="4"/>
      <c r="R512" s="4"/>
      <c r="S512" s="4"/>
      <c r="T512" s="4"/>
    </row>
    <row r="513" spans="1:20" x14ac:dyDescent="0.35">
      <c r="A513" s="3"/>
      <c r="B513" s="2"/>
      <c r="C513" s="4"/>
      <c r="D513" s="18"/>
      <c r="E513" s="4"/>
      <c r="F513" s="4"/>
      <c r="G513" s="14"/>
      <c r="H513" s="4"/>
      <c r="I513" s="4"/>
      <c r="J513" s="4"/>
      <c r="K513" s="4"/>
      <c r="L513" s="4"/>
      <c r="M513" s="4"/>
      <c r="N513" s="4"/>
      <c r="O513" s="14"/>
      <c r="P513" s="4"/>
      <c r="Q513" s="4"/>
      <c r="R513" s="4"/>
      <c r="S513" s="4"/>
      <c r="T513" s="4"/>
    </row>
    <row r="514" spans="1:20" x14ac:dyDescent="0.35">
      <c r="A514" s="3"/>
      <c r="B514" s="2"/>
      <c r="C514" s="4"/>
      <c r="D514" s="18"/>
      <c r="E514" s="4"/>
      <c r="F514" s="4"/>
      <c r="G514" s="14"/>
      <c r="H514" s="4"/>
      <c r="I514" s="4"/>
      <c r="J514" s="4"/>
      <c r="K514" s="4"/>
      <c r="L514" s="4"/>
      <c r="M514" s="4"/>
      <c r="N514" s="4"/>
      <c r="O514" s="14"/>
      <c r="P514" s="4"/>
      <c r="Q514" s="4"/>
      <c r="R514" s="4"/>
      <c r="S514" s="4"/>
      <c r="T514" s="4"/>
    </row>
    <row r="515" spans="1:20" x14ac:dyDescent="0.35">
      <c r="A515" s="3"/>
      <c r="B515" s="2"/>
      <c r="C515" s="4"/>
      <c r="D515" s="18"/>
      <c r="E515" s="4"/>
      <c r="F515" s="4"/>
      <c r="G515" s="14"/>
      <c r="H515" s="4"/>
      <c r="I515" s="4"/>
      <c r="J515" s="4"/>
      <c r="K515" s="4"/>
      <c r="L515" s="4"/>
      <c r="M515" s="4"/>
      <c r="N515" s="4"/>
      <c r="O515" s="14"/>
      <c r="P515" s="4"/>
      <c r="Q515" s="4"/>
      <c r="R515" s="4"/>
      <c r="S515" s="4"/>
      <c r="T515" s="4"/>
    </row>
    <row r="516" spans="1:20" x14ac:dyDescent="0.35">
      <c r="A516" s="3"/>
      <c r="B516" s="2"/>
      <c r="C516" s="4"/>
      <c r="D516" s="18"/>
      <c r="E516" s="4"/>
      <c r="F516" s="4"/>
      <c r="G516" s="14"/>
      <c r="H516" s="4"/>
      <c r="I516" s="4"/>
      <c r="J516" s="4"/>
      <c r="K516" s="4"/>
      <c r="L516" s="4"/>
      <c r="M516" s="4"/>
      <c r="N516" s="4"/>
      <c r="O516" s="14"/>
      <c r="P516" s="4"/>
      <c r="Q516" s="4"/>
      <c r="R516" s="4"/>
      <c r="S516" s="4"/>
      <c r="T516" s="4"/>
    </row>
    <row r="517" spans="1:20" x14ac:dyDescent="0.35">
      <c r="A517" s="3"/>
      <c r="B517" s="2"/>
      <c r="C517" s="4"/>
      <c r="D517" s="18"/>
      <c r="E517" s="4"/>
      <c r="F517" s="4"/>
      <c r="G517" s="14"/>
      <c r="H517" s="4"/>
      <c r="I517" s="4"/>
      <c r="J517" s="4"/>
      <c r="K517" s="4"/>
      <c r="L517" s="4"/>
      <c r="M517" s="4"/>
      <c r="N517" s="4"/>
      <c r="O517" s="14"/>
      <c r="P517" s="4"/>
      <c r="Q517" s="4"/>
      <c r="R517" s="4"/>
      <c r="S517" s="4"/>
      <c r="T517" s="4"/>
    </row>
    <row r="518" spans="1:20" x14ac:dyDescent="0.35">
      <c r="A518" s="3"/>
      <c r="B518" s="2"/>
      <c r="C518" s="4"/>
      <c r="D518" s="18"/>
      <c r="E518" s="4"/>
      <c r="F518" s="4"/>
      <c r="G518" s="14"/>
      <c r="H518" s="4"/>
      <c r="I518" s="4"/>
      <c r="J518" s="4"/>
      <c r="K518" s="4"/>
      <c r="L518" s="4"/>
      <c r="M518" s="4"/>
      <c r="N518" s="4"/>
      <c r="O518" s="14"/>
      <c r="P518" s="4"/>
      <c r="Q518" s="4"/>
      <c r="R518" s="4"/>
      <c r="S518" s="4"/>
      <c r="T518" s="4"/>
    </row>
    <row r="519" spans="1:20" x14ac:dyDescent="0.35">
      <c r="A519" s="3"/>
      <c r="B519" s="2"/>
      <c r="C519" s="4"/>
      <c r="D519" s="18"/>
      <c r="E519" s="4"/>
      <c r="F519" s="4"/>
      <c r="G519" s="14"/>
      <c r="H519" s="4"/>
      <c r="I519" s="4"/>
      <c r="J519" s="4"/>
      <c r="K519" s="4"/>
      <c r="L519" s="4"/>
      <c r="M519" s="4"/>
      <c r="N519" s="4"/>
      <c r="O519" s="14"/>
      <c r="P519" s="4"/>
      <c r="Q519" s="4"/>
      <c r="R519" s="4"/>
      <c r="S519" s="4"/>
      <c r="T519" s="4"/>
    </row>
    <row r="520" spans="1:20" x14ac:dyDescent="0.35">
      <c r="A520" s="3"/>
      <c r="B520" s="2"/>
      <c r="C520" s="4"/>
      <c r="D520" s="18"/>
      <c r="E520" s="4"/>
      <c r="F520" s="4"/>
      <c r="G520" s="14"/>
      <c r="H520" s="4"/>
      <c r="I520" s="4"/>
      <c r="J520" s="4"/>
      <c r="K520" s="4"/>
      <c r="L520" s="4"/>
      <c r="M520" s="4"/>
      <c r="N520" s="4"/>
      <c r="O520" s="14"/>
      <c r="P520" s="4"/>
      <c r="Q520" s="4"/>
      <c r="R520" s="4"/>
      <c r="S520" s="4"/>
      <c r="T520" s="4"/>
    </row>
    <row r="521" spans="1:20" x14ac:dyDescent="0.35">
      <c r="A521" s="3"/>
      <c r="B521" s="2"/>
      <c r="C521" s="4"/>
      <c r="D521" s="18"/>
      <c r="E521" s="4"/>
      <c r="F521" s="4"/>
      <c r="G521" s="14"/>
      <c r="H521" s="4"/>
      <c r="I521" s="4"/>
      <c r="J521" s="4"/>
      <c r="K521" s="4"/>
      <c r="L521" s="4"/>
      <c r="M521" s="4"/>
      <c r="N521" s="4"/>
      <c r="O521" s="14"/>
      <c r="P521" s="4"/>
      <c r="Q521" s="4"/>
      <c r="R521" s="4"/>
      <c r="S521" s="4"/>
      <c r="T521" s="4"/>
    </row>
    <row r="522" spans="1:20" x14ac:dyDescent="0.35">
      <c r="A522" s="3"/>
      <c r="B522" s="2"/>
      <c r="C522" s="4"/>
      <c r="D522" s="18"/>
      <c r="E522" s="4"/>
      <c r="F522" s="4"/>
      <c r="G522" s="14"/>
      <c r="H522" s="4"/>
      <c r="I522" s="4"/>
      <c r="J522" s="4"/>
      <c r="K522" s="4"/>
      <c r="L522" s="4"/>
      <c r="M522" s="4"/>
      <c r="N522" s="4"/>
      <c r="O522" s="14"/>
      <c r="P522" s="4"/>
      <c r="Q522" s="4"/>
      <c r="R522" s="4"/>
      <c r="S522" s="4"/>
      <c r="T522" s="4"/>
    </row>
    <row r="523" spans="1:20" x14ac:dyDescent="0.35">
      <c r="A523" s="3"/>
      <c r="B523" s="2"/>
      <c r="C523" s="4"/>
      <c r="D523" s="18"/>
      <c r="E523" s="4"/>
      <c r="F523" s="4"/>
      <c r="G523" s="14"/>
      <c r="H523" s="4"/>
      <c r="I523" s="4"/>
      <c r="J523" s="4"/>
      <c r="K523" s="4"/>
      <c r="L523" s="4"/>
      <c r="M523" s="4"/>
      <c r="N523" s="4"/>
      <c r="O523" s="14"/>
      <c r="P523" s="4"/>
      <c r="Q523" s="4"/>
      <c r="R523" s="4"/>
      <c r="S523" s="4"/>
      <c r="T523" s="4"/>
    </row>
    <row r="524" spans="1:20" x14ac:dyDescent="0.35">
      <c r="A524" s="3"/>
      <c r="B524" s="2"/>
      <c r="C524" s="4"/>
      <c r="D524" s="18"/>
      <c r="E524" s="4"/>
      <c r="F524" s="4"/>
      <c r="G524" s="14"/>
      <c r="H524" s="4"/>
      <c r="I524" s="4"/>
      <c r="J524" s="4"/>
      <c r="K524" s="4"/>
      <c r="L524" s="4"/>
      <c r="M524" s="4"/>
      <c r="N524" s="4"/>
      <c r="O524" s="14"/>
      <c r="P524" s="4"/>
      <c r="Q524" s="4"/>
      <c r="R524" s="4"/>
      <c r="S524" s="4"/>
      <c r="T524" s="4"/>
    </row>
    <row r="525" spans="1:20" x14ac:dyDescent="0.35">
      <c r="A525" s="3"/>
      <c r="B525" s="2"/>
      <c r="C525" s="4"/>
      <c r="D525" s="18"/>
      <c r="E525" s="4"/>
      <c r="F525" s="4"/>
      <c r="G525" s="14"/>
      <c r="H525" s="4"/>
      <c r="I525" s="4"/>
      <c r="J525" s="4"/>
      <c r="K525" s="4"/>
      <c r="L525" s="4"/>
      <c r="M525" s="4"/>
      <c r="N525" s="4"/>
      <c r="O525" s="14"/>
      <c r="P525" s="4"/>
      <c r="Q525" s="4"/>
      <c r="R525" s="4"/>
      <c r="S525" s="4"/>
      <c r="T525" s="4"/>
    </row>
    <row r="526" spans="1:20" x14ac:dyDescent="0.35">
      <c r="A526" s="3"/>
      <c r="B526" s="2"/>
      <c r="C526" s="4"/>
      <c r="D526" s="18"/>
      <c r="E526" s="4"/>
      <c r="F526" s="4"/>
      <c r="G526" s="14"/>
      <c r="H526" s="4"/>
      <c r="I526" s="4"/>
      <c r="J526" s="4"/>
      <c r="K526" s="4"/>
      <c r="L526" s="4"/>
      <c r="M526" s="4"/>
      <c r="N526" s="4"/>
      <c r="O526" s="14"/>
      <c r="P526" s="4"/>
      <c r="Q526" s="4"/>
      <c r="R526" s="4"/>
      <c r="S526" s="4"/>
      <c r="T526" s="4"/>
    </row>
    <row r="527" spans="1:20" x14ac:dyDescent="0.35">
      <c r="A527" s="3"/>
      <c r="B527" s="2"/>
      <c r="C527" s="4"/>
      <c r="D527" s="18"/>
      <c r="E527" s="4"/>
      <c r="F527" s="4"/>
      <c r="G527" s="14"/>
      <c r="H527" s="4"/>
      <c r="I527" s="4"/>
      <c r="J527" s="4"/>
      <c r="K527" s="4"/>
      <c r="L527" s="4"/>
      <c r="M527" s="4"/>
      <c r="N527" s="4"/>
      <c r="O527" s="14"/>
      <c r="P527" s="4"/>
      <c r="Q527" s="4"/>
      <c r="R527" s="4"/>
      <c r="S527" s="4"/>
      <c r="T527" s="4"/>
    </row>
    <row r="528" spans="1:20" x14ac:dyDescent="0.35">
      <c r="A528" s="3"/>
      <c r="B528" s="2"/>
      <c r="C528" s="4"/>
      <c r="D528" s="18"/>
      <c r="E528" s="4"/>
      <c r="F528" s="4"/>
      <c r="G528" s="14"/>
      <c r="H528" s="4"/>
      <c r="I528" s="4"/>
      <c r="J528" s="4"/>
      <c r="K528" s="4"/>
      <c r="L528" s="4"/>
      <c r="M528" s="4"/>
      <c r="N528" s="4"/>
      <c r="O528" s="14"/>
      <c r="P528" s="4"/>
      <c r="Q528" s="4"/>
      <c r="R528" s="4"/>
      <c r="S528" s="4"/>
      <c r="T528" s="4"/>
    </row>
    <row r="529" spans="1:20" x14ac:dyDescent="0.35">
      <c r="A529" s="3"/>
      <c r="B529" s="2"/>
      <c r="C529" s="4"/>
      <c r="D529" s="18"/>
      <c r="E529" s="4"/>
      <c r="F529" s="4"/>
      <c r="G529" s="14"/>
      <c r="H529" s="4"/>
      <c r="I529" s="4"/>
      <c r="J529" s="4"/>
      <c r="K529" s="4"/>
      <c r="L529" s="4"/>
      <c r="M529" s="4"/>
      <c r="N529" s="4"/>
      <c r="O529" s="14"/>
      <c r="P529" s="4"/>
      <c r="Q529" s="4"/>
      <c r="R529" s="4"/>
      <c r="S529" s="4"/>
      <c r="T529" s="4"/>
    </row>
    <row r="530" spans="1:20" x14ac:dyDescent="0.35">
      <c r="A530" s="3"/>
      <c r="B530" s="2"/>
      <c r="C530" s="4"/>
      <c r="D530" s="18"/>
      <c r="E530" s="4"/>
      <c r="F530" s="4"/>
      <c r="G530" s="14"/>
      <c r="H530" s="4"/>
      <c r="I530" s="4"/>
      <c r="J530" s="4"/>
      <c r="K530" s="4"/>
      <c r="L530" s="4"/>
      <c r="M530" s="4"/>
      <c r="N530" s="4"/>
      <c r="O530" s="14"/>
      <c r="P530" s="4"/>
      <c r="Q530" s="4"/>
      <c r="R530" s="4"/>
      <c r="S530" s="4"/>
      <c r="T530" s="4"/>
    </row>
    <row r="531" spans="1:20" x14ac:dyDescent="0.35">
      <c r="A531" s="3"/>
      <c r="B531" s="2"/>
      <c r="C531" s="4"/>
      <c r="D531" s="18"/>
      <c r="E531" s="4"/>
      <c r="F531" s="4"/>
      <c r="G531" s="14"/>
      <c r="H531" s="4"/>
      <c r="I531" s="4"/>
      <c r="J531" s="4"/>
      <c r="K531" s="4"/>
      <c r="L531" s="4"/>
      <c r="M531" s="4"/>
      <c r="N531" s="4"/>
      <c r="O531" s="14"/>
      <c r="P531" s="4"/>
      <c r="Q531" s="4"/>
      <c r="R531" s="4"/>
      <c r="S531" s="4"/>
      <c r="T531" s="4"/>
    </row>
    <row r="532" spans="1:20" x14ac:dyDescent="0.35">
      <c r="A532" s="3"/>
      <c r="B532" s="2"/>
      <c r="C532" s="4"/>
      <c r="D532" s="18"/>
      <c r="E532" s="4"/>
      <c r="F532" s="4"/>
      <c r="G532" s="14"/>
      <c r="H532" s="4"/>
      <c r="I532" s="4"/>
      <c r="J532" s="4"/>
      <c r="K532" s="4"/>
      <c r="L532" s="4"/>
      <c r="M532" s="4"/>
      <c r="N532" s="4"/>
      <c r="O532" s="14"/>
      <c r="P532" s="4"/>
      <c r="Q532" s="4"/>
      <c r="R532" s="4"/>
      <c r="S532" s="4"/>
      <c r="T532" s="4"/>
    </row>
    <row r="533" spans="1:20" x14ac:dyDescent="0.35">
      <c r="A533" s="3"/>
      <c r="B533" s="2"/>
      <c r="C533" s="4"/>
      <c r="D533" s="18"/>
      <c r="E533" s="4"/>
      <c r="F533" s="4"/>
      <c r="G533" s="14"/>
      <c r="H533" s="4"/>
      <c r="I533" s="4"/>
      <c r="J533" s="4"/>
      <c r="K533" s="4"/>
      <c r="L533" s="4"/>
      <c r="M533" s="4"/>
      <c r="N533" s="4"/>
      <c r="O533" s="14"/>
      <c r="P533" s="4"/>
      <c r="Q533" s="4"/>
      <c r="R533" s="4"/>
      <c r="S533" s="4"/>
      <c r="T533" s="4"/>
    </row>
    <row r="534" spans="1:20" x14ac:dyDescent="0.35">
      <c r="A534" s="3"/>
      <c r="B534" s="2"/>
      <c r="C534" s="4"/>
      <c r="D534" s="18"/>
      <c r="E534" s="4"/>
      <c r="F534" s="4"/>
      <c r="G534" s="14"/>
      <c r="H534" s="4"/>
      <c r="I534" s="4"/>
      <c r="J534" s="4"/>
      <c r="K534" s="4"/>
      <c r="L534" s="4"/>
      <c r="M534" s="4"/>
      <c r="N534" s="4"/>
      <c r="O534" s="14"/>
      <c r="P534" s="4"/>
      <c r="Q534" s="4"/>
      <c r="R534" s="4"/>
      <c r="S534" s="4"/>
      <c r="T534" s="4"/>
    </row>
    <row r="535" spans="1:20" x14ac:dyDescent="0.35">
      <c r="A535" s="3"/>
      <c r="B535" s="2"/>
      <c r="C535" s="4"/>
      <c r="D535" s="18"/>
      <c r="E535" s="4"/>
      <c r="F535" s="4"/>
      <c r="G535" s="14"/>
      <c r="H535" s="4"/>
      <c r="I535" s="4"/>
      <c r="J535" s="4"/>
      <c r="K535" s="4"/>
      <c r="L535" s="4"/>
      <c r="M535" s="4"/>
      <c r="N535" s="4"/>
      <c r="O535" s="14"/>
      <c r="P535" s="4"/>
      <c r="Q535" s="4"/>
      <c r="R535" s="4"/>
      <c r="S535" s="4"/>
      <c r="T535" s="4"/>
    </row>
    <row r="536" spans="1:20" x14ac:dyDescent="0.35">
      <c r="A536" s="3"/>
      <c r="B536" s="2"/>
      <c r="C536" s="4"/>
      <c r="D536" s="18"/>
      <c r="E536" s="4"/>
      <c r="F536" s="4"/>
      <c r="G536" s="14"/>
      <c r="H536" s="4"/>
      <c r="I536" s="4"/>
      <c r="J536" s="4"/>
      <c r="K536" s="4"/>
      <c r="L536" s="4"/>
      <c r="M536" s="4"/>
      <c r="N536" s="4"/>
      <c r="O536" s="14"/>
      <c r="P536" s="4"/>
      <c r="Q536" s="4"/>
      <c r="R536" s="4"/>
      <c r="S536" s="4"/>
      <c r="T536" s="4"/>
    </row>
    <row r="537" spans="1:20" x14ac:dyDescent="0.35">
      <c r="A537" s="3"/>
      <c r="B537" s="2"/>
      <c r="C537" s="4"/>
      <c r="D537" s="18"/>
      <c r="E537" s="4"/>
      <c r="F537" s="4"/>
      <c r="G537" s="14"/>
      <c r="H537" s="4"/>
      <c r="I537" s="4"/>
      <c r="J537" s="4"/>
      <c r="K537" s="4"/>
      <c r="L537" s="4"/>
      <c r="M537" s="4"/>
      <c r="N537" s="4"/>
      <c r="O537" s="14"/>
      <c r="P537" s="4"/>
      <c r="Q537" s="4"/>
      <c r="R537" s="4"/>
      <c r="S537" s="4"/>
      <c r="T537" s="4"/>
    </row>
    <row r="538" spans="1:20" x14ac:dyDescent="0.35">
      <c r="A538" s="3"/>
      <c r="B538" s="4"/>
      <c r="C538" s="4"/>
      <c r="D538" s="18"/>
      <c r="E538" s="4"/>
      <c r="F538" s="4"/>
      <c r="G538" s="14"/>
      <c r="H538" s="4"/>
      <c r="I538" s="4"/>
      <c r="J538" s="4"/>
      <c r="K538" s="4"/>
      <c r="L538" s="4"/>
      <c r="M538" s="4"/>
      <c r="N538" s="4"/>
      <c r="O538" s="14"/>
      <c r="P538" s="4"/>
      <c r="Q538" s="4"/>
      <c r="R538" s="4"/>
      <c r="S538" s="4"/>
      <c r="T538" s="4"/>
    </row>
    <row r="539" spans="1:20" x14ac:dyDescent="0.35">
      <c r="A539" s="3"/>
      <c r="B539" s="4"/>
      <c r="C539" s="4"/>
      <c r="D539" s="18"/>
      <c r="E539" s="4"/>
      <c r="F539" s="4"/>
      <c r="G539" s="14"/>
      <c r="H539" s="4"/>
      <c r="I539" s="4"/>
      <c r="J539" s="4"/>
      <c r="K539" s="4"/>
      <c r="L539" s="4"/>
      <c r="M539" s="4"/>
      <c r="N539" s="4"/>
      <c r="O539" s="14"/>
      <c r="P539" s="4"/>
      <c r="Q539" s="4"/>
      <c r="R539" s="4"/>
      <c r="S539" s="4"/>
      <c r="T539" s="4"/>
    </row>
    <row r="540" spans="1:20" x14ac:dyDescent="0.35">
      <c r="A540" s="3"/>
      <c r="B540" s="3"/>
      <c r="C540" s="19"/>
      <c r="D540" s="19"/>
      <c r="E540" s="6"/>
      <c r="F540" s="7"/>
      <c r="G540" s="8"/>
      <c r="H540" s="7"/>
      <c r="I540" s="9"/>
      <c r="J540" s="10"/>
      <c r="K540" s="7"/>
      <c r="L540" s="7"/>
      <c r="M540" s="7"/>
      <c r="N540" s="7"/>
      <c r="O540" s="35"/>
      <c r="P540" s="10"/>
      <c r="Q540" s="7"/>
      <c r="R540" s="11"/>
      <c r="S540" s="12"/>
      <c r="T540" s="13"/>
    </row>
    <row r="541" spans="1:20" x14ac:dyDescent="0.35">
      <c r="A541" s="3"/>
      <c r="B541" s="2"/>
      <c r="C541" s="4"/>
      <c r="D541" s="18"/>
      <c r="E541" s="4"/>
      <c r="F541" s="4"/>
      <c r="G541" s="14"/>
      <c r="H541" s="4"/>
      <c r="I541" s="4"/>
      <c r="J541" s="4"/>
      <c r="K541" s="4"/>
      <c r="L541" s="4"/>
      <c r="M541" s="4"/>
      <c r="N541" s="4"/>
      <c r="O541" s="14"/>
      <c r="P541" s="4"/>
      <c r="Q541" s="4"/>
      <c r="R541" s="4"/>
      <c r="S541" s="4"/>
      <c r="T541" s="4"/>
    </row>
    <row r="542" spans="1:20" x14ac:dyDescent="0.35">
      <c r="A542" s="3"/>
      <c r="B542" s="2"/>
      <c r="C542" s="4"/>
      <c r="D542" s="18"/>
      <c r="E542" s="4"/>
      <c r="F542" s="4"/>
      <c r="G542" s="14"/>
      <c r="H542" s="4"/>
      <c r="I542" s="4"/>
      <c r="J542" s="4"/>
      <c r="K542" s="4"/>
      <c r="L542" s="4"/>
      <c r="M542" s="4"/>
      <c r="N542" s="4"/>
      <c r="O542" s="14"/>
      <c r="P542" s="4"/>
      <c r="Q542" s="4"/>
      <c r="R542" s="4"/>
      <c r="S542" s="4"/>
      <c r="T542" s="4"/>
    </row>
    <row r="543" spans="1:20" x14ac:dyDescent="0.35">
      <c r="B543" s="5"/>
      <c r="C543" s="16"/>
      <c r="D543" s="20"/>
      <c r="E543" s="16"/>
      <c r="F543" s="16"/>
      <c r="G543" s="15"/>
      <c r="H543" s="16"/>
      <c r="I543" s="16"/>
      <c r="J543" s="16"/>
      <c r="K543" s="16"/>
      <c r="L543" s="16"/>
      <c r="M543" s="16"/>
      <c r="N543" s="16"/>
      <c r="O543" s="15"/>
      <c r="P543" s="16"/>
      <c r="Q543" s="16"/>
      <c r="R543" s="16"/>
      <c r="S543" s="16"/>
      <c r="T543" s="16"/>
    </row>
    <row r="544" spans="1:20" x14ac:dyDescent="0.35">
      <c r="B544" s="2"/>
      <c r="C544" s="4"/>
      <c r="D544" s="18"/>
      <c r="E544" s="4"/>
      <c r="F544" s="4"/>
      <c r="G544" s="14"/>
      <c r="H544" s="4"/>
      <c r="I544" s="4"/>
      <c r="J544" s="4"/>
      <c r="K544" s="4"/>
      <c r="L544" s="4"/>
      <c r="M544" s="4"/>
      <c r="N544" s="4"/>
      <c r="O544" s="14"/>
      <c r="P544" s="4"/>
      <c r="Q544" s="4"/>
      <c r="R544" s="4"/>
      <c r="S544" s="4"/>
      <c r="T544" s="4"/>
    </row>
    <row r="545" spans="2:20" x14ac:dyDescent="0.35">
      <c r="B545" s="2"/>
      <c r="C545" s="4"/>
      <c r="D545" s="18"/>
      <c r="E545" s="4"/>
      <c r="F545" s="4"/>
      <c r="G545" s="14"/>
      <c r="H545" s="4"/>
      <c r="I545" s="4"/>
      <c r="J545" s="4"/>
      <c r="K545" s="4"/>
      <c r="L545" s="4"/>
      <c r="M545" s="4"/>
      <c r="N545" s="4"/>
      <c r="O545" s="14"/>
      <c r="P545" s="4"/>
      <c r="Q545" s="4"/>
      <c r="R545" s="4"/>
      <c r="S545" s="4"/>
      <c r="T545" s="4"/>
    </row>
    <row r="546" spans="2:20" x14ac:dyDescent="0.35">
      <c r="B546" s="2"/>
      <c r="C546" s="4"/>
      <c r="D546" s="18"/>
      <c r="E546" s="4"/>
      <c r="F546" s="4"/>
      <c r="G546" s="14"/>
      <c r="H546" s="4"/>
      <c r="I546" s="4"/>
      <c r="J546" s="4"/>
      <c r="K546" s="4"/>
      <c r="L546" s="4"/>
      <c r="M546" s="4"/>
      <c r="N546" s="4"/>
      <c r="O546" s="14"/>
      <c r="P546" s="4"/>
      <c r="Q546" s="4"/>
      <c r="R546" s="4"/>
      <c r="S546" s="4"/>
      <c r="T546" s="4"/>
    </row>
    <row r="547" spans="2:20" x14ac:dyDescent="0.35">
      <c r="B547" s="2"/>
      <c r="C547" s="4"/>
      <c r="D547" s="18"/>
      <c r="E547" s="4"/>
      <c r="F547" s="4"/>
      <c r="G547" s="14"/>
      <c r="H547" s="4"/>
      <c r="I547" s="4"/>
      <c r="J547" s="4"/>
      <c r="K547" s="4"/>
      <c r="L547" s="4"/>
      <c r="M547" s="4"/>
      <c r="N547" s="4"/>
      <c r="O547" s="14"/>
      <c r="P547" s="4"/>
      <c r="Q547" s="4"/>
      <c r="R547" s="4"/>
      <c r="S547" s="4"/>
      <c r="T547" s="4"/>
    </row>
    <row r="548" spans="2:20" x14ac:dyDescent="0.35">
      <c r="B548" s="2"/>
      <c r="C548" s="4"/>
      <c r="D548" s="18"/>
      <c r="E548" s="4"/>
      <c r="F548" s="4"/>
      <c r="G548" s="14"/>
      <c r="H548" s="4"/>
      <c r="I548" s="4"/>
      <c r="J548" s="4"/>
      <c r="K548" s="4"/>
      <c r="L548" s="4"/>
      <c r="M548" s="4"/>
      <c r="N548" s="4"/>
      <c r="O548" s="14"/>
      <c r="P548" s="4"/>
      <c r="Q548" s="4"/>
      <c r="R548" s="4"/>
      <c r="S548" s="4"/>
      <c r="T548" s="4"/>
    </row>
    <row r="549" spans="2:20" x14ac:dyDescent="0.35">
      <c r="B549" s="2"/>
      <c r="C549" s="4"/>
      <c r="D549" s="18"/>
      <c r="E549" s="4"/>
      <c r="F549" s="4"/>
      <c r="G549" s="14"/>
      <c r="H549" s="4"/>
      <c r="I549" s="4"/>
      <c r="J549" s="4"/>
      <c r="K549" s="4"/>
      <c r="L549" s="4"/>
      <c r="M549" s="4"/>
      <c r="N549" s="4"/>
      <c r="O549" s="14"/>
      <c r="P549" s="4"/>
      <c r="Q549" s="4"/>
      <c r="R549" s="4"/>
      <c r="S549" s="4"/>
      <c r="T549" s="4"/>
    </row>
    <row r="550" spans="2:20" x14ac:dyDescent="0.35">
      <c r="B550" s="2"/>
      <c r="C550" s="4"/>
      <c r="D550" s="18"/>
      <c r="E550" s="4"/>
      <c r="F550" s="4"/>
      <c r="G550" s="14"/>
      <c r="H550" s="4"/>
      <c r="I550" s="4"/>
      <c r="J550" s="4"/>
      <c r="K550" s="4"/>
      <c r="L550" s="4"/>
      <c r="M550" s="4"/>
      <c r="N550" s="4"/>
      <c r="O550" s="14"/>
      <c r="P550" s="4"/>
      <c r="Q550" s="4"/>
      <c r="R550" s="4"/>
      <c r="S550" s="4"/>
      <c r="T550" s="4"/>
    </row>
    <row r="551" spans="2:20" x14ac:dyDescent="0.35">
      <c r="B551" s="2"/>
      <c r="C551" s="4"/>
      <c r="D551" s="18"/>
      <c r="E551" s="4"/>
      <c r="F551" s="4"/>
      <c r="G551" s="14"/>
      <c r="H551" s="4"/>
      <c r="I551" s="4"/>
      <c r="J551" s="4"/>
      <c r="K551" s="4"/>
      <c r="L551" s="4"/>
      <c r="M551" s="4"/>
      <c r="N551" s="4"/>
      <c r="O551" s="14"/>
      <c r="P551" s="4"/>
      <c r="Q551" s="4"/>
      <c r="R551" s="4"/>
      <c r="S551" s="4"/>
      <c r="T551" s="4"/>
    </row>
    <row r="552" spans="2:20" x14ac:dyDescent="0.35">
      <c r="B552" s="2"/>
      <c r="C552" s="4"/>
      <c r="D552" s="18"/>
      <c r="E552" s="4"/>
      <c r="F552" s="4"/>
      <c r="G552" s="14"/>
      <c r="H552" s="4"/>
      <c r="I552" s="4"/>
      <c r="J552" s="4"/>
      <c r="K552" s="4"/>
      <c r="L552" s="4"/>
      <c r="M552" s="4"/>
      <c r="N552" s="4"/>
      <c r="O552" s="14"/>
      <c r="P552" s="4"/>
      <c r="Q552" s="4"/>
      <c r="R552" s="4"/>
      <c r="S552" s="4"/>
      <c r="T552" s="4"/>
    </row>
    <row r="553" spans="2:20" x14ac:dyDescent="0.35">
      <c r="B553" s="2"/>
      <c r="C553" s="4"/>
      <c r="D553" s="18"/>
      <c r="E553" s="4"/>
      <c r="F553" s="4"/>
      <c r="G553" s="14"/>
      <c r="H553" s="4"/>
      <c r="I553" s="4"/>
      <c r="J553" s="4"/>
      <c r="K553" s="4"/>
      <c r="L553" s="4"/>
      <c r="M553" s="4"/>
      <c r="N553" s="4"/>
      <c r="O553" s="14"/>
      <c r="P553" s="4"/>
      <c r="Q553" s="4"/>
      <c r="R553" s="4"/>
      <c r="S553" s="4"/>
      <c r="T553" s="4"/>
    </row>
    <row r="554" spans="2:20" x14ac:dyDescent="0.35">
      <c r="B554" s="2"/>
      <c r="C554" s="4"/>
      <c r="D554" s="18"/>
      <c r="E554" s="4"/>
      <c r="F554" s="4"/>
      <c r="G554" s="14"/>
      <c r="H554" s="4"/>
      <c r="I554" s="4"/>
      <c r="J554" s="4"/>
      <c r="K554" s="4"/>
      <c r="L554" s="4"/>
      <c r="M554" s="4"/>
      <c r="N554" s="4"/>
      <c r="O554" s="14"/>
      <c r="P554" s="4"/>
      <c r="Q554" s="4"/>
      <c r="R554" s="4"/>
      <c r="S554" s="4"/>
      <c r="T554" s="4"/>
    </row>
    <row r="555" spans="2:20" x14ac:dyDescent="0.35">
      <c r="B555" s="2"/>
      <c r="C555" s="4"/>
      <c r="D555" s="18"/>
      <c r="E555" s="4"/>
      <c r="F555" s="4"/>
      <c r="G555" s="14"/>
      <c r="H555" s="4"/>
      <c r="I555" s="4"/>
      <c r="J555" s="4"/>
      <c r="K555" s="4"/>
      <c r="L555" s="4"/>
      <c r="M555" s="4"/>
      <c r="N555" s="4"/>
      <c r="O555" s="14"/>
      <c r="P555" s="4"/>
      <c r="Q555" s="4"/>
      <c r="R555" s="4"/>
      <c r="S555" s="4"/>
      <c r="T555" s="4"/>
    </row>
    <row r="556" spans="2:20" x14ac:dyDescent="0.35">
      <c r="B556" s="2"/>
      <c r="C556" s="4"/>
      <c r="D556" s="18"/>
      <c r="E556" s="4"/>
      <c r="F556" s="4"/>
      <c r="G556" s="14"/>
      <c r="H556" s="4"/>
      <c r="I556" s="4"/>
      <c r="J556" s="4"/>
      <c r="K556" s="4"/>
      <c r="L556" s="4"/>
      <c r="M556" s="4"/>
      <c r="N556" s="4"/>
      <c r="O556" s="14"/>
      <c r="P556" s="4"/>
      <c r="Q556" s="4"/>
      <c r="R556" s="4"/>
      <c r="S556" s="4"/>
      <c r="T556" s="4"/>
    </row>
    <row r="557" spans="2:20" x14ac:dyDescent="0.35">
      <c r="B557" s="2"/>
      <c r="C557" s="4"/>
      <c r="D557" s="18"/>
      <c r="E557" s="4"/>
      <c r="F557" s="4"/>
      <c r="G557" s="14"/>
      <c r="H557" s="4"/>
      <c r="I557" s="4"/>
      <c r="J557" s="4"/>
      <c r="K557" s="4"/>
      <c r="L557" s="4"/>
      <c r="M557" s="4"/>
      <c r="N557" s="4"/>
      <c r="O557" s="14"/>
      <c r="P557" s="4"/>
      <c r="Q557" s="4"/>
      <c r="R557" s="4"/>
      <c r="S557" s="4"/>
      <c r="T557" s="4"/>
    </row>
    <row r="558" spans="2:20" x14ac:dyDescent="0.35">
      <c r="B558" s="2"/>
      <c r="C558" s="4"/>
      <c r="D558" s="18"/>
      <c r="E558" s="4"/>
      <c r="F558" s="4"/>
      <c r="G558" s="14"/>
      <c r="H558" s="4"/>
      <c r="I558" s="4"/>
      <c r="J558" s="4"/>
      <c r="K558" s="4"/>
      <c r="L558" s="4"/>
      <c r="M558" s="4"/>
      <c r="N558" s="4"/>
      <c r="O558" s="14"/>
      <c r="P558" s="4"/>
      <c r="Q558" s="4"/>
      <c r="R558" s="4"/>
      <c r="S558" s="4"/>
      <c r="T558" s="4"/>
    </row>
    <row r="559" spans="2:20" x14ac:dyDescent="0.35">
      <c r="B559" s="2"/>
      <c r="C559" s="4"/>
      <c r="D559" s="18"/>
      <c r="E559" s="4"/>
      <c r="F559" s="4"/>
      <c r="G559" s="14"/>
      <c r="H559" s="4"/>
      <c r="I559" s="4"/>
      <c r="J559" s="4"/>
      <c r="K559" s="4"/>
      <c r="L559" s="4"/>
      <c r="M559" s="4"/>
      <c r="N559" s="4"/>
      <c r="O559" s="14"/>
      <c r="P559" s="4"/>
      <c r="Q559" s="4"/>
      <c r="R559" s="4"/>
      <c r="S559" s="4"/>
      <c r="T559" s="4"/>
    </row>
    <row r="560" spans="2:20" x14ac:dyDescent="0.35">
      <c r="B560" s="2"/>
      <c r="C560" s="4"/>
      <c r="D560" s="18"/>
      <c r="E560" s="4"/>
      <c r="F560" s="4"/>
      <c r="G560" s="14"/>
      <c r="H560" s="4"/>
      <c r="I560" s="4"/>
      <c r="J560" s="4"/>
      <c r="K560" s="4"/>
      <c r="L560" s="4"/>
      <c r="M560" s="4"/>
      <c r="N560" s="4"/>
      <c r="O560" s="14"/>
      <c r="P560" s="4"/>
      <c r="Q560" s="4"/>
      <c r="R560" s="4"/>
      <c r="S560" s="4"/>
      <c r="T560" s="4"/>
    </row>
    <row r="561" spans="2:20" x14ac:dyDescent="0.35">
      <c r="B561" s="2"/>
      <c r="C561" s="4"/>
      <c r="D561" s="18"/>
      <c r="E561" s="4"/>
      <c r="F561" s="4"/>
      <c r="G561" s="14"/>
      <c r="H561" s="4"/>
      <c r="I561" s="4"/>
      <c r="J561" s="4"/>
      <c r="K561" s="4"/>
      <c r="L561" s="4"/>
      <c r="M561" s="4"/>
      <c r="N561" s="4"/>
      <c r="O561" s="14"/>
      <c r="P561" s="4"/>
      <c r="Q561" s="4"/>
      <c r="R561" s="4"/>
      <c r="S561" s="4"/>
      <c r="T561" s="4"/>
    </row>
    <row r="562" spans="2:20" x14ac:dyDescent="0.35">
      <c r="B562" s="2"/>
      <c r="C562" s="4"/>
      <c r="D562" s="18"/>
      <c r="E562" s="4"/>
      <c r="F562" s="4"/>
      <c r="G562" s="14"/>
      <c r="H562" s="4"/>
      <c r="I562" s="4"/>
      <c r="J562" s="4"/>
      <c r="K562" s="4"/>
      <c r="L562" s="4"/>
      <c r="M562" s="4"/>
      <c r="N562" s="4"/>
      <c r="O562" s="14"/>
      <c r="P562" s="4"/>
      <c r="Q562" s="4"/>
      <c r="R562" s="4"/>
      <c r="S562" s="4"/>
      <c r="T562" s="4"/>
    </row>
    <row r="563" spans="2:20" x14ac:dyDescent="0.35">
      <c r="B563" s="2"/>
      <c r="C563" s="4"/>
      <c r="D563" s="18"/>
      <c r="E563" s="4"/>
      <c r="F563" s="4"/>
      <c r="G563" s="14"/>
      <c r="H563" s="4"/>
      <c r="I563" s="4"/>
      <c r="J563" s="4"/>
      <c r="K563" s="4"/>
      <c r="L563" s="4"/>
      <c r="M563" s="4"/>
      <c r="N563" s="4"/>
      <c r="O563" s="14"/>
      <c r="P563" s="4"/>
      <c r="Q563" s="4"/>
      <c r="R563" s="4"/>
      <c r="S563" s="4"/>
      <c r="T563" s="4"/>
    </row>
    <row r="564" spans="2:20" x14ac:dyDescent="0.35">
      <c r="B564" s="2"/>
      <c r="C564" s="4"/>
      <c r="D564" s="18"/>
      <c r="E564" s="4"/>
      <c r="F564" s="4"/>
      <c r="G564" s="14"/>
      <c r="H564" s="4"/>
      <c r="I564" s="4"/>
      <c r="J564" s="4"/>
      <c r="K564" s="4"/>
      <c r="L564" s="4"/>
      <c r="M564" s="4"/>
      <c r="N564" s="4"/>
      <c r="O564" s="14"/>
      <c r="P564" s="4"/>
      <c r="Q564" s="4"/>
      <c r="R564" s="4"/>
      <c r="S564" s="4"/>
      <c r="T564" s="4"/>
    </row>
    <row r="565" spans="2:20" x14ac:dyDescent="0.35">
      <c r="B565" s="2"/>
      <c r="C565" s="4"/>
      <c r="D565" s="18"/>
      <c r="E565" s="4"/>
      <c r="F565" s="4"/>
      <c r="G565" s="14"/>
      <c r="H565" s="4"/>
      <c r="I565" s="4"/>
      <c r="J565" s="4"/>
      <c r="K565" s="4"/>
      <c r="L565" s="4"/>
      <c r="M565" s="4"/>
      <c r="N565" s="4"/>
      <c r="O565" s="14"/>
      <c r="P565" s="4"/>
      <c r="Q565" s="4"/>
      <c r="R565" s="4"/>
      <c r="S565" s="4"/>
      <c r="T565" s="4"/>
    </row>
    <row r="566" spans="2:20" x14ac:dyDescent="0.35">
      <c r="B566" s="2"/>
      <c r="C566" s="4"/>
      <c r="D566" s="18"/>
      <c r="E566" s="4"/>
      <c r="F566" s="4"/>
      <c r="G566" s="14"/>
      <c r="H566" s="4"/>
      <c r="I566" s="4"/>
      <c r="J566" s="4"/>
      <c r="K566" s="4"/>
      <c r="L566" s="4"/>
      <c r="M566" s="4"/>
      <c r="N566" s="4"/>
      <c r="O566" s="14"/>
      <c r="P566" s="4"/>
      <c r="Q566" s="4"/>
      <c r="R566" s="4"/>
      <c r="S566" s="4"/>
      <c r="T566" s="4"/>
    </row>
    <row r="567" spans="2:20" x14ac:dyDescent="0.35">
      <c r="B567" s="2"/>
      <c r="C567" s="4"/>
      <c r="D567" s="18"/>
      <c r="E567" s="4"/>
      <c r="F567" s="4"/>
      <c r="G567" s="14"/>
      <c r="H567" s="4"/>
      <c r="I567" s="4"/>
      <c r="J567" s="4"/>
      <c r="K567" s="4"/>
      <c r="L567" s="4"/>
      <c r="M567" s="4"/>
      <c r="N567" s="4"/>
      <c r="O567" s="14"/>
      <c r="P567" s="4"/>
      <c r="Q567" s="4"/>
      <c r="R567" s="4"/>
      <c r="S567" s="4"/>
      <c r="T567" s="4"/>
    </row>
    <row r="568" spans="2:20" x14ac:dyDescent="0.35">
      <c r="B568" s="2"/>
      <c r="C568" s="4"/>
      <c r="D568" s="18"/>
      <c r="E568" s="4"/>
      <c r="F568" s="4"/>
      <c r="G568" s="14"/>
      <c r="H568" s="4"/>
      <c r="I568" s="4"/>
      <c r="J568" s="4"/>
      <c r="K568" s="4"/>
      <c r="L568" s="4"/>
      <c r="M568" s="4"/>
      <c r="N568" s="4"/>
      <c r="O568" s="14"/>
      <c r="P568" s="4"/>
      <c r="Q568" s="4"/>
      <c r="R568" s="4"/>
      <c r="S568" s="4"/>
      <c r="T568" s="4"/>
    </row>
    <row r="569" spans="2:20" x14ac:dyDescent="0.35">
      <c r="B569" s="2"/>
      <c r="C569" s="4"/>
      <c r="D569" s="18"/>
      <c r="E569" s="4"/>
      <c r="F569" s="4"/>
      <c r="G569" s="14"/>
      <c r="H569" s="4"/>
      <c r="I569" s="4"/>
      <c r="J569" s="4"/>
      <c r="K569" s="4"/>
      <c r="L569" s="4"/>
      <c r="M569" s="4"/>
      <c r="N569" s="4"/>
      <c r="O569" s="14"/>
      <c r="P569" s="4"/>
      <c r="Q569" s="4"/>
      <c r="R569" s="4"/>
      <c r="S569" s="4"/>
      <c r="T569" s="4"/>
    </row>
    <row r="570" spans="2:20" x14ac:dyDescent="0.35">
      <c r="B570" s="2"/>
      <c r="C570" s="4"/>
      <c r="D570" s="18"/>
      <c r="E570" s="4"/>
      <c r="F570" s="4"/>
      <c r="G570" s="14"/>
      <c r="H570" s="4"/>
      <c r="I570" s="4"/>
      <c r="J570" s="4"/>
      <c r="K570" s="4"/>
      <c r="L570" s="4"/>
      <c r="M570" s="4"/>
      <c r="N570" s="4"/>
      <c r="O570" s="14"/>
      <c r="P570" s="4"/>
      <c r="Q570" s="4"/>
      <c r="R570" s="4"/>
      <c r="S570" s="4"/>
      <c r="T570" s="4"/>
    </row>
    <row r="571" spans="2:20" x14ac:dyDescent="0.35">
      <c r="B571" s="4"/>
      <c r="C571" s="4"/>
      <c r="D571" s="18"/>
      <c r="E571" s="4"/>
      <c r="F571" s="4"/>
      <c r="G571" s="14"/>
      <c r="H571" s="4"/>
      <c r="I571" s="4"/>
      <c r="J571" s="4"/>
      <c r="K571" s="4"/>
      <c r="L571" s="4"/>
      <c r="M571" s="4"/>
      <c r="N571" s="4"/>
      <c r="O571" s="14"/>
      <c r="P571" s="4"/>
      <c r="Q571" s="4"/>
      <c r="R571" s="4"/>
      <c r="S571" s="4"/>
      <c r="T571" s="4"/>
    </row>
    <row r="572" spans="2:20" x14ac:dyDescent="0.35">
      <c r="B572" s="4"/>
      <c r="C572" s="4"/>
      <c r="D572" s="18"/>
      <c r="E572" s="4"/>
      <c r="F572" s="4"/>
      <c r="G572" s="14"/>
      <c r="H572" s="4"/>
      <c r="I572" s="4"/>
      <c r="J572" s="4"/>
      <c r="K572" s="4"/>
      <c r="L572" s="4"/>
      <c r="M572" s="4"/>
      <c r="N572" s="4"/>
      <c r="O572" s="14"/>
      <c r="P572" s="4"/>
      <c r="Q572" s="4"/>
      <c r="R572" s="4"/>
      <c r="S572" s="4"/>
      <c r="T572" s="4"/>
    </row>
    <row r="573" spans="2:20" x14ac:dyDescent="0.35">
      <c r="B573" s="3"/>
      <c r="C573" s="19"/>
      <c r="D573" s="19"/>
      <c r="E573" s="6"/>
      <c r="F573" s="7"/>
      <c r="G573" s="8"/>
      <c r="H573" s="7"/>
      <c r="I573" s="9"/>
      <c r="J573" s="10"/>
      <c r="K573" s="7"/>
      <c r="L573" s="7"/>
      <c r="M573" s="7"/>
      <c r="N573" s="7"/>
      <c r="O573" s="35"/>
      <c r="P573" s="10"/>
      <c r="Q573" s="7"/>
      <c r="R573" s="11"/>
      <c r="S573" s="12"/>
      <c r="T573" s="13"/>
    </row>
    <row r="574" spans="2:20" x14ac:dyDescent="0.35">
      <c r="B574" s="2"/>
      <c r="C574" s="4"/>
      <c r="D574" s="18"/>
      <c r="E574" s="4"/>
      <c r="F574" s="4"/>
      <c r="G574" s="14"/>
      <c r="H574" s="4"/>
      <c r="I574" s="4"/>
      <c r="J574" s="4"/>
      <c r="K574" s="4"/>
      <c r="L574" s="4"/>
      <c r="M574" s="4"/>
      <c r="N574" s="4"/>
      <c r="O574" s="14"/>
      <c r="P574" s="4"/>
      <c r="Q574" s="4"/>
      <c r="R574" s="4"/>
      <c r="S574" s="4"/>
      <c r="T574" s="4"/>
    </row>
    <row r="575" spans="2:20" x14ac:dyDescent="0.35">
      <c r="B575" s="2"/>
      <c r="C575" s="4"/>
      <c r="D575" s="18"/>
      <c r="E575" s="4"/>
      <c r="F575" s="4"/>
      <c r="G575" s="14"/>
      <c r="H575" s="4"/>
      <c r="I575" s="4"/>
      <c r="J575" s="4"/>
      <c r="K575" s="4"/>
      <c r="L575" s="4"/>
      <c r="M575" s="4"/>
      <c r="N575" s="4"/>
      <c r="O575" s="14"/>
      <c r="P575" s="4"/>
      <c r="Q575" s="4"/>
      <c r="R575" s="4"/>
      <c r="S575" s="4"/>
      <c r="T575" s="4"/>
    </row>
    <row r="576" spans="2:20" x14ac:dyDescent="0.35">
      <c r="B576" s="2"/>
      <c r="C576" s="4"/>
      <c r="D576" s="18"/>
      <c r="E576" s="4"/>
      <c r="F576" s="4"/>
      <c r="G576" s="14"/>
      <c r="H576" s="4"/>
      <c r="I576" s="4"/>
      <c r="J576" s="4"/>
      <c r="K576" s="4"/>
      <c r="L576" s="4"/>
      <c r="M576" s="4"/>
      <c r="N576" s="4"/>
      <c r="O576" s="14"/>
      <c r="P576" s="4"/>
      <c r="Q576" s="4"/>
      <c r="R576" s="4"/>
      <c r="S576" s="4"/>
      <c r="T576" s="4"/>
    </row>
    <row r="577" spans="2:20" x14ac:dyDescent="0.35">
      <c r="B577" s="2"/>
      <c r="C577" s="4"/>
      <c r="D577" s="18"/>
      <c r="E577" s="4"/>
      <c r="F577" s="4"/>
      <c r="G577" s="14"/>
      <c r="H577" s="4"/>
      <c r="I577" s="4"/>
      <c r="J577" s="4"/>
      <c r="K577" s="4"/>
      <c r="L577" s="4"/>
      <c r="M577" s="4"/>
      <c r="N577" s="4"/>
      <c r="O577" s="14"/>
      <c r="P577" s="4"/>
      <c r="Q577" s="4"/>
      <c r="R577" s="4"/>
      <c r="S577" s="4"/>
      <c r="T577" s="4"/>
    </row>
    <row r="578" spans="2:20" x14ac:dyDescent="0.35">
      <c r="B578" s="2"/>
      <c r="C578" s="4"/>
      <c r="D578" s="18"/>
      <c r="E578" s="4"/>
      <c r="F578" s="4"/>
      <c r="G578" s="14"/>
      <c r="H578" s="4"/>
      <c r="I578" s="4"/>
      <c r="J578" s="4"/>
      <c r="K578" s="4"/>
      <c r="L578" s="4"/>
      <c r="M578" s="4"/>
      <c r="N578" s="4"/>
      <c r="O578" s="14"/>
      <c r="P578" s="4"/>
      <c r="Q578" s="4"/>
      <c r="R578" s="4"/>
      <c r="S578" s="4"/>
      <c r="T578" s="4"/>
    </row>
    <row r="579" spans="2:20" x14ac:dyDescent="0.35">
      <c r="B579" s="2"/>
      <c r="C579" s="4"/>
      <c r="D579" s="18"/>
      <c r="E579" s="4"/>
      <c r="F579" s="4"/>
      <c r="G579" s="14"/>
      <c r="H579" s="4"/>
      <c r="I579" s="4"/>
      <c r="J579" s="4"/>
      <c r="K579" s="4"/>
      <c r="L579" s="4"/>
      <c r="M579" s="4"/>
      <c r="N579" s="4"/>
      <c r="O579" s="14"/>
      <c r="P579" s="4"/>
      <c r="Q579" s="4"/>
      <c r="R579" s="4"/>
      <c r="S579" s="4"/>
      <c r="T579" s="4"/>
    </row>
    <row r="580" spans="2:20" x14ac:dyDescent="0.35">
      <c r="B580" s="2"/>
      <c r="C580" s="4"/>
      <c r="D580" s="18"/>
      <c r="E580" s="4"/>
      <c r="F580" s="4"/>
      <c r="G580" s="14"/>
      <c r="H580" s="4"/>
      <c r="I580" s="4"/>
      <c r="J580" s="4"/>
      <c r="K580" s="4"/>
      <c r="L580" s="4"/>
      <c r="M580" s="4"/>
      <c r="N580" s="4"/>
      <c r="O580" s="14"/>
      <c r="P580" s="4"/>
      <c r="Q580" s="4"/>
      <c r="R580" s="4"/>
      <c r="S580" s="4"/>
      <c r="T580" s="4"/>
    </row>
    <row r="581" spans="2:20" x14ac:dyDescent="0.35">
      <c r="B581" s="2"/>
      <c r="C581" s="4"/>
      <c r="D581" s="18"/>
      <c r="E581" s="4"/>
      <c r="F581" s="4"/>
      <c r="G581" s="14"/>
      <c r="H581" s="4"/>
      <c r="I581" s="4"/>
      <c r="J581" s="4"/>
      <c r="K581" s="4"/>
      <c r="L581" s="4"/>
      <c r="M581" s="4"/>
      <c r="N581" s="4"/>
      <c r="O581" s="14"/>
      <c r="P581" s="4"/>
      <c r="Q581" s="4"/>
      <c r="R581" s="4"/>
      <c r="S581" s="4"/>
      <c r="T581" s="4"/>
    </row>
    <row r="582" spans="2:20" x14ac:dyDescent="0.35">
      <c r="B582" s="2"/>
      <c r="C582" s="4"/>
      <c r="D582" s="18"/>
      <c r="E582" s="4"/>
      <c r="F582" s="4"/>
      <c r="G582" s="14"/>
      <c r="H582" s="4"/>
      <c r="I582" s="4"/>
      <c r="J582" s="4"/>
      <c r="K582" s="4"/>
      <c r="L582" s="4"/>
      <c r="M582" s="4"/>
      <c r="N582" s="4"/>
      <c r="O582" s="14"/>
      <c r="P582" s="4"/>
      <c r="Q582" s="4"/>
      <c r="R582" s="4"/>
      <c r="S582" s="4"/>
      <c r="T582" s="4"/>
    </row>
    <row r="583" spans="2:20" x14ac:dyDescent="0.35">
      <c r="B583" s="2"/>
      <c r="C583" s="4"/>
      <c r="D583" s="18"/>
      <c r="E583" s="4"/>
      <c r="F583" s="4"/>
      <c r="G583" s="14"/>
      <c r="H583" s="4"/>
      <c r="I583" s="4"/>
      <c r="J583" s="4"/>
      <c r="K583" s="4"/>
      <c r="L583" s="4"/>
      <c r="M583" s="4"/>
      <c r="N583" s="4"/>
      <c r="O583" s="14"/>
      <c r="P583" s="4"/>
      <c r="Q583" s="4"/>
      <c r="R583" s="4"/>
      <c r="S583" s="4"/>
      <c r="T583" s="4"/>
    </row>
    <row r="584" spans="2:20" x14ac:dyDescent="0.35">
      <c r="B584" s="2"/>
      <c r="C584" s="4"/>
      <c r="D584" s="18"/>
      <c r="E584" s="4"/>
      <c r="F584" s="4"/>
      <c r="G584" s="14"/>
      <c r="H584" s="4"/>
      <c r="I584" s="4"/>
      <c r="J584" s="4"/>
      <c r="K584" s="4"/>
      <c r="L584" s="4"/>
      <c r="M584" s="4"/>
      <c r="N584" s="4"/>
      <c r="O584" s="14"/>
      <c r="P584" s="4"/>
      <c r="Q584" s="4"/>
      <c r="R584" s="4"/>
      <c r="S584" s="4"/>
      <c r="T584" s="4"/>
    </row>
    <row r="585" spans="2:20" x14ac:dyDescent="0.35">
      <c r="B585" s="2"/>
      <c r="C585" s="4"/>
      <c r="D585" s="18"/>
      <c r="E585" s="4"/>
      <c r="F585" s="4"/>
      <c r="G585" s="14"/>
      <c r="H585" s="4"/>
      <c r="I585" s="4"/>
      <c r="J585" s="4"/>
      <c r="K585" s="4"/>
      <c r="L585" s="4"/>
      <c r="M585" s="4"/>
      <c r="N585" s="4"/>
      <c r="O585" s="14"/>
      <c r="P585" s="4"/>
      <c r="Q585" s="4"/>
      <c r="R585" s="4"/>
      <c r="S585" s="4"/>
      <c r="T585" s="4"/>
    </row>
    <row r="586" spans="2:20" x14ac:dyDescent="0.35">
      <c r="B586" s="2"/>
      <c r="C586" s="4"/>
      <c r="D586" s="18"/>
      <c r="E586" s="4"/>
      <c r="F586" s="4"/>
      <c r="G586" s="14"/>
      <c r="H586" s="4"/>
      <c r="I586" s="4"/>
      <c r="J586" s="4"/>
      <c r="K586" s="4"/>
      <c r="L586" s="4"/>
      <c r="M586" s="4"/>
      <c r="N586" s="4"/>
      <c r="O586" s="14"/>
      <c r="P586" s="4"/>
      <c r="Q586" s="4"/>
      <c r="R586" s="4"/>
      <c r="S586" s="4"/>
      <c r="T586" s="4"/>
    </row>
    <row r="587" spans="2:20" x14ac:dyDescent="0.35">
      <c r="B587" s="2"/>
      <c r="C587" s="4"/>
      <c r="D587" s="18"/>
      <c r="E587" s="4"/>
      <c r="F587" s="4"/>
      <c r="G587" s="14"/>
      <c r="H587" s="4"/>
      <c r="I587" s="4"/>
      <c r="J587" s="4"/>
      <c r="K587" s="4"/>
      <c r="L587" s="4"/>
      <c r="M587" s="4"/>
      <c r="N587" s="4"/>
      <c r="O587" s="14"/>
      <c r="P587" s="4"/>
      <c r="Q587" s="4"/>
      <c r="R587" s="4"/>
      <c r="S587" s="4"/>
      <c r="T587" s="4"/>
    </row>
    <row r="588" spans="2:20" x14ac:dyDescent="0.35">
      <c r="B588" s="2"/>
      <c r="C588" s="4"/>
      <c r="D588" s="18"/>
      <c r="E588" s="4"/>
      <c r="F588" s="4"/>
      <c r="G588" s="14"/>
      <c r="H588" s="4"/>
      <c r="I588" s="4"/>
      <c r="J588" s="4"/>
      <c r="K588" s="4"/>
      <c r="L588" s="4"/>
      <c r="M588" s="4"/>
      <c r="N588" s="4"/>
      <c r="O588" s="14"/>
      <c r="P588" s="4"/>
      <c r="Q588" s="4"/>
      <c r="R588" s="4"/>
      <c r="S588" s="4"/>
      <c r="T588" s="4"/>
    </row>
    <row r="589" spans="2:20" x14ac:dyDescent="0.35">
      <c r="B589" s="2"/>
      <c r="C589" s="4"/>
      <c r="D589" s="18"/>
      <c r="E589" s="4"/>
      <c r="F589" s="4"/>
      <c r="G589" s="14"/>
      <c r="H589" s="4"/>
      <c r="I589" s="4"/>
      <c r="J589" s="4"/>
      <c r="K589" s="4"/>
      <c r="L589" s="4"/>
      <c r="M589" s="4"/>
      <c r="N589" s="4"/>
      <c r="O589" s="14"/>
      <c r="P589" s="4"/>
      <c r="Q589" s="4"/>
      <c r="R589" s="4"/>
      <c r="S589" s="4"/>
      <c r="T589" s="4"/>
    </row>
    <row r="590" spans="2:20" x14ac:dyDescent="0.35">
      <c r="B590" s="2"/>
      <c r="C590" s="4"/>
      <c r="D590" s="18"/>
      <c r="E590" s="4"/>
      <c r="F590" s="4"/>
      <c r="G590" s="14"/>
      <c r="H590" s="4"/>
      <c r="I590" s="4"/>
      <c r="J590" s="4"/>
      <c r="K590" s="4"/>
      <c r="L590" s="4"/>
      <c r="M590" s="4"/>
      <c r="N590" s="4"/>
      <c r="O590" s="14"/>
      <c r="P590" s="4"/>
      <c r="Q590" s="4"/>
      <c r="R590" s="4"/>
      <c r="S590" s="4"/>
      <c r="T590" s="4"/>
    </row>
    <row r="591" spans="2:20" x14ac:dyDescent="0.35">
      <c r="B591" s="2"/>
      <c r="C591" s="4"/>
      <c r="D591" s="18"/>
      <c r="E591" s="4"/>
      <c r="F591" s="4"/>
      <c r="G591" s="14"/>
      <c r="H591" s="4"/>
      <c r="I591" s="4"/>
      <c r="J591" s="4"/>
      <c r="K591" s="4"/>
      <c r="L591" s="4"/>
      <c r="M591" s="4"/>
      <c r="N591" s="4"/>
      <c r="O591" s="14"/>
      <c r="P591" s="4"/>
      <c r="Q591" s="4"/>
      <c r="R591" s="4"/>
      <c r="S591" s="4"/>
      <c r="T591" s="4"/>
    </row>
    <row r="592" spans="2:20" x14ac:dyDescent="0.35">
      <c r="B592" s="2"/>
      <c r="C592" s="4"/>
      <c r="D592" s="18"/>
      <c r="E592" s="4"/>
      <c r="F592" s="4"/>
      <c r="G592" s="14"/>
      <c r="H592" s="4"/>
      <c r="I592" s="4"/>
      <c r="J592" s="4"/>
      <c r="K592" s="4"/>
      <c r="L592" s="4"/>
      <c r="M592" s="4"/>
      <c r="N592" s="4"/>
      <c r="O592" s="14"/>
      <c r="P592" s="4"/>
      <c r="Q592" s="4"/>
      <c r="R592" s="4"/>
      <c r="S592" s="4"/>
      <c r="T592" s="4"/>
    </row>
    <row r="593" spans="2:20" x14ac:dyDescent="0.35">
      <c r="B593" s="2"/>
      <c r="C593" s="4"/>
      <c r="D593" s="18"/>
      <c r="E593" s="4"/>
      <c r="F593" s="4"/>
      <c r="G593" s="14"/>
      <c r="H593" s="4"/>
      <c r="I593" s="4"/>
      <c r="J593" s="4"/>
      <c r="K593" s="4"/>
      <c r="L593" s="4"/>
      <c r="M593" s="4"/>
      <c r="N593" s="4"/>
      <c r="O593" s="14"/>
      <c r="P593" s="4"/>
      <c r="Q593" s="4"/>
      <c r="R593" s="4"/>
      <c r="S593" s="4"/>
      <c r="T593" s="4"/>
    </row>
    <row r="594" spans="2:20" x14ac:dyDescent="0.35">
      <c r="B594" s="2"/>
      <c r="C594" s="4"/>
      <c r="D594" s="18"/>
      <c r="E594" s="4"/>
      <c r="F594" s="4"/>
      <c r="G594" s="14"/>
      <c r="H594" s="4"/>
      <c r="I594" s="4"/>
      <c r="J594" s="4"/>
      <c r="K594" s="4"/>
      <c r="L594" s="4"/>
      <c r="M594" s="4"/>
      <c r="N594" s="4"/>
      <c r="O594" s="14"/>
      <c r="P594" s="4"/>
      <c r="Q594" s="4"/>
      <c r="R594" s="4"/>
      <c r="S594" s="4"/>
      <c r="T594" s="4"/>
    </row>
    <row r="595" spans="2:20" x14ac:dyDescent="0.35">
      <c r="B595" s="2"/>
      <c r="C595" s="4"/>
      <c r="D595" s="18"/>
      <c r="E595" s="4"/>
      <c r="F595" s="4"/>
      <c r="G595" s="14"/>
      <c r="H595" s="4"/>
      <c r="I595" s="4"/>
      <c r="J595" s="4"/>
      <c r="K595" s="4"/>
      <c r="L595" s="4"/>
      <c r="M595" s="4"/>
      <c r="N595" s="4"/>
      <c r="O595" s="14"/>
      <c r="P595" s="4"/>
      <c r="Q595" s="4"/>
      <c r="R595" s="4"/>
      <c r="S595" s="4"/>
      <c r="T595" s="4"/>
    </row>
    <row r="596" spans="2:20" x14ac:dyDescent="0.35">
      <c r="B596" s="2"/>
      <c r="C596" s="4"/>
      <c r="D596" s="18"/>
      <c r="E596" s="4"/>
      <c r="F596" s="4"/>
      <c r="G596" s="14"/>
      <c r="H596" s="4"/>
      <c r="I596" s="4"/>
      <c r="J596" s="4"/>
      <c r="K596" s="4"/>
      <c r="L596" s="4"/>
      <c r="M596" s="4"/>
      <c r="N596" s="4"/>
      <c r="O596" s="14"/>
      <c r="P596" s="4"/>
      <c r="Q596" s="4"/>
      <c r="R596" s="4"/>
      <c r="S596" s="4"/>
      <c r="T596" s="4"/>
    </row>
    <row r="597" spans="2:20" x14ac:dyDescent="0.35">
      <c r="B597" s="2"/>
      <c r="C597" s="4"/>
      <c r="D597" s="18"/>
      <c r="E597" s="4"/>
      <c r="F597" s="4"/>
      <c r="G597" s="14"/>
      <c r="H597" s="4"/>
      <c r="I597" s="4"/>
      <c r="J597" s="4"/>
      <c r="K597" s="4"/>
      <c r="L597" s="4"/>
      <c r="M597" s="4"/>
      <c r="N597" s="4"/>
      <c r="O597" s="14"/>
      <c r="P597" s="4"/>
      <c r="Q597" s="4"/>
      <c r="R597" s="4"/>
      <c r="S597" s="4"/>
      <c r="T597" s="4"/>
    </row>
    <row r="598" spans="2:20" x14ac:dyDescent="0.35">
      <c r="B598" s="2"/>
      <c r="C598" s="4"/>
      <c r="D598" s="18"/>
      <c r="E598" s="4"/>
      <c r="F598" s="4"/>
      <c r="G598" s="14"/>
      <c r="H598" s="4"/>
      <c r="I598" s="4"/>
      <c r="J598" s="4"/>
      <c r="K598" s="4"/>
      <c r="L598" s="4"/>
      <c r="M598" s="4"/>
      <c r="N598" s="4"/>
      <c r="O598" s="14"/>
      <c r="P598" s="4"/>
      <c r="Q598" s="4"/>
      <c r="R598" s="4"/>
      <c r="S598" s="4"/>
      <c r="T598" s="4"/>
    </row>
    <row r="599" spans="2:20" x14ac:dyDescent="0.35">
      <c r="B599" s="2"/>
      <c r="C599" s="4"/>
      <c r="D599" s="18"/>
      <c r="E599" s="4"/>
      <c r="F599" s="4"/>
      <c r="G599" s="14"/>
      <c r="H599" s="4"/>
      <c r="I599" s="4"/>
      <c r="J599" s="4"/>
      <c r="K599" s="4"/>
      <c r="L599" s="4"/>
      <c r="M599" s="4"/>
      <c r="N599" s="4"/>
      <c r="O599" s="14"/>
      <c r="P599" s="4"/>
      <c r="Q599" s="4"/>
      <c r="R599" s="4"/>
      <c r="S599" s="4"/>
      <c r="T599" s="4"/>
    </row>
    <row r="600" spans="2:20" x14ac:dyDescent="0.35">
      <c r="B600" s="2"/>
      <c r="C600" s="4"/>
      <c r="D600" s="18"/>
      <c r="E600" s="4"/>
      <c r="F600" s="4"/>
      <c r="G600" s="14"/>
      <c r="H600" s="4"/>
      <c r="I600" s="4"/>
      <c r="J600" s="4"/>
      <c r="K600" s="4"/>
      <c r="L600" s="4"/>
      <c r="M600" s="4"/>
      <c r="N600" s="4"/>
      <c r="O600" s="14"/>
      <c r="P600" s="4"/>
      <c r="Q600" s="4"/>
      <c r="R600" s="4"/>
      <c r="S600" s="4"/>
      <c r="T600" s="4"/>
    </row>
    <row r="601" spans="2:20" x14ac:dyDescent="0.35">
      <c r="B601" s="2"/>
      <c r="C601" s="4"/>
      <c r="D601" s="18"/>
      <c r="E601" s="4"/>
      <c r="F601" s="4"/>
      <c r="G601" s="14"/>
      <c r="H601" s="4"/>
      <c r="I601" s="4"/>
      <c r="J601" s="4"/>
      <c r="K601" s="4"/>
      <c r="L601" s="4"/>
      <c r="M601" s="4"/>
      <c r="N601" s="4"/>
      <c r="O601" s="14"/>
      <c r="P601" s="4"/>
      <c r="Q601" s="4"/>
      <c r="R601" s="4"/>
      <c r="S601" s="4"/>
      <c r="T601" s="4"/>
    </row>
    <row r="602" spans="2:20" x14ac:dyDescent="0.35">
      <c r="B602" s="2"/>
      <c r="C602" s="4"/>
      <c r="D602" s="18"/>
      <c r="E602" s="4"/>
      <c r="F602" s="4"/>
      <c r="G602" s="14"/>
      <c r="H602" s="4"/>
      <c r="I602" s="4"/>
      <c r="J602" s="4"/>
      <c r="K602" s="4"/>
      <c r="L602" s="4"/>
      <c r="M602" s="4"/>
      <c r="N602" s="4"/>
      <c r="O602" s="14"/>
      <c r="P602" s="4"/>
      <c r="Q602" s="4"/>
      <c r="R602" s="4"/>
      <c r="S602" s="4"/>
      <c r="T602" s="4"/>
    </row>
    <row r="603" spans="2:20" x14ac:dyDescent="0.35">
      <c r="B603" s="2"/>
      <c r="C603" s="4"/>
      <c r="D603" s="18"/>
      <c r="E603" s="4"/>
      <c r="F603" s="4"/>
      <c r="G603" s="14"/>
      <c r="H603" s="4"/>
      <c r="I603" s="4"/>
      <c r="J603" s="4"/>
      <c r="K603" s="4"/>
      <c r="L603" s="4"/>
      <c r="M603" s="4"/>
      <c r="N603" s="4"/>
      <c r="O603" s="14"/>
      <c r="P603" s="4"/>
      <c r="Q603" s="4"/>
      <c r="R603" s="4"/>
      <c r="S603" s="4"/>
      <c r="T603" s="4"/>
    </row>
    <row r="604" spans="2:20" x14ac:dyDescent="0.35">
      <c r="B604" s="2"/>
      <c r="C604" s="4"/>
      <c r="D604" s="18"/>
      <c r="E604" s="4"/>
      <c r="F604" s="4"/>
      <c r="G604" s="14"/>
      <c r="H604" s="4"/>
      <c r="I604" s="4"/>
      <c r="J604" s="4"/>
      <c r="K604" s="4"/>
      <c r="L604" s="4"/>
      <c r="M604" s="4"/>
      <c r="N604" s="4"/>
      <c r="O604" s="14"/>
      <c r="P604" s="4"/>
      <c r="Q604" s="4"/>
      <c r="R604" s="4"/>
      <c r="S604" s="4"/>
      <c r="T604" s="4"/>
    </row>
    <row r="607" spans="2:20" x14ac:dyDescent="0.35">
      <c r="B607" s="3"/>
      <c r="C607" s="19"/>
      <c r="D607" s="19"/>
      <c r="E607" s="6"/>
      <c r="F607" s="7"/>
      <c r="G607" s="8"/>
      <c r="H607" s="7"/>
      <c r="I607" s="9"/>
      <c r="J607" s="10"/>
      <c r="K607" s="7"/>
      <c r="L607" s="7"/>
      <c r="M607" s="7"/>
      <c r="N607" s="7"/>
      <c r="O607" s="35"/>
      <c r="P607" s="10"/>
      <c r="Q607" s="7"/>
      <c r="R607" s="11"/>
      <c r="S607" s="12"/>
      <c r="T607" s="13"/>
    </row>
    <row r="608" spans="2:20" x14ac:dyDescent="0.35">
      <c r="B608" s="2"/>
      <c r="C608" s="4"/>
      <c r="D608" s="18"/>
      <c r="E608" s="4"/>
      <c r="F608" s="4"/>
      <c r="G608" s="14"/>
      <c r="H608" s="4"/>
      <c r="I608" s="4"/>
      <c r="J608" s="4"/>
      <c r="K608" s="4"/>
      <c r="L608" s="4"/>
      <c r="M608" s="4"/>
      <c r="N608" s="4"/>
      <c r="O608" s="14"/>
      <c r="P608" s="4"/>
      <c r="Q608" s="4"/>
      <c r="R608" s="4"/>
      <c r="S608" s="4"/>
      <c r="T608" s="4"/>
    </row>
    <row r="609" spans="2:20" x14ac:dyDescent="0.35">
      <c r="B609" s="2"/>
      <c r="C609" s="4"/>
      <c r="D609" s="18"/>
      <c r="E609" s="4"/>
      <c r="F609" s="4"/>
      <c r="G609" s="14"/>
      <c r="H609" s="4"/>
      <c r="I609" s="4"/>
      <c r="J609" s="4"/>
      <c r="K609" s="4"/>
      <c r="L609" s="4"/>
      <c r="M609" s="4"/>
      <c r="N609" s="4"/>
      <c r="O609" s="14"/>
      <c r="P609" s="4"/>
      <c r="Q609" s="4"/>
      <c r="R609" s="4"/>
      <c r="S609" s="4"/>
      <c r="T609" s="4"/>
    </row>
    <row r="610" spans="2:20" x14ac:dyDescent="0.35">
      <c r="B610" s="2"/>
      <c r="C610" s="4"/>
      <c r="D610" s="18"/>
      <c r="E610" s="4"/>
      <c r="F610" s="4"/>
      <c r="G610" s="14"/>
      <c r="H610" s="4"/>
      <c r="I610" s="4"/>
      <c r="J610" s="4"/>
      <c r="K610" s="4"/>
      <c r="L610" s="4"/>
      <c r="M610" s="4"/>
      <c r="N610" s="4"/>
      <c r="O610" s="14"/>
      <c r="P610" s="4"/>
      <c r="Q610" s="4"/>
      <c r="R610" s="4"/>
      <c r="S610" s="4"/>
      <c r="T610" s="4"/>
    </row>
    <row r="611" spans="2:20" x14ac:dyDescent="0.35">
      <c r="B611" s="2"/>
      <c r="C611" s="4"/>
      <c r="D611" s="18"/>
      <c r="E611" s="4"/>
      <c r="F611" s="4"/>
      <c r="G611" s="14"/>
      <c r="H611" s="4"/>
      <c r="I611" s="4"/>
      <c r="J611" s="4"/>
      <c r="K611" s="4"/>
      <c r="L611" s="4"/>
      <c r="M611" s="4"/>
      <c r="N611" s="4"/>
      <c r="O611" s="14"/>
      <c r="P611" s="4"/>
      <c r="Q611" s="4"/>
      <c r="R611" s="4"/>
      <c r="S611" s="4"/>
      <c r="T611" s="4"/>
    </row>
    <row r="612" spans="2:20" x14ac:dyDescent="0.35">
      <c r="B612" s="2"/>
      <c r="C612" s="4"/>
      <c r="D612" s="18"/>
      <c r="E612" s="4"/>
      <c r="F612" s="4"/>
      <c r="G612" s="14"/>
      <c r="H612" s="4"/>
      <c r="I612" s="4"/>
      <c r="J612" s="4"/>
      <c r="K612" s="4"/>
      <c r="L612" s="4"/>
      <c r="M612" s="4"/>
      <c r="N612" s="4"/>
      <c r="O612" s="14"/>
      <c r="P612" s="4"/>
      <c r="Q612" s="4"/>
      <c r="R612" s="4"/>
      <c r="S612" s="4"/>
      <c r="T612" s="4"/>
    </row>
    <row r="613" spans="2:20" x14ac:dyDescent="0.35">
      <c r="B613" s="2"/>
      <c r="C613" s="4"/>
      <c r="D613" s="18"/>
      <c r="E613" s="4"/>
      <c r="F613" s="4"/>
      <c r="G613" s="14"/>
      <c r="H613" s="4"/>
      <c r="I613" s="4"/>
      <c r="J613" s="4"/>
      <c r="K613" s="4"/>
      <c r="L613" s="4"/>
      <c r="M613" s="4"/>
      <c r="N613" s="4"/>
      <c r="O613" s="14"/>
      <c r="P613" s="4"/>
      <c r="Q613" s="4"/>
      <c r="R613" s="4"/>
      <c r="S613" s="4"/>
      <c r="T613" s="4"/>
    </row>
    <row r="614" spans="2:20" x14ac:dyDescent="0.35">
      <c r="B614" s="2"/>
      <c r="C614" s="4"/>
      <c r="D614" s="18"/>
      <c r="E614" s="4"/>
      <c r="F614" s="4"/>
      <c r="G614" s="14"/>
      <c r="H614" s="4"/>
      <c r="I614" s="4"/>
      <c r="J614" s="4"/>
      <c r="K614" s="4"/>
      <c r="L614" s="4"/>
      <c r="M614" s="4"/>
      <c r="N614" s="4"/>
      <c r="O614" s="14"/>
      <c r="P614" s="4"/>
      <c r="Q614" s="4"/>
      <c r="R614" s="4"/>
      <c r="S614" s="4"/>
      <c r="T614" s="4"/>
    </row>
    <row r="615" spans="2:20" x14ac:dyDescent="0.35">
      <c r="B615" s="2"/>
      <c r="C615" s="4"/>
      <c r="D615" s="18"/>
      <c r="E615" s="4"/>
      <c r="F615" s="4"/>
      <c r="G615" s="14"/>
      <c r="H615" s="4"/>
      <c r="I615" s="4"/>
      <c r="J615" s="4"/>
      <c r="K615" s="4"/>
      <c r="L615" s="4"/>
      <c r="M615" s="4"/>
      <c r="N615" s="4"/>
      <c r="O615" s="14"/>
      <c r="P615" s="4"/>
      <c r="Q615" s="4"/>
      <c r="R615" s="4"/>
      <c r="S615" s="4"/>
      <c r="T615" s="4"/>
    </row>
    <row r="616" spans="2:20" x14ac:dyDescent="0.35">
      <c r="B616" s="2"/>
      <c r="C616" s="4"/>
      <c r="D616" s="18"/>
      <c r="E616" s="4"/>
      <c r="F616" s="4"/>
      <c r="G616" s="14"/>
      <c r="H616" s="4"/>
      <c r="I616" s="4"/>
      <c r="J616" s="4"/>
      <c r="K616" s="4"/>
      <c r="L616" s="4"/>
      <c r="M616" s="4"/>
      <c r="N616" s="4"/>
      <c r="O616" s="14"/>
      <c r="P616" s="4"/>
      <c r="Q616" s="4"/>
      <c r="R616" s="4"/>
      <c r="S616" s="4"/>
      <c r="T616" s="4"/>
    </row>
    <row r="617" spans="2:20" x14ac:dyDescent="0.35">
      <c r="B617" s="2"/>
      <c r="C617" s="4"/>
      <c r="D617" s="18"/>
      <c r="E617" s="4"/>
      <c r="F617" s="4"/>
      <c r="G617" s="14"/>
      <c r="H617" s="4"/>
      <c r="I617" s="4"/>
      <c r="J617" s="4"/>
      <c r="K617" s="4"/>
      <c r="L617" s="4"/>
      <c r="M617" s="4"/>
      <c r="N617" s="4"/>
      <c r="O617" s="14"/>
      <c r="P617" s="4"/>
      <c r="Q617" s="4"/>
      <c r="R617" s="4"/>
      <c r="S617" s="4"/>
      <c r="T617" s="4"/>
    </row>
    <row r="618" spans="2:20" x14ac:dyDescent="0.35">
      <c r="B618" s="2"/>
      <c r="C618" s="4"/>
      <c r="D618" s="18"/>
      <c r="E618" s="4"/>
      <c r="F618" s="4"/>
      <c r="G618" s="14"/>
      <c r="H618" s="4"/>
      <c r="I618" s="4"/>
      <c r="J618" s="4"/>
      <c r="K618" s="4"/>
      <c r="L618" s="4"/>
      <c r="M618" s="4"/>
      <c r="N618" s="4"/>
      <c r="O618" s="14"/>
      <c r="P618" s="4"/>
      <c r="Q618" s="4"/>
      <c r="R618" s="4"/>
      <c r="S618" s="4"/>
      <c r="T618" s="4"/>
    </row>
    <row r="619" spans="2:20" x14ac:dyDescent="0.35">
      <c r="B619" s="2"/>
      <c r="C619" s="4"/>
      <c r="D619" s="18"/>
      <c r="E619" s="4"/>
      <c r="F619" s="4"/>
      <c r="G619" s="14"/>
      <c r="H619" s="4"/>
      <c r="I619" s="4"/>
      <c r="J619" s="4"/>
      <c r="K619" s="4"/>
      <c r="L619" s="4"/>
      <c r="M619" s="4"/>
      <c r="N619" s="4"/>
      <c r="O619" s="14"/>
      <c r="P619" s="4"/>
      <c r="Q619" s="4"/>
      <c r="R619" s="4"/>
      <c r="S619" s="4"/>
      <c r="T619" s="4"/>
    </row>
    <row r="620" spans="2:20" x14ac:dyDescent="0.35">
      <c r="B620" s="2"/>
      <c r="C620" s="4"/>
      <c r="D620" s="18"/>
      <c r="E620" s="4"/>
      <c r="F620" s="4"/>
      <c r="G620" s="14"/>
      <c r="H620" s="4"/>
      <c r="I620" s="4"/>
      <c r="J620" s="4"/>
      <c r="K620" s="4"/>
      <c r="L620" s="4"/>
      <c r="M620" s="4"/>
      <c r="N620" s="4"/>
      <c r="O620" s="14"/>
      <c r="P620" s="4"/>
      <c r="Q620" s="4"/>
      <c r="R620" s="4"/>
      <c r="S620" s="4"/>
      <c r="T620" s="4"/>
    </row>
    <row r="621" spans="2:20" x14ac:dyDescent="0.35">
      <c r="B621" s="2"/>
      <c r="C621" s="4"/>
      <c r="D621" s="18"/>
      <c r="E621" s="4"/>
      <c r="F621" s="4"/>
      <c r="G621" s="14"/>
      <c r="H621" s="4"/>
      <c r="I621" s="4"/>
      <c r="J621" s="4"/>
      <c r="K621" s="4"/>
      <c r="L621" s="4"/>
      <c r="M621" s="4"/>
      <c r="N621" s="4"/>
      <c r="O621" s="14"/>
      <c r="P621" s="4"/>
      <c r="Q621" s="4"/>
      <c r="R621" s="4"/>
      <c r="S621" s="4"/>
      <c r="T621" s="4"/>
    </row>
    <row r="622" spans="2:20" x14ac:dyDescent="0.35">
      <c r="B622" s="2"/>
      <c r="C622" s="4"/>
      <c r="D622" s="18"/>
      <c r="E622" s="4"/>
      <c r="F622" s="4"/>
      <c r="G622" s="14"/>
      <c r="H622" s="4"/>
      <c r="I622" s="4"/>
      <c r="J622" s="4"/>
      <c r="K622" s="4"/>
      <c r="L622" s="4"/>
      <c r="M622" s="4"/>
      <c r="N622" s="4"/>
      <c r="O622" s="14"/>
      <c r="P622" s="4"/>
      <c r="Q622" s="4"/>
      <c r="R622" s="4"/>
      <c r="S622" s="4"/>
      <c r="T622" s="4"/>
    </row>
    <row r="623" spans="2:20" x14ac:dyDescent="0.35">
      <c r="B623" s="2"/>
      <c r="C623" s="4"/>
      <c r="D623" s="18"/>
      <c r="E623" s="4"/>
      <c r="F623" s="4"/>
      <c r="G623" s="14"/>
      <c r="H623" s="4"/>
      <c r="I623" s="4"/>
      <c r="J623" s="4"/>
      <c r="K623" s="4"/>
      <c r="L623" s="4"/>
      <c r="M623" s="4"/>
      <c r="N623" s="4"/>
      <c r="O623" s="14"/>
      <c r="P623" s="4"/>
      <c r="Q623" s="4"/>
      <c r="R623" s="4"/>
      <c r="S623" s="4"/>
      <c r="T623" s="4"/>
    </row>
    <row r="624" spans="2:20" x14ac:dyDescent="0.35">
      <c r="B624" s="2"/>
      <c r="C624" s="4"/>
      <c r="D624" s="18"/>
      <c r="E624" s="4"/>
      <c r="F624" s="4"/>
      <c r="G624" s="14"/>
      <c r="H624" s="4"/>
      <c r="I624" s="4"/>
      <c r="J624" s="4"/>
      <c r="K624" s="4"/>
      <c r="L624" s="4"/>
      <c r="M624" s="4"/>
      <c r="N624" s="4"/>
      <c r="O624" s="14"/>
      <c r="P624" s="4"/>
      <c r="Q624" s="4"/>
      <c r="R624" s="4"/>
      <c r="S624" s="4"/>
      <c r="T624" s="4"/>
    </row>
    <row r="625" spans="2:20" x14ac:dyDescent="0.35">
      <c r="B625" s="2"/>
      <c r="C625" s="4"/>
      <c r="D625" s="18"/>
      <c r="E625" s="4"/>
      <c r="F625" s="4"/>
      <c r="G625" s="14"/>
      <c r="H625" s="4"/>
      <c r="I625" s="4"/>
      <c r="J625" s="4"/>
      <c r="K625" s="4"/>
      <c r="L625" s="4"/>
      <c r="M625" s="4"/>
      <c r="N625" s="4"/>
      <c r="O625" s="14"/>
      <c r="P625" s="4"/>
      <c r="Q625" s="4"/>
      <c r="R625" s="4"/>
      <c r="S625" s="4"/>
      <c r="T625" s="4"/>
    </row>
    <row r="626" spans="2:20" x14ac:dyDescent="0.35">
      <c r="B626" s="2"/>
      <c r="C626" s="4"/>
      <c r="D626" s="18"/>
      <c r="E626" s="4"/>
      <c r="F626" s="4"/>
      <c r="G626" s="14"/>
      <c r="H626" s="4"/>
      <c r="I626" s="4"/>
      <c r="J626" s="4"/>
      <c r="K626" s="4"/>
      <c r="L626" s="4"/>
      <c r="M626" s="4"/>
      <c r="N626" s="4"/>
      <c r="O626" s="14"/>
      <c r="P626" s="4"/>
      <c r="Q626" s="4"/>
      <c r="R626" s="4"/>
      <c r="S626" s="4"/>
      <c r="T626" s="4"/>
    </row>
    <row r="627" spans="2:20" x14ac:dyDescent="0.35">
      <c r="B627" s="2"/>
      <c r="C627" s="4"/>
      <c r="D627" s="18"/>
      <c r="E627" s="4"/>
      <c r="F627" s="4"/>
      <c r="G627" s="14"/>
      <c r="H627" s="4"/>
      <c r="I627" s="4"/>
      <c r="J627" s="4"/>
      <c r="K627" s="4"/>
      <c r="L627" s="4"/>
      <c r="M627" s="4"/>
      <c r="N627" s="4"/>
      <c r="O627" s="14"/>
      <c r="P627" s="4"/>
      <c r="Q627" s="4"/>
      <c r="R627" s="4"/>
      <c r="S627" s="4"/>
      <c r="T627" s="4"/>
    </row>
    <row r="628" spans="2:20" x14ac:dyDescent="0.35">
      <c r="B628" s="2"/>
      <c r="C628" s="4"/>
      <c r="D628" s="18"/>
      <c r="E628" s="4"/>
      <c r="F628" s="4"/>
      <c r="G628" s="14"/>
      <c r="H628" s="4"/>
      <c r="I628" s="4"/>
      <c r="J628" s="4"/>
      <c r="K628" s="4"/>
      <c r="L628" s="4"/>
      <c r="M628" s="4"/>
      <c r="N628" s="4"/>
      <c r="O628" s="14"/>
      <c r="P628" s="4"/>
      <c r="Q628" s="4"/>
      <c r="R628" s="4"/>
      <c r="S628" s="4"/>
      <c r="T628" s="4"/>
    </row>
    <row r="629" spans="2:20" x14ac:dyDescent="0.35">
      <c r="B629" s="2"/>
      <c r="C629" s="4"/>
      <c r="D629" s="18"/>
      <c r="E629" s="4"/>
      <c r="F629" s="4"/>
      <c r="G629" s="14"/>
      <c r="H629" s="4"/>
      <c r="I629" s="4"/>
      <c r="J629" s="4"/>
      <c r="K629" s="4"/>
      <c r="L629" s="4"/>
      <c r="M629" s="4"/>
      <c r="N629" s="4"/>
      <c r="O629" s="14"/>
      <c r="P629" s="4"/>
      <c r="Q629" s="4"/>
      <c r="R629" s="4"/>
      <c r="S629" s="4"/>
      <c r="T629" s="4"/>
    </row>
    <row r="630" spans="2:20" x14ac:dyDescent="0.35">
      <c r="B630" s="2"/>
      <c r="C630" s="4"/>
      <c r="D630" s="18"/>
      <c r="E630" s="4"/>
      <c r="F630" s="4"/>
      <c r="G630" s="14"/>
      <c r="H630" s="4"/>
      <c r="I630" s="4"/>
      <c r="J630" s="4"/>
      <c r="K630" s="4"/>
      <c r="L630" s="4"/>
      <c r="M630" s="4"/>
      <c r="N630" s="4"/>
      <c r="O630" s="14"/>
      <c r="P630" s="4"/>
      <c r="Q630" s="4"/>
      <c r="R630" s="4"/>
      <c r="S630" s="4"/>
      <c r="T630" s="4"/>
    </row>
    <row r="631" spans="2:20" x14ac:dyDescent="0.35">
      <c r="B631" s="2"/>
      <c r="C631" s="4"/>
      <c r="D631" s="18"/>
      <c r="E631" s="4"/>
      <c r="F631" s="4"/>
      <c r="G631" s="14"/>
      <c r="H631" s="4"/>
      <c r="I631" s="4"/>
      <c r="J631" s="4"/>
      <c r="K631" s="4"/>
      <c r="L631" s="4"/>
      <c r="M631" s="4"/>
      <c r="N631" s="4"/>
      <c r="O631" s="14"/>
      <c r="P631" s="4"/>
      <c r="Q631" s="4"/>
      <c r="R631" s="4"/>
      <c r="S631" s="4"/>
      <c r="T631" s="4"/>
    </row>
    <row r="632" spans="2:20" x14ac:dyDescent="0.35">
      <c r="B632" s="2"/>
      <c r="C632" s="4"/>
      <c r="D632" s="18"/>
      <c r="E632" s="4"/>
      <c r="F632" s="4"/>
      <c r="G632" s="14"/>
      <c r="H632" s="4"/>
      <c r="I632" s="4"/>
      <c r="J632" s="4"/>
      <c r="K632" s="4"/>
      <c r="L632" s="4"/>
      <c r="M632" s="4"/>
      <c r="N632" s="4"/>
      <c r="O632" s="14"/>
      <c r="P632" s="4"/>
      <c r="Q632" s="4"/>
      <c r="R632" s="4"/>
      <c r="S632" s="4"/>
      <c r="T632" s="4"/>
    </row>
    <row r="633" spans="2:20" x14ac:dyDescent="0.35">
      <c r="B633" s="2"/>
      <c r="C633" s="4"/>
      <c r="D633" s="18"/>
      <c r="E633" s="4"/>
      <c r="F633" s="4"/>
      <c r="G633" s="14"/>
      <c r="H633" s="4"/>
      <c r="I633" s="4"/>
      <c r="J633" s="4"/>
      <c r="K633" s="4"/>
      <c r="L633" s="4"/>
      <c r="M633" s="4"/>
      <c r="N633" s="4"/>
      <c r="O633" s="14"/>
      <c r="P633" s="4"/>
      <c r="Q633" s="4"/>
      <c r="R633" s="4"/>
      <c r="S633" s="4"/>
      <c r="T633" s="4"/>
    </row>
    <row r="634" spans="2:20" x14ac:dyDescent="0.35">
      <c r="B634" s="4"/>
      <c r="C634" s="4"/>
      <c r="D634" s="18"/>
      <c r="E634" s="4"/>
      <c r="F634" s="4"/>
      <c r="G634" s="14"/>
      <c r="H634" s="4"/>
      <c r="I634" s="4"/>
      <c r="J634" s="4"/>
      <c r="K634" s="4"/>
      <c r="L634" s="4"/>
      <c r="M634" s="4"/>
      <c r="N634" s="4"/>
      <c r="O634" s="14"/>
      <c r="P634" s="4"/>
      <c r="Q634" s="4"/>
      <c r="R634" s="4"/>
      <c r="S634" s="4"/>
      <c r="T634" s="4"/>
    </row>
    <row r="635" spans="2:20" x14ac:dyDescent="0.35">
      <c r="B635" s="4"/>
      <c r="C635" s="4"/>
      <c r="D635" s="18"/>
      <c r="E635" s="4"/>
      <c r="F635" s="4"/>
      <c r="G635" s="14"/>
      <c r="H635" s="4"/>
      <c r="I635" s="4"/>
      <c r="J635" s="4"/>
      <c r="K635" s="4"/>
      <c r="L635" s="4"/>
      <c r="M635" s="4"/>
      <c r="N635" s="4"/>
      <c r="O635" s="14"/>
      <c r="P635" s="4"/>
      <c r="Q635" s="4"/>
      <c r="R635" s="4"/>
      <c r="S635" s="4"/>
      <c r="T635" s="4"/>
    </row>
    <row r="636" spans="2:20" x14ac:dyDescent="0.35">
      <c r="B636" s="4"/>
      <c r="C636" s="4"/>
      <c r="D636" s="18"/>
      <c r="E636" s="4"/>
      <c r="F636" s="4"/>
      <c r="G636" s="14"/>
      <c r="H636" s="4"/>
      <c r="I636" s="4"/>
      <c r="J636" s="4"/>
      <c r="K636" s="4"/>
      <c r="L636" s="4"/>
      <c r="M636" s="4"/>
      <c r="N636" s="4"/>
      <c r="O636" s="14"/>
      <c r="P636" s="4"/>
      <c r="Q636" s="4"/>
      <c r="R636" s="4"/>
      <c r="S636" s="4"/>
      <c r="T636" s="4"/>
    </row>
    <row r="637" spans="2:20" x14ac:dyDescent="0.35">
      <c r="B637" s="4"/>
      <c r="C637" s="4"/>
      <c r="D637" s="18"/>
      <c r="E637" s="4"/>
      <c r="F637" s="4"/>
      <c r="G637" s="14"/>
      <c r="H637" s="4"/>
      <c r="I637" s="4"/>
      <c r="J637" s="4"/>
      <c r="K637" s="4"/>
      <c r="L637" s="4"/>
      <c r="M637" s="4"/>
      <c r="N637" s="4"/>
      <c r="O637" s="14"/>
      <c r="P637" s="4"/>
      <c r="Q637" s="4"/>
      <c r="R637" s="4"/>
      <c r="S637" s="4"/>
      <c r="T637" s="4"/>
    </row>
    <row r="638" spans="2:20" x14ac:dyDescent="0.35">
      <c r="B638" s="4"/>
      <c r="C638" s="4"/>
      <c r="D638" s="18"/>
      <c r="E638" s="4"/>
      <c r="F638" s="4"/>
      <c r="G638" s="14"/>
      <c r="H638" s="4"/>
      <c r="I638" s="4"/>
      <c r="J638" s="4"/>
      <c r="K638" s="4"/>
      <c r="L638" s="4"/>
      <c r="M638" s="4"/>
      <c r="N638" s="4"/>
      <c r="O638" s="14"/>
      <c r="P638" s="4"/>
      <c r="Q638" s="4"/>
      <c r="R638" s="4"/>
      <c r="S638" s="4"/>
      <c r="T638" s="4"/>
    </row>
    <row r="639" spans="2:20" x14ac:dyDescent="0.35">
      <c r="B639" s="4"/>
      <c r="C639" s="4"/>
      <c r="D639" s="18"/>
      <c r="E639" s="4"/>
      <c r="F639" s="4"/>
      <c r="G639" s="14"/>
      <c r="H639" s="4"/>
      <c r="I639" s="4"/>
      <c r="J639" s="4"/>
      <c r="K639" s="4"/>
      <c r="L639" s="4"/>
      <c r="M639" s="4"/>
      <c r="N639" s="4"/>
      <c r="O639" s="14"/>
      <c r="P639" s="4"/>
      <c r="Q639" s="4"/>
      <c r="R639" s="4"/>
      <c r="S639" s="4"/>
      <c r="T63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639"/>
  <sheetViews>
    <sheetView tabSelected="1" topLeftCell="A418" workbookViewId="0">
      <selection activeCell="G431" sqref="G431"/>
    </sheetView>
  </sheetViews>
  <sheetFormatPr defaultRowHeight="14.5" x14ac:dyDescent="0.35"/>
  <cols>
    <col min="1" max="1" width="8.81640625" style="1" customWidth="1"/>
    <col min="2" max="2" width="12" customWidth="1"/>
    <col min="3" max="3" width="15.26953125" customWidth="1"/>
    <col min="4" max="4" width="11.26953125" style="17" customWidth="1"/>
    <col min="7" max="7" width="11.7265625" style="21" customWidth="1"/>
    <col min="12" max="13" width="10.26953125" customWidth="1"/>
    <col min="15" max="15" width="11.54296875" style="21" customWidth="1"/>
    <col min="16" max="16" width="12.453125" customWidth="1"/>
    <col min="19" max="19" width="10.54296875" customWidth="1"/>
    <col min="20" max="20" width="10.1796875" customWidth="1"/>
    <col min="22" max="22" width="28.1796875" customWidth="1"/>
  </cols>
  <sheetData>
    <row r="1" spans="1:22" x14ac:dyDescent="0.35">
      <c r="A1" s="1" t="s">
        <v>0</v>
      </c>
    </row>
    <row r="2" spans="1:22" x14ac:dyDescent="0.35">
      <c r="A2" s="1" t="s">
        <v>20</v>
      </c>
      <c r="B2" s="2"/>
      <c r="C2" s="17"/>
    </row>
    <row r="3" spans="1:22" x14ac:dyDescent="0.35">
      <c r="B3" s="3" t="s">
        <v>1</v>
      </c>
      <c r="C3" s="19" t="s">
        <v>19</v>
      </c>
      <c r="D3" s="19" t="s">
        <v>18</v>
      </c>
      <c r="E3" s="6" t="s">
        <v>2</v>
      </c>
      <c r="F3" s="7" t="s">
        <v>3</v>
      </c>
      <c r="G3" s="8" t="s">
        <v>4</v>
      </c>
      <c r="H3" s="7" t="s">
        <v>5</v>
      </c>
      <c r="I3" s="9" t="s">
        <v>6</v>
      </c>
      <c r="J3" s="10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35" t="s">
        <v>12</v>
      </c>
      <c r="P3" s="10" t="s">
        <v>13</v>
      </c>
      <c r="Q3" s="7" t="s">
        <v>14</v>
      </c>
      <c r="R3" s="11" t="s">
        <v>15</v>
      </c>
      <c r="S3" s="12" t="s">
        <v>16</v>
      </c>
      <c r="T3" s="13" t="s">
        <v>17</v>
      </c>
      <c r="U3" s="36" t="s">
        <v>21</v>
      </c>
      <c r="V3" s="36" t="s">
        <v>23</v>
      </c>
    </row>
    <row r="4" spans="1:22" x14ac:dyDescent="0.35">
      <c r="A4" s="1">
        <v>19</v>
      </c>
      <c r="B4" s="24">
        <v>45844</v>
      </c>
      <c r="C4" s="25"/>
      <c r="D4" s="25"/>
      <c r="E4" s="26">
        <v>4782</v>
      </c>
      <c r="F4" s="26">
        <v>0</v>
      </c>
      <c r="G4" s="27">
        <f t="shared" ref="G4:G29" si="0">F4/E4</f>
        <v>0</v>
      </c>
      <c r="H4" s="26"/>
      <c r="I4" s="26">
        <f t="shared" ref="I4:I29" si="1">E4-F4-H4</f>
        <v>4782</v>
      </c>
      <c r="J4" s="26">
        <v>0</v>
      </c>
      <c r="K4" s="26">
        <v>1</v>
      </c>
      <c r="L4" s="26">
        <v>0</v>
      </c>
      <c r="M4" s="26">
        <v>0</v>
      </c>
      <c r="N4" s="26">
        <f>K4+L4-M4</f>
        <v>1</v>
      </c>
      <c r="O4" s="34">
        <f>N4/E4</f>
        <v>2.0911752404851526E-4</v>
      </c>
      <c r="P4" s="26">
        <v>12</v>
      </c>
      <c r="Q4" s="26">
        <f t="shared" ref="Q4:Q29" si="2">P4*50</f>
        <v>600</v>
      </c>
      <c r="R4" s="26">
        <f t="shared" ref="R4:R29" si="3">Q4*1000</f>
        <v>600000</v>
      </c>
      <c r="S4" s="26">
        <v>2853.08</v>
      </c>
      <c r="T4" s="26">
        <f t="shared" ref="T4:T29" si="4">P4*S4</f>
        <v>34236.959999999999</v>
      </c>
      <c r="U4" s="4"/>
      <c r="V4" s="4"/>
    </row>
    <row r="5" spans="1:22" ht="15" thickBot="1" x14ac:dyDescent="0.4">
      <c r="A5" s="29">
        <v>19</v>
      </c>
      <c r="B5" s="30">
        <v>45845</v>
      </c>
      <c r="C5" s="31"/>
      <c r="D5" s="31"/>
      <c r="E5" s="32">
        <f t="shared" ref="E5:E29" si="5">I4</f>
        <v>4782</v>
      </c>
      <c r="F5" s="32">
        <v>0</v>
      </c>
      <c r="G5" s="33">
        <f t="shared" si="0"/>
        <v>0</v>
      </c>
      <c r="H5" s="32"/>
      <c r="I5" s="32">
        <f t="shared" si="1"/>
        <v>4782</v>
      </c>
      <c r="J5" s="32">
        <v>0</v>
      </c>
      <c r="K5" s="32">
        <v>2</v>
      </c>
      <c r="L5" s="32">
        <v>0</v>
      </c>
      <c r="M5" s="26">
        <v>0</v>
      </c>
      <c r="N5" s="26">
        <f t="shared" ref="N5:N29" si="6">K5+L5-M5</f>
        <v>2</v>
      </c>
      <c r="O5" s="34">
        <f t="shared" ref="O5:O29" si="7">N5/E5</f>
        <v>4.1823504809703052E-4</v>
      </c>
      <c r="P5" s="32">
        <v>12</v>
      </c>
      <c r="Q5" s="32">
        <f t="shared" si="2"/>
        <v>600</v>
      </c>
      <c r="R5" s="32">
        <f t="shared" si="3"/>
        <v>600000</v>
      </c>
      <c r="S5" s="32">
        <v>2853.08</v>
      </c>
      <c r="T5" s="32">
        <f t="shared" si="4"/>
        <v>34236.959999999999</v>
      </c>
      <c r="U5" s="4"/>
      <c r="V5" s="4"/>
    </row>
    <row r="6" spans="1:22" x14ac:dyDescent="0.35">
      <c r="A6" s="28">
        <v>20</v>
      </c>
      <c r="B6" s="5">
        <v>45846</v>
      </c>
      <c r="C6" s="20"/>
      <c r="D6" s="20"/>
      <c r="E6" s="16">
        <f t="shared" si="5"/>
        <v>4782</v>
      </c>
      <c r="F6" s="16">
        <v>0</v>
      </c>
      <c r="G6" s="15">
        <f t="shared" si="0"/>
        <v>0</v>
      </c>
      <c r="H6" s="16"/>
      <c r="I6" s="16">
        <f t="shared" si="1"/>
        <v>4782</v>
      </c>
      <c r="J6" s="16">
        <v>0</v>
      </c>
      <c r="K6" s="16">
        <v>1</v>
      </c>
      <c r="L6" s="16">
        <v>0</v>
      </c>
      <c r="M6" s="26">
        <v>0</v>
      </c>
      <c r="N6" s="26">
        <f t="shared" si="6"/>
        <v>1</v>
      </c>
      <c r="O6" s="34">
        <f t="shared" si="7"/>
        <v>2.0911752404851526E-4</v>
      </c>
      <c r="P6" s="16">
        <v>10</v>
      </c>
      <c r="Q6" s="16">
        <f t="shared" si="2"/>
        <v>500</v>
      </c>
      <c r="R6" s="16">
        <f t="shared" si="3"/>
        <v>500000</v>
      </c>
      <c r="S6" s="16">
        <v>2853.08</v>
      </c>
      <c r="T6" s="16">
        <f t="shared" si="4"/>
        <v>28530.799999999999</v>
      </c>
      <c r="U6" s="4"/>
      <c r="V6" s="4"/>
    </row>
    <row r="7" spans="1:22" x14ac:dyDescent="0.35">
      <c r="A7" s="28">
        <v>20</v>
      </c>
      <c r="B7" s="5">
        <v>45847</v>
      </c>
      <c r="C7" s="18"/>
      <c r="D7" s="18"/>
      <c r="E7" s="16">
        <f t="shared" si="5"/>
        <v>4782</v>
      </c>
      <c r="F7" s="16">
        <v>0</v>
      </c>
      <c r="G7" s="15">
        <f t="shared" si="0"/>
        <v>0</v>
      </c>
      <c r="H7" s="4"/>
      <c r="I7" s="16">
        <f t="shared" si="1"/>
        <v>4782</v>
      </c>
      <c r="J7" s="16">
        <v>0</v>
      </c>
      <c r="K7" s="16">
        <v>1</v>
      </c>
      <c r="L7" s="16">
        <v>0</v>
      </c>
      <c r="M7" s="26">
        <v>0</v>
      </c>
      <c r="N7" s="26">
        <f t="shared" si="6"/>
        <v>1</v>
      </c>
      <c r="O7" s="34">
        <f t="shared" si="7"/>
        <v>2.0911752404851526E-4</v>
      </c>
      <c r="P7" s="16">
        <v>10</v>
      </c>
      <c r="Q7" s="16">
        <f t="shared" si="2"/>
        <v>500</v>
      </c>
      <c r="R7" s="16">
        <f t="shared" si="3"/>
        <v>500000</v>
      </c>
      <c r="S7" s="16">
        <v>2853.08</v>
      </c>
      <c r="T7" s="16">
        <f t="shared" si="4"/>
        <v>28530.799999999999</v>
      </c>
      <c r="U7" s="4"/>
      <c r="V7" s="4"/>
    </row>
    <row r="8" spans="1:22" x14ac:dyDescent="0.35">
      <c r="A8" s="28">
        <v>20</v>
      </c>
      <c r="B8" s="5">
        <v>45848</v>
      </c>
      <c r="C8" s="18"/>
      <c r="D8" s="18"/>
      <c r="E8" s="16">
        <f t="shared" si="5"/>
        <v>4782</v>
      </c>
      <c r="F8" s="4">
        <v>0</v>
      </c>
      <c r="G8" s="15">
        <f t="shared" si="0"/>
        <v>0</v>
      </c>
      <c r="H8" s="4"/>
      <c r="I8" s="4">
        <f t="shared" si="1"/>
        <v>4782</v>
      </c>
      <c r="J8" s="16">
        <v>0</v>
      </c>
      <c r="K8" s="4">
        <v>3</v>
      </c>
      <c r="L8" s="16">
        <v>0</v>
      </c>
      <c r="M8" s="26">
        <v>0</v>
      </c>
      <c r="N8" s="26">
        <f t="shared" si="6"/>
        <v>3</v>
      </c>
      <c r="O8" s="34">
        <f t="shared" si="7"/>
        <v>6.2735257214554575E-4</v>
      </c>
      <c r="P8" s="16">
        <v>10</v>
      </c>
      <c r="Q8" s="16">
        <f t="shared" si="2"/>
        <v>500</v>
      </c>
      <c r="R8" s="16">
        <f t="shared" si="3"/>
        <v>500000</v>
      </c>
      <c r="S8" s="16">
        <v>2853.08</v>
      </c>
      <c r="T8" s="16">
        <f t="shared" si="4"/>
        <v>28530.799999999999</v>
      </c>
      <c r="U8" s="4"/>
      <c r="V8" s="4"/>
    </row>
    <row r="9" spans="1:22" x14ac:dyDescent="0.35">
      <c r="A9" s="28">
        <v>20</v>
      </c>
      <c r="B9" s="5">
        <v>45849</v>
      </c>
      <c r="C9" s="18"/>
      <c r="D9" s="18"/>
      <c r="E9" s="16">
        <f t="shared" si="5"/>
        <v>4782</v>
      </c>
      <c r="F9" s="4">
        <v>0</v>
      </c>
      <c r="G9" s="15">
        <f t="shared" si="0"/>
        <v>0</v>
      </c>
      <c r="H9" s="4"/>
      <c r="I9" s="4">
        <f t="shared" si="1"/>
        <v>4782</v>
      </c>
      <c r="J9" s="16">
        <v>0</v>
      </c>
      <c r="K9" s="4">
        <v>6</v>
      </c>
      <c r="L9" s="16">
        <v>0</v>
      </c>
      <c r="M9" s="26">
        <v>0</v>
      </c>
      <c r="N9" s="4">
        <f t="shared" si="6"/>
        <v>6</v>
      </c>
      <c r="O9" s="34">
        <f t="shared" si="7"/>
        <v>1.2547051442910915E-3</v>
      </c>
      <c r="P9" s="16">
        <v>10</v>
      </c>
      <c r="Q9" s="16">
        <f t="shared" si="2"/>
        <v>500</v>
      </c>
      <c r="R9" s="16">
        <f t="shared" si="3"/>
        <v>500000</v>
      </c>
      <c r="S9" s="16">
        <v>2853.08</v>
      </c>
      <c r="T9" s="16">
        <f t="shared" si="4"/>
        <v>28530.799999999999</v>
      </c>
      <c r="U9" s="4"/>
      <c r="V9" s="4"/>
    </row>
    <row r="10" spans="1:22" x14ac:dyDescent="0.35">
      <c r="A10" s="28">
        <v>20</v>
      </c>
      <c r="B10" s="5">
        <v>45850</v>
      </c>
      <c r="C10" s="18"/>
      <c r="D10" s="18"/>
      <c r="E10" s="16">
        <f t="shared" si="5"/>
        <v>4782</v>
      </c>
      <c r="F10" s="4">
        <v>1</v>
      </c>
      <c r="G10" s="15">
        <f t="shared" si="0"/>
        <v>2.0911752404851526E-4</v>
      </c>
      <c r="H10" s="4"/>
      <c r="I10" s="4">
        <f t="shared" si="1"/>
        <v>4781</v>
      </c>
      <c r="J10" s="16">
        <v>0</v>
      </c>
      <c r="K10" s="4">
        <v>9</v>
      </c>
      <c r="L10" s="16">
        <v>0</v>
      </c>
      <c r="M10" s="26">
        <v>0</v>
      </c>
      <c r="N10" s="4">
        <f t="shared" si="6"/>
        <v>9</v>
      </c>
      <c r="O10" s="34">
        <f t="shared" si="7"/>
        <v>1.8820577164366374E-3</v>
      </c>
      <c r="P10" s="16">
        <v>10</v>
      </c>
      <c r="Q10" s="16">
        <f t="shared" si="2"/>
        <v>500</v>
      </c>
      <c r="R10" s="16">
        <f t="shared" si="3"/>
        <v>500000</v>
      </c>
      <c r="S10" s="16">
        <v>2853.08</v>
      </c>
      <c r="T10" s="16">
        <f t="shared" si="4"/>
        <v>28530.799999999999</v>
      </c>
      <c r="U10" s="4"/>
      <c r="V10" s="4"/>
    </row>
    <row r="11" spans="1:22" x14ac:dyDescent="0.35">
      <c r="A11" s="28">
        <v>20</v>
      </c>
      <c r="B11" s="5">
        <v>45851</v>
      </c>
      <c r="C11" s="18"/>
      <c r="D11" s="18"/>
      <c r="E11" s="16">
        <f t="shared" si="5"/>
        <v>4781</v>
      </c>
      <c r="F11" s="4">
        <v>0</v>
      </c>
      <c r="G11" s="15">
        <f t="shared" si="0"/>
        <v>0</v>
      </c>
      <c r="H11" s="4"/>
      <c r="I11" s="4">
        <f t="shared" si="1"/>
        <v>4781</v>
      </c>
      <c r="J11" s="16">
        <v>0</v>
      </c>
      <c r="K11" s="4">
        <v>16</v>
      </c>
      <c r="L11" s="16">
        <v>0</v>
      </c>
      <c r="M11" s="26">
        <v>0</v>
      </c>
      <c r="N11" s="4">
        <f t="shared" si="6"/>
        <v>16</v>
      </c>
      <c r="O11" s="34">
        <f t="shared" si="7"/>
        <v>3.3465802133444888E-3</v>
      </c>
      <c r="P11" s="16">
        <v>10</v>
      </c>
      <c r="Q11" s="16">
        <f t="shared" si="2"/>
        <v>500</v>
      </c>
      <c r="R11" s="16">
        <f t="shared" si="3"/>
        <v>500000</v>
      </c>
      <c r="S11" s="16">
        <v>2853.08</v>
      </c>
      <c r="T11" s="16">
        <f t="shared" si="4"/>
        <v>28530.799999999999</v>
      </c>
      <c r="U11" s="4"/>
      <c r="V11" s="4"/>
    </row>
    <row r="12" spans="1:22" x14ac:dyDescent="0.35">
      <c r="A12" s="28">
        <v>20</v>
      </c>
      <c r="B12" s="5">
        <v>45852</v>
      </c>
      <c r="C12" s="18"/>
      <c r="D12" s="18"/>
      <c r="E12" s="16">
        <f t="shared" si="5"/>
        <v>4781</v>
      </c>
      <c r="F12" s="4">
        <v>0</v>
      </c>
      <c r="G12" s="15">
        <f t="shared" si="0"/>
        <v>0</v>
      </c>
      <c r="H12" s="4"/>
      <c r="I12" s="4">
        <f t="shared" si="1"/>
        <v>4781</v>
      </c>
      <c r="J12" s="16">
        <v>0</v>
      </c>
      <c r="K12" s="4">
        <v>19</v>
      </c>
      <c r="L12" s="16">
        <v>0</v>
      </c>
      <c r="M12" s="26">
        <v>0</v>
      </c>
      <c r="N12" s="4">
        <f t="shared" si="6"/>
        <v>19</v>
      </c>
      <c r="O12" s="34">
        <f t="shared" si="7"/>
        <v>3.9740640033465802E-3</v>
      </c>
      <c r="P12" s="16">
        <v>10</v>
      </c>
      <c r="Q12" s="16">
        <f t="shared" si="2"/>
        <v>500</v>
      </c>
      <c r="R12" s="16">
        <f t="shared" si="3"/>
        <v>500000</v>
      </c>
      <c r="S12" s="16">
        <v>2853.08</v>
      </c>
      <c r="T12" s="16">
        <f t="shared" si="4"/>
        <v>28530.799999999999</v>
      </c>
      <c r="U12" s="4"/>
      <c r="V12" s="4"/>
    </row>
    <row r="13" spans="1:22" x14ac:dyDescent="0.35">
      <c r="A13" s="28">
        <v>21</v>
      </c>
      <c r="B13" s="5">
        <v>45853</v>
      </c>
      <c r="C13" s="18"/>
      <c r="D13" s="18"/>
      <c r="E13" s="16">
        <f t="shared" si="5"/>
        <v>4781</v>
      </c>
      <c r="F13" s="4">
        <v>0</v>
      </c>
      <c r="G13" s="15">
        <f t="shared" si="0"/>
        <v>0</v>
      </c>
      <c r="H13" s="4"/>
      <c r="I13" s="4">
        <f t="shared" si="1"/>
        <v>4781</v>
      </c>
      <c r="J13" s="4">
        <v>0</v>
      </c>
      <c r="K13" s="4">
        <v>22</v>
      </c>
      <c r="L13" s="16">
        <v>0</v>
      </c>
      <c r="M13" s="26">
        <v>0</v>
      </c>
      <c r="N13" s="4">
        <f t="shared" si="6"/>
        <v>22</v>
      </c>
      <c r="O13" s="34">
        <f t="shared" si="7"/>
        <v>4.6015477933486716E-3</v>
      </c>
      <c r="P13" s="16">
        <v>9</v>
      </c>
      <c r="Q13" s="16">
        <f t="shared" si="2"/>
        <v>450</v>
      </c>
      <c r="R13" s="16">
        <f t="shared" si="3"/>
        <v>450000</v>
      </c>
      <c r="S13" s="16">
        <v>2853.08</v>
      </c>
      <c r="T13" s="16">
        <f t="shared" si="4"/>
        <v>25677.72</v>
      </c>
      <c r="U13" s="4"/>
      <c r="V13" s="4"/>
    </row>
    <row r="14" spans="1:22" x14ac:dyDescent="0.35">
      <c r="A14" s="28">
        <v>21</v>
      </c>
      <c r="B14" s="5">
        <v>45854</v>
      </c>
      <c r="C14" s="18"/>
      <c r="D14" s="18"/>
      <c r="E14" s="16">
        <f t="shared" si="5"/>
        <v>4781</v>
      </c>
      <c r="F14" s="4">
        <v>0</v>
      </c>
      <c r="G14" s="15">
        <f t="shared" si="0"/>
        <v>0</v>
      </c>
      <c r="H14" s="4"/>
      <c r="I14" s="4">
        <f t="shared" si="1"/>
        <v>4781</v>
      </c>
      <c r="J14" s="4">
        <v>1</v>
      </c>
      <c r="K14" s="4">
        <v>36</v>
      </c>
      <c r="L14" s="16">
        <v>0</v>
      </c>
      <c r="M14" s="26">
        <v>0</v>
      </c>
      <c r="N14" s="4">
        <f t="shared" si="6"/>
        <v>36</v>
      </c>
      <c r="O14" s="34">
        <f t="shared" si="7"/>
        <v>7.5298054800250992E-3</v>
      </c>
      <c r="P14" s="16">
        <v>9</v>
      </c>
      <c r="Q14" s="16">
        <f t="shared" si="2"/>
        <v>450</v>
      </c>
      <c r="R14" s="16">
        <f t="shared" si="3"/>
        <v>450000</v>
      </c>
      <c r="S14" s="16">
        <v>2853.08</v>
      </c>
      <c r="T14" s="16">
        <f t="shared" si="4"/>
        <v>25677.72</v>
      </c>
      <c r="U14" s="4"/>
      <c r="V14" s="4"/>
    </row>
    <row r="15" spans="1:22" x14ac:dyDescent="0.35">
      <c r="A15" s="28">
        <v>21</v>
      </c>
      <c r="B15" s="5">
        <v>45855</v>
      </c>
      <c r="C15" s="18"/>
      <c r="D15" s="18"/>
      <c r="E15" s="16">
        <f t="shared" si="5"/>
        <v>4781</v>
      </c>
      <c r="F15" s="4">
        <v>0</v>
      </c>
      <c r="G15" s="15">
        <f t="shared" si="0"/>
        <v>0</v>
      </c>
      <c r="H15" s="4"/>
      <c r="I15" s="4">
        <f t="shared" si="1"/>
        <v>4781</v>
      </c>
      <c r="J15" s="4">
        <v>1</v>
      </c>
      <c r="K15" s="4">
        <v>50</v>
      </c>
      <c r="L15" s="16">
        <v>0</v>
      </c>
      <c r="M15" s="26">
        <v>0</v>
      </c>
      <c r="N15" s="4">
        <f t="shared" si="6"/>
        <v>50</v>
      </c>
      <c r="O15" s="34">
        <f t="shared" si="7"/>
        <v>1.0458063166701528E-2</v>
      </c>
      <c r="P15" s="16">
        <v>10</v>
      </c>
      <c r="Q15" s="16">
        <f t="shared" si="2"/>
        <v>500</v>
      </c>
      <c r="R15" s="16">
        <f t="shared" si="3"/>
        <v>500000</v>
      </c>
      <c r="S15" s="16">
        <v>2853.08</v>
      </c>
      <c r="T15" s="16">
        <f t="shared" si="4"/>
        <v>28530.799999999999</v>
      </c>
      <c r="U15" s="4"/>
      <c r="V15" s="4"/>
    </row>
    <row r="16" spans="1:22" x14ac:dyDescent="0.35">
      <c r="A16" s="28">
        <v>21</v>
      </c>
      <c r="B16" s="5">
        <v>45856</v>
      </c>
      <c r="C16" s="18"/>
      <c r="D16" s="18"/>
      <c r="E16" s="16">
        <f t="shared" si="5"/>
        <v>4781</v>
      </c>
      <c r="F16" s="4">
        <v>0</v>
      </c>
      <c r="G16" s="15">
        <f t="shared" si="0"/>
        <v>0</v>
      </c>
      <c r="H16" s="4"/>
      <c r="I16" s="4">
        <f t="shared" si="1"/>
        <v>4781</v>
      </c>
      <c r="J16" s="4">
        <v>2</v>
      </c>
      <c r="K16" s="4">
        <v>67</v>
      </c>
      <c r="L16" s="16">
        <v>0</v>
      </c>
      <c r="M16" s="26">
        <v>0</v>
      </c>
      <c r="N16" s="4">
        <f t="shared" si="6"/>
        <v>67</v>
      </c>
      <c r="O16" s="34">
        <f t="shared" si="7"/>
        <v>1.4013804643380047E-2</v>
      </c>
      <c r="P16" s="16">
        <v>9</v>
      </c>
      <c r="Q16" s="16">
        <f t="shared" si="2"/>
        <v>450</v>
      </c>
      <c r="R16" s="16">
        <f t="shared" si="3"/>
        <v>450000</v>
      </c>
      <c r="S16" s="16">
        <v>2853.08</v>
      </c>
      <c r="T16" s="16">
        <f t="shared" si="4"/>
        <v>25677.72</v>
      </c>
      <c r="U16" s="4"/>
      <c r="V16" s="4"/>
    </row>
    <row r="17" spans="1:22" x14ac:dyDescent="0.35">
      <c r="A17" s="28">
        <v>21</v>
      </c>
      <c r="B17" s="5">
        <v>45857</v>
      </c>
      <c r="C17" s="18"/>
      <c r="D17" s="18"/>
      <c r="E17" s="16">
        <f t="shared" si="5"/>
        <v>4781</v>
      </c>
      <c r="F17" s="4">
        <v>0</v>
      </c>
      <c r="G17" s="15">
        <f t="shared" si="0"/>
        <v>0</v>
      </c>
      <c r="H17" s="4"/>
      <c r="I17" s="4">
        <f t="shared" si="1"/>
        <v>4781</v>
      </c>
      <c r="J17" s="4">
        <v>3</v>
      </c>
      <c r="K17" s="4">
        <f>J17*30</f>
        <v>90</v>
      </c>
      <c r="L17" s="16">
        <v>0</v>
      </c>
      <c r="M17" s="26">
        <v>0</v>
      </c>
      <c r="N17" s="4">
        <f t="shared" si="6"/>
        <v>90</v>
      </c>
      <c r="O17" s="34">
        <f t="shared" si="7"/>
        <v>1.8824513700062748E-2</v>
      </c>
      <c r="P17" s="16">
        <v>9</v>
      </c>
      <c r="Q17" s="16">
        <f t="shared" si="2"/>
        <v>450</v>
      </c>
      <c r="R17" s="16">
        <f t="shared" si="3"/>
        <v>450000</v>
      </c>
      <c r="S17" s="16">
        <v>2853.08</v>
      </c>
      <c r="T17" s="16">
        <f t="shared" si="4"/>
        <v>25677.72</v>
      </c>
      <c r="U17" s="4"/>
      <c r="V17" s="4"/>
    </row>
    <row r="18" spans="1:22" x14ac:dyDescent="0.35">
      <c r="A18" s="28">
        <v>21</v>
      </c>
      <c r="B18" s="5">
        <v>45858</v>
      </c>
      <c r="C18" s="18"/>
      <c r="D18" s="18"/>
      <c r="E18" s="16">
        <f t="shared" si="5"/>
        <v>4781</v>
      </c>
      <c r="F18" s="4">
        <v>0</v>
      </c>
      <c r="G18" s="15">
        <f t="shared" si="0"/>
        <v>0</v>
      </c>
      <c r="H18" s="4"/>
      <c r="I18" s="4">
        <f t="shared" si="1"/>
        <v>4781</v>
      </c>
      <c r="J18" s="4">
        <v>3</v>
      </c>
      <c r="K18" s="4">
        <v>111</v>
      </c>
      <c r="L18" s="16">
        <v>0</v>
      </c>
      <c r="M18" s="26">
        <v>0</v>
      </c>
      <c r="N18" s="4">
        <f t="shared" si="6"/>
        <v>111</v>
      </c>
      <c r="O18" s="34">
        <f t="shared" si="7"/>
        <v>2.321690023007739E-2</v>
      </c>
      <c r="P18" s="16">
        <v>9</v>
      </c>
      <c r="Q18" s="16">
        <f t="shared" si="2"/>
        <v>450</v>
      </c>
      <c r="R18" s="16">
        <f t="shared" si="3"/>
        <v>450000</v>
      </c>
      <c r="S18" s="16">
        <v>2853.08</v>
      </c>
      <c r="T18" s="16">
        <f t="shared" si="4"/>
        <v>25677.72</v>
      </c>
      <c r="U18" s="4"/>
      <c r="V18" s="4"/>
    </row>
    <row r="19" spans="1:22" x14ac:dyDescent="0.35">
      <c r="A19" s="28">
        <v>21</v>
      </c>
      <c r="B19" s="5">
        <v>45859</v>
      </c>
      <c r="C19" s="18"/>
      <c r="D19" s="18"/>
      <c r="E19" s="16">
        <f t="shared" si="5"/>
        <v>4781</v>
      </c>
      <c r="F19" s="4">
        <v>0</v>
      </c>
      <c r="G19" s="15">
        <f t="shared" si="0"/>
        <v>0</v>
      </c>
      <c r="H19" s="4"/>
      <c r="I19" s="4">
        <f t="shared" si="1"/>
        <v>4781</v>
      </c>
      <c r="J19" s="4">
        <v>4</v>
      </c>
      <c r="K19" s="4">
        <v>145</v>
      </c>
      <c r="L19" s="16">
        <v>0</v>
      </c>
      <c r="M19" s="26">
        <v>0</v>
      </c>
      <c r="N19" s="4">
        <f t="shared" si="6"/>
        <v>145</v>
      </c>
      <c r="O19" s="34">
        <f t="shared" si="7"/>
        <v>3.0328383183434428E-2</v>
      </c>
      <c r="P19" s="16">
        <v>9</v>
      </c>
      <c r="Q19" s="16">
        <f t="shared" si="2"/>
        <v>450</v>
      </c>
      <c r="R19" s="16">
        <f t="shared" si="3"/>
        <v>450000</v>
      </c>
      <c r="S19" s="4">
        <v>2818.03</v>
      </c>
      <c r="T19" s="16">
        <f t="shared" si="4"/>
        <v>25362.27</v>
      </c>
      <c r="U19" s="4"/>
      <c r="V19" s="4"/>
    </row>
    <row r="20" spans="1:22" x14ac:dyDescent="0.35">
      <c r="A20" s="3">
        <v>22</v>
      </c>
      <c r="B20" s="5">
        <v>45860</v>
      </c>
      <c r="C20" s="18"/>
      <c r="D20" s="18"/>
      <c r="E20" s="16">
        <f t="shared" si="5"/>
        <v>4781</v>
      </c>
      <c r="F20" s="4">
        <v>0</v>
      </c>
      <c r="G20" s="15">
        <f t="shared" si="0"/>
        <v>0</v>
      </c>
      <c r="H20" s="4"/>
      <c r="I20" s="4">
        <f t="shared" si="1"/>
        <v>4781</v>
      </c>
      <c r="J20" s="4">
        <v>6</v>
      </c>
      <c r="K20" s="4">
        <f t="shared" ref="K20:K29" si="8">J20*30</f>
        <v>180</v>
      </c>
      <c r="L20" s="16">
        <v>0</v>
      </c>
      <c r="M20" s="26">
        <v>0</v>
      </c>
      <c r="N20" s="4">
        <f t="shared" si="6"/>
        <v>180</v>
      </c>
      <c r="O20" s="34">
        <f t="shared" si="7"/>
        <v>3.7649027400125497E-2</v>
      </c>
      <c r="P20" s="16">
        <v>9</v>
      </c>
      <c r="Q20" s="16">
        <f t="shared" si="2"/>
        <v>450</v>
      </c>
      <c r="R20" s="16">
        <f t="shared" si="3"/>
        <v>450000</v>
      </c>
      <c r="S20" s="4">
        <v>2818.03</v>
      </c>
      <c r="T20" s="16">
        <f t="shared" si="4"/>
        <v>25362.27</v>
      </c>
      <c r="U20" s="4"/>
      <c r="V20" s="4"/>
    </row>
    <row r="21" spans="1:22" x14ac:dyDescent="0.35">
      <c r="A21" s="3">
        <v>22</v>
      </c>
      <c r="B21" s="5">
        <v>45861</v>
      </c>
      <c r="C21" s="18"/>
      <c r="D21" s="18"/>
      <c r="E21" s="16">
        <f t="shared" si="5"/>
        <v>4781</v>
      </c>
      <c r="F21" s="4">
        <v>0</v>
      </c>
      <c r="G21" s="15">
        <f t="shared" si="0"/>
        <v>0</v>
      </c>
      <c r="H21" s="4"/>
      <c r="I21" s="4">
        <f t="shared" si="1"/>
        <v>4781</v>
      </c>
      <c r="J21" s="4">
        <v>7</v>
      </c>
      <c r="K21" s="4">
        <f t="shared" si="8"/>
        <v>210</v>
      </c>
      <c r="L21" s="16">
        <v>0</v>
      </c>
      <c r="M21" s="26">
        <v>0</v>
      </c>
      <c r="N21" s="4">
        <f t="shared" si="6"/>
        <v>210</v>
      </c>
      <c r="O21" s="34">
        <f t="shared" si="7"/>
        <v>4.3923865300146414E-2</v>
      </c>
      <c r="P21" s="16">
        <v>10</v>
      </c>
      <c r="Q21" s="16">
        <f t="shared" si="2"/>
        <v>500</v>
      </c>
      <c r="R21" s="16">
        <f t="shared" si="3"/>
        <v>500000</v>
      </c>
      <c r="S21" s="4">
        <v>2818.03</v>
      </c>
      <c r="T21" s="16">
        <f t="shared" si="4"/>
        <v>28180.300000000003</v>
      </c>
      <c r="U21" s="4"/>
      <c r="V21" s="4"/>
    </row>
    <row r="22" spans="1:22" x14ac:dyDescent="0.35">
      <c r="A22" s="3">
        <v>22</v>
      </c>
      <c r="B22" s="5">
        <v>45862</v>
      </c>
      <c r="C22" s="18"/>
      <c r="D22" s="18"/>
      <c r="E22" s="16">
        <f t="shared" si="5"/>
        <v>4781</v>
      </c>
      <c r="F22" s="4">
        <v>0</v>
      </c>
      <c r="G22" s="15">
        <f t="shared" si="0"/>
        <v>0</v>
      </c>
      <c r="H22" s="4"/>
      <c r="I22" s="4">
        <f t="shared" si="1"/>
        <v>4781</v>
      </c>
      <c r="J22" s="4">
        <v>9</v>
      </c>
      <c r="K22" s="4">
        <f t="shared" si="8"/>
        <v>270</v>
      </c>
      <c r="L22" s="16">
        <v>0</v>
      </c>
      <c r="M22" s="26">
        <v>0</v>
      </c>
      <c r="N22" s="4">
        <f t="shared" si="6"/>
        <v>270</v>
      </c>
      <c r="O22" s="34">
        <f t="shared" si="7"/>
        <v>5.6473541100188242E-2</v>
      </c>
      <c r="P22" s="16">
        <v>10</v>
      </c>
      <c r="Q22" s="16">
        <f t="shared" si="2"/>
        <v>500</v>
      </c>
      <c r="R22" s="16">
        <f t="shared" si="3"/>
        <v>500000</v>
      </c>
      <c r="S22" s="4">
        <v>2818.03</v>
      </c>
      <c r="T22" s="16">
        <f t="shared" si="4"/>
        <v>28180.300000000003</v>
      </c>
      <c r="U22" s="4"/>
      <c r="V22" s="4"/>
    </row>
    <row r="23" spans="1:22" x14ac:dyDescent="0.35">
      <c r="A23" s="3">
        <v>22</v>
      </c>
      <c r="B23" s="5">
        <v>45863</v>
      </c>
      <c r="C23" s="18"/>
      <c r="D23" s="18"/>
      <c r="E23" s="16">
        <f t="shared" si="5"/>
        <v>4781</v>
      </c>
      <c r="F23" s="4">
        <v>0</v>
      </c>
      <c r="G23" s="15">
        <f t="shared" si="0"/>
        <v>0</v>
      </c>
      <c r="H23" s="4"/>
      <c r="I23" s="4">
        <f t="shared" si="1"/>
        <v>4781</v>
      </c>
      <c r="J23" s="4">
        <v>11</v>
      </c>
      <c r="K23" s="4">
        <f t="shared" si="8"/>
        <v>330</v>
      </c>
      <c r="L23" s="16">
        <v>0</v>
      </c>
      <c r="M23" s="26">
        <v>0</v>
      </c>
      <c r="N23" s="4">
        <f t="shared" si="6"/>
        <v>330</v>
      </c>
      <c r="O23" s="34">
        <f t="shared" si="7"/>
        <v>6.9023216900230083E-2</v>
      </c>
      <c r="P23" s="16">
        <v>10</v>
      </c>
      <c r="Q23" s="16">
        <f t="shared" si="2"/>
        <v>500</v>
      </c>
      <c r="R23" s="16">
        <f t="shared" si="3"/>
        <v>500000</v>
      </c>
      <c r="S23" s="4">
        <v>2818.03</v>
      </c>
      <c r="T23" s="16">
        <f t="shared" si="4"/>
        <v>28180.300000000003</v>
      </c>
      <c r="U23" s="4"/>
      <c r="V23" s="4"/>
    </row>
    <row r="24" spans="1:22" x14ac:dyDescent="0.35">
      <c r="A24" s="3">
        <v>22</v>
      </c>
      <c r="B24" s="5">
        <v>45864</v>
      </c>
      <c r="C24" s="18"/>
      <c r="D24" s="18"/>
      <c r="E24" s="16">
        <f t="shared" si="5"/>
        <v>4781</v>
      </c>
      <c r="F24" s="4">
        <v>0</v>
      </c>
      <c r="G24" s="15">
        <f t="shared" si="0"/>
        <v>0</v>
      </c>
      <c r="H24" s="4"/>
      <c r="I24" s="4">
        <f t="shared" si="1"/>
        <v>4781</v>
      </c>
      <c r="J24" s="4">
        <v>14</v>
      </c>
      <c r="K24" s="4">
        <f t="shared" si="8"/>
        <v>420</v>
      </c>
      <c r="L24" s="16">
        <v>0</v>
      </c>
      <c r="M24" s="26">
        <v>0</v>
      </c>
      <c r="N24" s="4">
        <f t="shared" si="6"/>
        <v>420</v>
      </c>
      <c r="O24" s="34">
        <f t="shared" si="7"/>
        <v>8.7847730600292828E-2</v>
      </c>
      <c r="P24" s="16">
        <v>10</v>
      </c>
      <c r="Q24" s="16">
        <f t="shared" si="2"/>
        <v>500</v>
      </c>
      <c r="R24" s="16">
        <f t="shared" si="3"/>
        <v>500000</v>
      </c>
      <c r="S24" s="4">
        <v>2818.03</v>
      </c>
      <c r="T24" s="16">
        <f t="shared" si="4"/>
        <v>28180.300000000003</v>
      </c>
      <c r="U24" s="4"/>
      <c r="V24" s="4"/>
    </row>
    <row r="25" spans="1:22" x14ac:dyDescent="0.35">
      <c r="A25" s="3">
        <v>22</v>
      </c>
      <c r="B25" s="5">
        <v>45865</v>
      </c>
      <c r="C25" s="18"/>
      <c r="D25" s="18"/>
      <c r="E25" s="16">
        <f t="shared" si="5"/>
        <v>4781</v>
      </c>
      <c r="F25" s="4">
        <v>0</v>
      </c>
      <c r="G25" s="14">
        <f t="shared" si="0"/>
        <v>0</v>
      </c>
      <c r="H25" s="4"/>
      <c r="I25" s="4">
        <f t="shared" si="1"/>
        <v>4781</v>
      </c>
      <c r="J25" s="4">
        <v>16</v>
      </c>
      <c r="K25" s="4">
        <f t="shared" si="8"/>
        <v>480</v>
      </c>
      <c r="L25" s="16">
        <v>0</v>
      </c>
      <c r="M25" s="26">
        <v>0</v>
      </c>
      <c r="N25" s="4">
        <f t="shared" si="6"/>
        <v>480</v>
      </c>
      <c r="O25" s="34">
        <f t="shared" si="7"/>
        <v>0.10039740640033466</v>
      </c>
      <c r="P25" s="16">
        <v>10</v>
      </c>
      <c r="Q25" s="16">
        <f t="shared" si="2"/>
        <v>500</v>
      </c>
      <c r="R25" s="16">
        <f t="shared" si="3"/>
        <v>500000</v>
      </c>
      <c r="S25" s="4">
        <v>2818.03</v>
      </c>
      <c r="T25" s="16">
        <f t="shared" si="4"/>
        <v>28180.300000000003</v>
      </c>
      <c r="U25" s="4"/>
      <c r="V25" s="4"/>
    </row>
    <row r="26" spans="1:22" x14ac:dyDescent="0.35">
      <c r="A26" s="3">
        <v>22</v>
      </c>
      <c r="B26" s="5">
        <v>45866</v>
      </c>
      <c r="C26" s="18"/>
      <c r="D26" s="18"/>
      <c r="E26" s="16">
        <f t="shared" si="5"/>
        <v>4781</v>
      </c>
      <c r="F26" s="4">
        <v>0</v>
      </c>
      <c r="G26" s="14">
        <f t="shared" si="0"/>
        <v>0</v>
      </c>
      <c r="H26" s="4"/>
      <c r="I26" s="4">
        <f t="shared" si="1"/>
        <v>4781</v>
      </c>
      <c r="J26" s="4">
        <v>20</v>
      </c>
      <c r="K26" s="4">
        <f t="shared" si="8"/>
        <v>600</v>
      </c>
      <c r="L26" s="16">
        <v>0</v>
      </c>
      <c r="M26" s="26">
        <v>0</v>
      </c>
      <c r="N26" s="4">
        <f t="shared" si="6"/>
        <v>600</v>
      </c>
      <c r="O26" s="34">
        <f t="shared" si="7"/>
        <v>0.12549675800041832</v>
      </c>
      <c r="P26" s="16">
        <v>10</v>
      </c>
      <c r="Q26" s="16">
        <f t="shared" si="2"/>
        <v>500</v>
      </c>
      <c r="R26" s="16">
        <f t="shared" si="3"/>
        <v>500000</v>
      </c>
      <c r="S26" s="4">
        <v>2818.03</v>
      </c>
      <c r="T26" s="16">
        <f t="shared" si="4"/>
        <v>28180.300000000003</v>
      </c>
      <c r="U26" s="4">
        <v>1626.94</v>
      </c>
      <c r="V26" s="4">
        <v>800</v>
      </c>
    </row>
    <row r="27" spans="1:22" x14ac:dyDescent="0.35">
      <c r="A27" s="3">
        <v>23</v>
      </c>
      <c r="B27" s="5">
        <v>45867</v>
      </c>
      <c r="C27" s="18"/>
      <c r="D27" s="18"/>
      <c r="E27" s="16">
        <f t="shared" si="5"/>
        <v>4781</v>
      </c>
      <c r="F27" s="4">
        <v>0</v>
      </c>
      <c r="G27" s="14">
        <f t="shared" si="0"/>
        <v>0</v>
      </c>
      <c r="H27" s="4"/>
      <c r="I27" s="4">
        <f t="shared" si="1"/>
        <v>4781</v>
      </c>
      <c r="J27" s="4">
        <v>25</v>
      </c>
      <c r="K27" s="4">
        <f t="shared" si="8"/>
        <v>750</v>
      </c>
      <c r="L27" s="16">
        <v>0</v>
      </c>
      <c r="M27" s="26">
        <v>0</v>
      </c>
      <c r="N27" s="4">
        <f t="shared" si="6"/>
        <v>750</v>
      </c>
      <c r="O27" s="34">
        <f t="shared" si="7"/>
        <v>0.15687094750052291</v>
      </c>
      <c r="P27" s="16">
        <v>10</v>
      </c>
      <c r="Q27" s="16">
        <f t="shared" si="2"/>
        <v>500</v>
      </c>
      <c r="R27" s="16">
        <f t="shared" si="3"/>
        <v>500000</v>
      </c>
      <c r="S27" s="4">
        <v>2818.03</v>
      </c>
      <c r="T27" s="16">
        <f t="shared" si="4"/>
        <v>28180.300000000003</v>
      </c>
      <c r="U27" s="4">
        <v>1626.94</v>
      </c>
      <c r="V27" s="4">
        <v>900</v>
      </c>
    </row>
    <row r="28" spans="1:22" x14ac:dyDescent="0.35">
      <c r="A28" s="3">
        <v>23</v>
      </c>
      <c r="B28" s="5">
        <v>45868</v>
      </c>
      <c r="C28" s="18"/>
      <c r="D28" s="18"/>
      <c r="E28" s="16">
        <f t="shared" si="5"/>
        <v>4781</v>
      </c>
      <c r="F28" s="4">
        <v>0</v>
      </c>
      <c r="G28" s="14">
        <f t="shared" si="0"/>
        <v>0</v>
      </c>
      <c r="H28" s="4"/>
      <c r="I28" s="4">
        <f t="shared" si="1"/>
        <v>4781</v>
      </c>
      <c r="J28" s="4">
        <v>26</v>
      </c>
      <c r="K28" s="4">
        <f t="shared" si="8"/>
        <v>780</v>
      </c>
      <c r="L28" s="16">
        <v>0</v>
      </c>
      <c r="M28" s="26">
        <v>0</v>
      </c>
      <c r="N28" s="4">
        <f t="shared" si="6"/>
        <v>780</v>
      </c>
      <c r="O28" s="34">
        <f t="shared" si="7"/>
        <v>0.16314578540054381</v>
      </c>
      <c r="P28" s="16">
        <v>6</v>
      </c>
      <c r="Q28" s="16">
        <f t="shared" si="2"/>
        <v>300</v>
      </c>
      <c r="R28" s="16">
        <f t="shared" si="3"/>
        <v>300000</v>
      </c>
      <c r="S28" s="4">
        <v>2818.03</v>
      </c>
      <c r="T28" s="16">
        <f t="shared" si="4"/>
        <v>16908.18</v>
      </c>
      <c r="U28" s="4">
        <v>1626.94</v>
      </c>
      <c r="V28" s="4">
        <v>200</v>
      </c>
    </row>
    <row r="29" spans="1:22" x14ac:dyDescent="0.35">
      <c r="A29" s="3">
        <v>23</v>
      </c>
      <c r="B29" s="5">
        <v>45869</v>
      </c>
      <c r="C29" s="18"/>
      <c r="D29" s="18"/>
      <c r="E29" s="16">
        <f t="shared" si="5"/>
        <v>4781</v>
      </c>
      <c r="F29" s="4">
        <v>0</v>
      </c>
      <c r="G29" s="14">
        <f t="shared" si="0"/>
        <v>0</v>
      </c>
      <c r="H29" s="4"/>
      <c r="I29" s="4">
        <f t="shared" si="1"/>
        <v>4781</v>
      </c>
      <c r="J29" s="4">
        <v>32</v>
      </c>
      <c r="K29" s="4">
        <f t="shared" si="8"/>
        <v>960</v>
      </c>
      <c r="L29" s="16">
        <v>0</v>
      </c>
      <c r="M29" s="26">
        <v>0</v>
      </c>
      <c r="N29" s="4">
        <f t="shared" si="6"/>
        <v>960</v>
      </c>
      <c r="O29" s="34">
        <f t="shared" si="7"/>
        <v>0.20079481280066933</v>
      </c>
      <c r="P29" s="16">
        <v>10</v>
      </c>
      <c r="Q29" s="16">
        <f t="shared" si="2"/>
        <v>500</v>
      </c>
      <c r="R29" s="16">
        <f t="shared" si="3"/>
        <v>500000</v>
      </c>
      <c r="S29" s="4">
        <v>2757.63</v>
      </c>
      <c r="T29" s="16">
        <f t="shared" si="4"/>
        <v>27576.300000000003</v>
      </c>
      <c r="U29" s="4">
        <v>1626.94</v>
      </c>
      <c r="V29" s="4">
        <v>800</v>
      </c>
    </row>
    <row r="30" spans="1:22" x14ac:dyDescent="0.35">
      <c r="A30" s="3"/>
      <c r="B30" s="2"/>
      <c r="C30" s="18"/>
      <c r="D30" s="18"/>
      <c r="E30" s="4"/>
      <c r="F30" s="4">
        <f>SUM(F4:F29)</f>
        <v>1</v>
      </c>
      <c r="G30" s="14"/>
      <c r="H30" s="4"/>
      <c r="I30" s="4"/>
      <c r="J30" s="4"/>
      <c r="K30" s="4"/>
      <c r="L30" s="4"/>
      <c r="M30" s="4"/>
      <c r="N30" s="4"/>
      <c r="O30" s="14"/>
      <c r="P30" s="4"/>
      <c r="Q30" s="4"/>
      <c r="R30" s="4"/>
      <c r="S30" s="4"/>
      <c r="T30" s="4"/>
      <c r="U30" s="4"/>
      <c r="V30" s="4"/>
    </row>
    <row r="31" spans="1:22" x14ac:dyDescent="0.35">
      <c r="A31" s="3"/>
      <c r="B31" s="2"/>
      <c r="C31" s="18"/>
      <c r="D31" s="18"/>
      <c r="E31" s="4"/>
      <c r="F31" s="4"/>
      <c r="G31" s="14"/>
      <c r="H31" s="4"/>
      <c r="I31" s="4"/>
      <c r="J31" s="4"/>
      <c r="K31" s="4"/>
      <c r="L31" s="4"/>
      <c r="M31" s="4"/>
      <c r="N31" s="4"/>
      <c r="O31" s="14"/>
      <c r="P31" s="4"/>
      <c r="Q31" s="4"/>
      <c r="R31" s="4"/>
      <c r="S31" s="4"/>
      <c r="T31" s="4"/>
      <c r="U31" s="4"/>
      <c r="V31" s="4"/>
    </row>
    <row r="32" spans="1:22" x14ac:dyDescent="0.35">
      <c r="B32" s="3" t="s">
        <v>1</v>
      </c>
      <c r="C32" s="19" t="s">
        <v>19</v>
      </c>
      <c r="D32" s="19" t="s">
        <v>18</v>
      </c>
      <c r="E32" s="6" t="s">
        <v>2</v>
      </c>
      <c r="F32" s="7" t="s">
        <v>3</v>
      </c>
      <c r="G32" s="8" t="s">
        <v>4</v>
      </c>
      <c r="H32" s="7" t="s">
        <v>5</v>
      </c>
      <c r="I32" s="9" t="s">
        <v>6</v>
      </c>
      <c r="J32" s="10" t="s">
        <v>7</v>
      </c>
      <c r="K32" s="7" t="s">
        <v>8</v>
      </c>
      <c r="L32" s="7" t="s">
        <v>9</v>
      </c>
      <c r="M32" s="7" t="s">
        <v>10</v>
      </c>
      <c r="N32" s="7" t="s">
        <v>11</v>
      </c>
      <c r="O32" s="35" t="s">
        <v>12</v>
      </c>
      <c r="P32" s="10" t="s">
        <v>13</v>
      </c>
      <c r="Q32" s="7" t="s">
        <v>14</v>
      </c>
      <c r="R32" s="11" t="s">
        <v>15</v>
      </c>
      <c r="S32" s="12" t="s">
        <v>16</v>
      </c>
      <c r="T32" s="13" t="s">
        <v>17</v>
      </c>
      <c r="U32" s="36" t="s">
        <v>21</v>
      </c>
      <c r="V32" s="36" t="s">
        <v>23</v>
      </c>
    </row>
    <row r="33" spans="1:22" x14ac:dyDescent="0.35">
      <c r="A33" s="1">
        <v>23</v>
      </c>
      <c r="B33" s="24">
        <v>45870</v>
      </c>
      <c r="C33" s="25"/>
      <c r="D33" s="25"/>
      <c r="E33" s="26">
        <v>4781</v>
      </c>
      <c r="F33" s="26">
        <v>1</v>
      </c>
      <c r="G33" s="27">
        <f t="shared" ref="G33:G63" si="9">F33/E33</f>
        <v>2.0916126333403055E-4</v>
      </c>
      <c r="H33" s="26"/>
      <c r="I33" s="26">
        <f t="shared" ref="I33:I63" si="10">E33-F33-H33</f>
        <v>4780</v>
      </c>
      <c r="J33" s="26">
        <v>36</v>
      </c>
      <c r="K33" s="26">
        <f t="shared" ref="K33:K63" si="11">J33*30</f>
        <v>1080</v>
      </c>
      <c r="L33" s="26">
        <v>0</v>
      </c>
      <c r="M33" s="26">
        <v>0</v>
      </c>
      <c r="N33" s="26">
        <f>K33+L33-M33</f>
        <v>1080</v>
      </c>
      <c r="O33" s="34">
        <f>N33/E33</f>
        <v>0.22589416440075297</v>
      </c>
      <c r="P33" s="26">
        <v>10</v>
      </c>
      <c r="Q33" s="26">
        <f t="shared" ref="Q33:Q63" si="12">P33*50</f>
        <v>500</v>
      </c>
      <c r="R33" s="26">
        <f t="shared" ref="R33:R63" si="13">Q33*1000</f>
        <v>500000</v>
      </c>
      <c r="S33" s="26">
        <v>2757.63</v>
      </c>
      <c r="T33" s="26">
        <f t="shared" ref="T33:T56" si="14">P33*S33</f>
        <v>27576.300000000003</v>
      </c>
      <c r="U33" s="26">
        <v>1626.94</v>
      </c>
      <c r="V33" s="26">
        <v>900</v>
      </c>
    </row>
    <row r="34" spans="1:22" x14ac:dyDescent="0.35">
      <c r="A34" s="3">
        <v>23</v>
      </c>
      <c r="B34" s="24">
        <v>45871</v>
      </c>
      <c r="C34" s="18"/>
      <c r="D34" s="18"/>
      <c r="E34" s="26">
        <f t="shared" ref="E34:E63" si="15">I33</f>
        <v>4780</v>
      </c>
      <c r="F34" s="4">
        <v>0</v>
      </c>
      <c r="G34" s="27">
        <f t="shared" si="9"/>
        <v>0</v>
      </c>
      <c r="H34" s="4"/>
      <c r="I34" s="26">
        <f t="shared" si="10"/>
        <v>4780</v>
      </c>
      <c r="J34" s="26">
        <v>40</v>
      </c>
      <c r="K34" s="26">
        <f t="shared" si="11"/>
        <v>1200</v>
      </c>
      <c r="L34" s="26">
        <v>0</v>
      </c>
      <c r="M34" s="26">
        <v>0</v>
      </c>
      <c r="N34" s="26">
        <f t="shared" ref="N34:N63" si="16">K34+L34-M34</f>
        <v>1200</v>
      </c>
      <c r="O34" s="34">
        <f t="shared" ref="O34:O63" si="17">N34/E34</f>
        <v>0.2510460251046025</v>
      </c>
      <c r="P34" s="26">
        <v>10</v>
      </c>
      <c r="Q34" s="26">
        <f t="shared" si="12"/>
        <v>500</v>
      </c>
      <c r="R34" s="26">
        <f t="shared" si="13"/>
        <v>500000</v>
      </c>
      <c r="S34" s="26">
        <v>2757.63</v>
      </c>
      <c r="T34" s="26">
        <f t="shared" si="14"/>
        <v>27576.300000000003</v>
      </c>
      <c r="U34" s="26">
        <v>1626.94</v>
      </c>
      <c r="V34" s="26">
        <v>900</v>
      </c>
    </row>
    <row r="35" spans="1:22" x14ac:dyDescent="0.35">
      <c r="A35" s="3">
        <v>23</v>
      </c>
      <c r="B35" s="24">
        <v>45872</v>
      </c>
      <c r="C35" s="4"/>
      <c r="D35" s="18"/>
      <c r="E35" s="26">
        <f t="shared" si="15"/>
        <v>4780</v>
      </c>
      <c r="F35" s="4">
        <v>0</v>
      </c>
      <c r="G35" s="27">
        <f t="shared" si="9"/>
        <v>0</v>
      </c>
      <c r="H35" s="4"/>
      <c r="I35" s="26">
        <f t="shared" si="10"/>
        <v>4780</v>
      </c>
      <c r="J35" s="4">
        <v>44</v>
      </c>
      <c r="K35" s="26">
        <f t="shared" si="11"/>
        <v>1320</v>
      </c>
      <c r="L35" s="26">
        <v>0</v>
      </c>
      <c r="M35" s="26">
        <v>0</v>
      </c>
      <c r="N35" s="26">
        <f t="shared" si="16"/>
        <v>1320</v>
      </c>
      <c r="O35" s="34">
        <f t="shared" si="17"/>
        <v>0.27615062761506276</v>
      </c>
      <c r="P35" s="26">
        <v>10</v>
      </c>
      <c r="Q35" s="26">
        <f t="shared" si="12"/>
        <v>500</v>
      </c>
      <c r="R35" s="26">
        <f t="shared" si="13"/>
        <v>500000</v>
      </c>
      <c r="S35" s="26">
        <v>2757.63</v>
      </c>
      <c r="T35" s="26">
        <f t="shared" si="14"/>
        <v>27576.300000000003</v>
      </c>
      <c r="U35" s="26">
        <v>1626.94</v>
      </c>
      <c r="V35" s="26">
        <v>1000</v>
      </c>
    </row>
    <row r="36" spans="1:22" x14ac:dyDescent="0.35">
      <c r="A36" s="3">
        <v>23</v>
      </c>
      <c r="B36" s="24">
        <v>45873</v>
      </c>
      <c r="C36" s="19"/>
      <c r="D36" s="19"/>
      <c r="E36" s="26">
        <f t="shared" si="15"/>
        <v>4780</v>
      </c>
      <c r="F36" s="4">
        <v>0</v>
      </c>
      <c r="G36" s="27">
        <f t="shared" si="9"/>
        <v>0</v>
      </c>
      <c r="H36" s="7"/>
      <c r="I36" s="26">
        <f t="shared" si="10"/>
        <v>4780</v>
      </c>
      <c r="J36" s="4">
        <v>53</v>
      </c>
      <c r="K36" s="26">
        <f t="shared" si="11"/>
        <v>1590</v>
      </c>
      <c r="L36" s="26">
        <v>0</v>
      </c>
      <c r="M36" s="26">
        <v>0</v>
      </c>
      <c r="N36" s="26">
        <f t="shared" si="16"/>
        <v>1590</v>
      </c>
      <c r="O36" s="34">
        <f t="shared" si="17"/>
        <v>0.33263598326359833</v>
      </c>
      <c r="P36" s="26">
        <v>10</v>
      </c>
      <c r="Q36" s="26">
        <f t="shared" si="12"/>
        <v>500</v>
      </c>
      <c r="R36" s="26">
        <f t="shared" si="13"/>
        <v>500000</v>
      </c>
      <c r="S36" s="26">
        <v>2757.63</v>
      </c>
      <c r="T36" s="26">
        <f t="shared" si="14"/>
        <v>27576.300000000003</v>
      </c>
      <c r="U36" s="26">
        <v>1662.42</v>
      </c>
      <c r="V36" s="26">
        <v>1000</v>
      </c>
    </row>
    <row r="37" spans="1:22" x14ac:dyDescent="0.35">
      <c r="A37" s="3">
        <v>24</v>
      </c>
      <c r="B37" s="24">
        <v>45874</v>
      </c>
      <c r="C37" s="4"/>
      <c r="D37" s="18"/>
      <c r="E37" s="26">
        <f t="shared" si="15"/>
        <v>4780</v>
      </c>
      <c r="F37" s="4">
        <v>1</v>
      </c>
      <c r="G37" s="27">
        <f t="shared" si="9"/>
        <v>2.0920502092050208E-4</v>
      </c>
      <c r="H37" s="4"/>
      <c r="I37" s="4">
        <f t="shared" si="10"/>
        <v>4779</v>
      </c>
      <c r="J37" s="4">
        <v>58</v>
      </c>
      <c r="K37" s="4">
        <f t="shared" si="11"/>
        <v>1740</v>
      </c>
      <c r="L37" s="26">
        <v>0</v>
      </c>
      <c r="M37" s="26">
        <v>0</v>
      </c>
      <c r="N37" s="26">
        <f t="shared" si="16"/>
        <v>1740</v>
      </c>
      <c r="O37" s="34">
        <f t="shared" si="17"/>
        <v>0.36401673640167365</v>
      </c>
      <c r="P37" s="26">
        <v>10</v>
      </c>
      <c r="Q37" s="26">
        <f t="shared" si="12"/>
        <v>500</v>
      </c>
      <c r="R37" s="26">
        <f t="shared" si="13"/>
        <v>500000</v>
      </c>
      <c r="S37" s="26">
        <v>2757.63</v>
      </c>
      <c r="T37" s="26">
        <f t="shared" si="14"/>
        <v>27576.300000000003</v>
      </c>
      <c r="U37" s="26">
        <v>1662.42</v>
      </c>
      <c r="V37" s="26">
        <v>1100</v>
      </c>
    </row>
    <row r="38" spans="1:22" x14ac:dyDescent="0.35">
      <c r="A38" s="3">
        <v>24</v>
      </c>
      <c r="B38" s="24">
        <v>45875</v>
      </c>
      <c r="C38" s="4"/>
      <c r="D38" s="18"/>
      <c r="E38" s="26">
        <f t="shared" si="15"/>
        <v>4779</v>
      </c>
      <c r="F38" s="4">
        <v>1</v>
      </c>
      <c r="G38" s="27">
        <f t="shared" si="9"/>
        <v>2.0924879681941829E-4</v>
      </c>
      <c r="H38" s="4"/>
      <c r="I38" s="4">
        <f t="shared" si="10"/>
        <v>4778</v>
      </c>
      <c r="J38" s="4">
        <v>62</v>
      </c>
      <c r="K38" s="4">
        <f t="shared" si="11"/>
        <v>1860</v>
      </c>
      <c r="L38" s="26">
        <v>0</v>
      </c>
      <c r="M38" s="26">
        <v>0</v>
      </c>
      <c r="N38" s="26">
        <f t="shared" si="16"/>
        <v>1860</v>
      </c>
      <c r="O38" s="34">
        <f t="shared" si="17"/>
        <v>0.38920276208411803</v>
      </c>
      <c r="P38" s="26">
        <v>10</v>
      </c>
      <c r="Q38" s="26">
        <f t="shared" si="12"/>
        <v>500</v>
      </c>
      <c r="R38" s="26">
        <f t="shared" si="13"/>
        <v>500000</v>
      </c>
      <c r="S38" s="26">
        <v>2757.63</v>
      </c>
      <c r="T38" s="26">
        <f t="shared" si="14"/>
        <v>27576.300000000003</v>
      </c>
      <c r="U38" s="26">
        <v>1662.42</v>
      </c>
      <c r="V38" s="26">
        <v>900</v>
      </c>
    </row>
    <row r="39" spans="1:22" x14ac:dyDescent="0.35">
      <c r="A39" s="3">
        <v>24</v>
      </c>
      <c r="B39" s="24">
        <v>45876</v>
      </c>
      <c r="C39" s="4"/>
      <c r="D39" s="18"/>
      <c r="E39" s="26">
        <f t="shared" si="15"/>
        <v>4778</v>
      </c>
      <c r="F39" s="4">
        <v>1</v>
      </c>
      <c r="G39" s="27">
        <f t="shared" si="9"/>
        <v>2.0929259104227711E-4</v>
      </c>
      <c r="H39" s="4"/>
      <c r="I39" s="4">
        <f t="shared" si="10"/>
        <v>4777</v>
      </c>
      <c r="J39" s="4">
        <v>67</v>
      </c>
      <c r="K39" s="4">
        <f t="shared" si="11"/>
        <v>2010</v>
      </c>
      <c r="L39" s="26">
        <v>0</v>
      </c>
      <c r="M39" s="26">
        <v>0</v>
      </c>
      <c r="N39" s="26">
        <f t="shared" si="16"/>
        <v>2010</v>
      </c>
      <c r="O39" s="34">
        <f t="shared" si="17"/>
        <v>0.42067810799497696</v>
      </c>
      <c r="P39" s="26">
        <v>10</v>
      </c>
      <c r="Q39" s="26">
        <f t="shared" si="12"/>
        <v>500</v>
      </c>
      <c r="R39" s="26">
        <f t="shared" si="13"/>
        <v>500000</v>
      </c>
      <c r="S39" s="26">
        <v>2757.63</v>
      </c>
      <c r="T39" s="26">
        <f t="shared" si="14"/>
        <v>27576.300000000003</v>
      </c>
      <c r="U39" s="26">
        <v>1662.42</v>
      </c>
      <c r="V39" s="26">
        <v>1000</v>
      </c>
    </row>
    <row r="40" spans="1:22" x14ac:dyDescent="0.35">
      <c r="A40" s="3">
        <v>24</v>
      </c>
      <c r="B40" s="24">
        <v>45877</v>
      </c>
      <c r="C40" s="4"/>
      <c r="D40" s="18"/>
      <c r="E40" s="26">
        <f t="shared" si="15"/>
        <v>4777</v>
      </c>
      <c r="F40" s="4">
        <v>1</v>
      </c>
      <c r="G40" s="27">
        <f t="shared" si="9"/>
        <v>2.0933640360058616E-4</v>
      </c>
      <c r="H40" s="4"/>
      <c r="I40" s="4">
        <f t="shared" si="10"/>
        <v>4776</v>
      </c>
      <c r="J40" s="4">
        <v>72</v>
      </c>
      <c r="K40" s="4">
        <f t="shared" si="11"/>
        <v>2160</v>
      </c>
      <c r="L40" s="26">
        <v>0</v>
      </c>
      <c r="M40" s="26">
        <v>0</v>
      </c>
      <c r="N40" s="26">
        <f t="shared" si="16"/>
        <v>2160</v>
      </c>
      <c r="O40" s="34">
        <f t="shared" si="17"/>
        <v>0.45216663177726607</v>
      </c>
      <c r="P40" s="26">
        <v>10</v>
      </c>
      <c r="Q40" s="26">
        <f t="shared" si="12"/>
        <v>500</v>
      </c>
      <c r="R40" s="26">
        <f t="shared" si="13"/>
        <v>500000</v>
      </c>
      <c r="S40" s="26">
        <v>2757.63</v>
      </c>
      <c r="T40" s="26">
        <f t="shared" si="14"/>
        <v>27576.300000000003</v>
      </c>
      <c r="U40" s="26">
        <v>1662.42</v>
      </c>
      <c r="V40" s="26">
        <v>1000</v>
      </c>
    </row>
    <row r="41" spans="1:22" x14ac:dyDescent="0.35">
      <c r="A41" s="3">
        <v>24</v>
      </c>
      <c r="B41" s="24">
        <v>45878</v>
      </c>
      <c r="C41" s="4"/>
      <c r="D41" s="18"/>
      <c r="E41" s="26">
        <f t="shared" si="15"/>
        <v>4776</v>
      </c>
      <c r="F41" s="4">
        <v>1</v>
      </c>
      <c r="G41" s="27">
        <f t="shared" si="9"/>
        <v>2.0938023450586265E-4</v>
      </c>
      <c r="H41" s="4"/>
      <c r="I41" s="4">
        <f t="shared" si="10"/>
        <v>4775</v>
      </c>
      <c r="J41" s="4">
        <v>76</v>
      </c>
      <c r="K41" s="4">
        <f t="shared" si="11"/>
        <v>2280</v>
      </c>
      <c r="L41" s="26">
        <v>0</v>
      </c>
      <c r="M41" s="26">
        <v>0</v>
      </c>
      <c r="N41" s="26">
        <f t="shared" si="16"/>
        <v>2280</v>
      </c>
      <c r="O41" s="34">
        <f t="shared" si="17"/>
        <v>0.47738693467336685</v>
      </c>
      <c r="P41" s="26">
        <v>10</v>
      </c>
      <c r="Q41" s="26">
        <f t="shared" si="12"/>
        <v>500</v>
      </c>
      <c r="R41" s="26">
        <f t="shared" si="13"/>
        <v>500000</v>
      </c>
      <c r="S41" s="4">
        <v>2768.43</v>
      </c>
      <c r="T41" s="26">
        <f t="shared" si="14"/>
        <v>27684.3</v>
      </c>
      <c r="U41" s="26">
        <v>1662.42</v>
      </c>
      <c r="V41" s="26">
        <v>1100</v>
      </c>
    </row>
    <row r="42" spans="1:22" x14ac:dyDescent="0.35">
      <c r="A42" s="3">
        <v>24</v>
      </c>
      <c r="B42" s="24">
        <v>45879</v>
      </c>
      <c r="C42" s="4"/>
      <c r="D42" s="18"/>
      <c r="E42" s="26">
        <f t="shared" si="15"/>
        <v>4775</v>
      </c>
      <c r="F42" s="4">
        <v>2</v>
      </c>
      <c r="G42" s="27">
        <f t="shared" si="9"/>
        <v>4.18848167539267E-4</v>
      </c>
      <c r="H42" s="4"/>
      <c r="I42" s="4">
        <f t="shared" si="10"/>
        <v>4773</v>
      </c>
      <c r="J42" s="4">
        <v>81</v>
      </c>
      <c r="K42" s="4">
        <f t="shared" si="11"/>
        <v>2430</v>
      </c>
      <c r="L42" s="26">
        <v>0</v>
      </c>
      <c r="M42" s="26">
        <v>0</v>
      </c>
      <c r="N42" s="26">
        <f t="shared" si="16"/>
        <v>2430</v>
      </c>
      <c r="O42" s="34">
        <f t="shared" si="17"/>
        <v>0.50890052356020943</v>
      </c>
      <c r="P42" s="26">
        <v>10</v>
      </c>
      <c r="Q42" s="26">
        <f t="shared" si="12"/>
        <v>500</v>
      </c>
      <c r="R42" s="26">
        <f t="shared" si="13"/>
        <v>500000</v>
      </c>
      <c r="S42" s="4">
        <v>2768.43</v>
      </c>
      <c r="T42" s="26">
        <f t="shared" si="14"/>
        <v>27684.3</v>
      </c>
      <c r="U42" s="26">
        <v>1662.42</v>
      </c>
      <c r="V42" s="26">
        <v>1100</v>
      </c>
    </row>
    <row r="43" spans="1:22" x14ac:dyDescent="0.35">
      <c r="A43" s="3">
        <v>24</v>
      </c>
      <c r="B43" s="24">
        <v>45880</v>
      </c>
      <c r="C43" s="4"/>
      <c r="D43" s="18"/>
      <c r="E43" s="26">
        <f t="shared" si="15"/>
        <v>4773</v>
      </c>
      <c r="F43" s="4">
        <v>2</v>
      </c>
      <c r="G43" s="27">
        <f t="shared" si="9"/>
        <v>4.190236748376283E-4</v>
      </c>
      <c r="H43" s="4"/>
      <c r="I43" s="4">
        <f t="shared" si="10"/>
        <v>4771</v>
      </c>
      <c r="J43" s="4">
        <v>86</v>
      </c>
      <c r="K43" s="4">
        <f t="shared" si="11"/>
        <v>2580</v>
      </c>
      <c r="L43" s="26">
        <v>0</v>
      </c>
      <c r="M43" s="26">
        <v>0</v>
      </c>
      <c r="N43" s="26">
        <f t="shared" si="16"/>
        <v>2580</v>
      </c>
      <c r="O43" s="34">
        <f t="shared" si="17"/>
        <v>0.54054054054054057</v>
      </c>
      <c r="P43" s="26">
        <v>10</v>
      </c>
      <c r="Q43" s="26">
        <f t="shared" si="12"/>
        <v>500</v>
      </c>
      <c r="R43" s="26">
        <f t="shared" si="13"/>
        <v>500000</v>
      </c>
      <c r="S43" s="4">
        <v>2768.43</v>
      </c>
      <c r="T43" s="26">
        <f t="shared" si="14"/>
        <v>27684.3</v>
      </c>
      <c r="U43" s="26">
        <v>1720.21</v>
      </c>
      <c r="V43" s="26">
        <v>1100</v>
      </c>
    </row>
    <row r="44" spans="1:22" x14ac:dyDescent="0.35">
      <c r="A44" s="3">
        <v>25</v>
      </c>
      <c r="B44" s="24">
        <v>45881</v>
      </c>
      <c r="C44" s="4"/>
      <c r="D44" s="18"/>
      <c r="E44" s="26">
        <f t="shared" si="15"/>
        <v>4771</v>
      </c>
      <c r="F44" s="4">
        <v>1</v>
      </c>
      <c r="G44" s="27">
        <f t="shared" si="9"/>
        <v>2.0959966464053657E-4</v>
      </c>
      <c r="H44" s="4"/>
      <c r="I44" s="4">
        <f t="shared" si="10"/>
        <v>4770</v>
      </c>
      <c r="J44" s="4">
        <v>92</v>
      </c>
      <c r="K44" s="4">
        <f t="shared" si="11"/>
        <v>2760</v>
      </c>
      <c r="L44" s="26">
        <v>0</v>
      </c>
      <c r="M44" s="26">
        <v>0</v>
      </c>
      <c r="N44" s="26">
        <f t="shared" si="16"/>
        <v>2760</v>
      </c>
      <c r="O44" s="34">
        <f t="shared" si="17"/>
        <v>0.57849507440788095</v>
      </c>
      <c r="P44" s="26">
        <v>10</v>
      </c>
      <c r="Q44" s="26">
        <f t="shared" si="12"/>
        <v>500</v>
      </c>
      <c r="R44" s="26">
        <f t="shared" si="13"/>
        <v>500000</v>
      </c>
      <c r="S44" s="4">
        <v>2768.43</v>
      </c>
      <c r="T44" s="26">
        <f t="shared" si="14"/>
        <v>27684.3</v>
      </c>
      <c r="U44" s="26">
        <v>1720.21</v>
      </c>
      <c r="V44" s="26">
        <v>1000</v>
      </c>
    </row>
    <row r="45" spans="1:22" x14ac:dyDescent="0.35">
      <c r="A45" s="3">
        <v>25</v>
      </c>
      <c r="B45" s="24">
        <v>45882</v>
      </c>
      <c r="C45" s="4"/>
      <c r="D45" s="18"/>
      <c r="E45" s="26">
        <f t="shared" si="15"/>
        <v>4770</v>
      </c>
      <c r="F45" s="4">
        <v>2</v>
      </c>
      <c r="G45" s="14">
        <f t="shared" si="9"/>
        <v>4.1928721174004191E-4</v>
      </c>
      <c r="H45" s="4"/>
      <c r="I45" s="4">
        <f t="shared" si="10"/>
        <v>4768</v>
      </c>
      <c r="J45" s="4">
        <v>96</v>
      </c>
      <c r="K45" s="4">
        <f t="shared" si="11"/>
        <v>2880</v>
      </c>
      <c r="L45" s="26">
        <v>0</v>
      </c>
      <c r="M45" s="26">
        <v>0</v>
      </c>
      <c r="N45" s="26">
        <f t="shared" si="16"/>
        <v>2880</v>
      </c>
      <c r="O45" s="34">
        <f t="shared" si="17"/>
        <v>0.60377358490566035</v>
      </c>
      <c r="P45" s="26">
        <v>10</v>
      </c>
      <c r="Q45" s="26">
        <f t="shared" si="12"/>
        <v>500</v>
      </c>
      <c r="R45" s="26">
        <f t="shared" si="13"/>
        <v>500000</v>
      </c>
      <c r="S45" s="4">
        <v>2748.93</v>
      </c>
      <c r="T45" s="26">
        <f t="shared" si="14"/>
        <v>27489.3</v>
      </c>
      <c r="U45" s="26">
        <v>1720.21</v>
      </c>
      <c r="V45" s="26">
        <v>1100</v>
      </c>
    </row>
    <row r="46" spans="1:22" x14ac:dyDescent="0.35">
      <c r="A46" s="3">
        <v>25</v>
      </c>
      <c r="B46" s="24">
        <v>45883</v>
      </c>
      <c r="C46" s="4"/>
      <c r="D46" s="18"/>
      <c r="E46" s="26">
        <f t="shared" si="15"/>
        <v>4768</v>
      </c>
      <c r="F46" s="4">
        <v>1</v>
      </c>
      <c r="G46" s="14">
        <f t="shared" si="9"/>
        <v>2.0973154362416107E-4</v>
      </c>
      <c r="H46" s="4"/>
      <c r="I46" s="4">
        <f t="shared" si="10"/>
        <v>4767</v>
      </c>
      <c r="J46" s="4">
        <v>100</v>
      </c>
      <c r="K46" s="4">
        <f t="shared" si="11"/>
        <v>3000</v>
      </c>
      <c r="L46" s="26">
        <v>0</v>
      </c>
      <c r="M46" s="26">
        <v>0</v>
      </c>
      <c r="N46" s="26">
        <f t="shared" si="16"/>
        <v>3000</v>
      </c>
      <c r="O46" s="34">
        <f t="shared" si="17"/>
        <v>0.62919463087248317</v>
      </c>
      <c r="P46" s="26">
        <v>10</v>
      </c>
      <c r="Q46" s="26">
        <f t="shared" si="12"/>
        <v>500</v>
      </c>
      <c r="R46" s="26">
        <f t="shared" si="13"/>
        <v>500000</v>
      </c>
      <c r="S46" s="4">
        <v>2741.51</v>
      </c>
      <c r="T46" s="26">
        <f t="shared" si="14"/>
        <v>27415.100000000002</v>
      </c>
      <c r="U46" s="26">
        <v>1720.21</v>
      </c>
      <c r="V46" s="26">
        <v>1000</v>
      </c>
    </row>
    <row r="47" spans="1:22" x14ac:dyDescent="0.35">
      <c r="A47" s="3">
        <v>25</v>
      </c>
      <c r="B47" s="24">
        <v>45884</v>
      </c>
      <c r="C47" s="4"/>
      <c r="D47" s="18"/>
      <c r="E47" s="26">
        <f t="shared" si="15"/>
        <v>4767</v>
      </c>
      <c r="F47" s="4">
        <v>2</v>
      </c>
      <c r="G47" s="14">
        <f t="shared" si="9"/>
        <v>4.1955108034403188E-4</v>
      </c>
      <c r="H47" s="4"/>
      <c r="I47" s="4">
        <f t="shared" si="10"/>
        <v>4765</v>
      </c>
      <c r="J47" s="4">
        <v>104</v>
      </c>
      <c r="K47" s="4">
        <f t="shared" si="11"/>
        <v>3120</v>
      </c>
      <c r="L47" s="26">
        <v>0</v>
      </c>
      <c r="M47" s="26">
        <v>0</v>
      </c>
      <c r="N47" s="26">
        <f t="shared" si="16"/>
        <v>3120</v>
      </c>
      <c r="O47" s="34">
        <f t="shared" si="17"/>
        <v>0.65449968533668978</v>
      </c>
      <c r="P47" s="26">
        <v>10</v>
      </c>
      <c r="Q47" s="26">
        <f t="shared" si="12"/>
        <v>500</v>
      </c>
      <c r="R47" s="26">
        <f t="shared" si="13"/>
        <v>500000</v>
      </c>
      <c r="S47" s="4">
        <v>2751.51</v>
      </c>
      <c r="T47" s="26">
        <f t="shared" si="14"/>
        <v>27515.100000000002</v>
      </c>
      <c r="U47" s="26">
        <v>1720.21</v>
      </c>
      <c r="V47" s="26">
        <v>900</v>
      </c>
    </row>
    <row r="48" spans="1:22" x14ac:dyDescent="0.35">
      <c r="A48" s="3">
        <v>25</v>
      </c>
      <c r="B48" s="24">
        <v>45885</v>
      </c>
      <c r="C48" s="4"/>
      <c r="D48" s="18"/>
      <c r="E48" s="26">
        <f t="shared" si="15"/>
        <v>4765</v>
      </c>
      <c r="F48" s="4">
        <v>2</v>
      </c>
      <c r="G48" s="14">
        <f t="shared" si="9"/>
        <v>4.197271773347324E-4</v>
      </c>
      <c r="H48" s="4"/>
      <c r="I48" s="4">
        <f t="shared" si="10"/>
        <v>4763</v>
      </c>
      <c r="J48" s="4">
        <v>107</v>
      </c>
      <c r="K48" s="4">
        <f t="shared" si="11"/>
        <v>3210</v>
      </c>
      <c r="L48" s="26">
        <v>0</v>
      </c>
      <c r="M48" s="26">
        <v>0</v>
      </c>
      <c r="N48" s="26">
        <f>K48+L48-M48</f>
        <v>3210</v>
      </c>
      <c r="O48" s="34">
        <f t="shared" si="17"/>
        <v>0.67366211962224554</v>
      </c>
      <c r="P48" s="26">
        <v>10</v>
      </c>
      <c r="Q48" s="26">
        <f t="shared" si="12"/>
        <v>500</v>
      </c>
      <c r="R48" s="26">
        <f t="shared" si="13"/>
        <v>500000</v>
      </c>
      <c r="S48" s="4">
        <v>2751.51</v>
      </c>
      <c r="T48" s="26">
        <f t="shared" si="14"/>
        <v>27515.100000000002</v>
      </c>
      <c r="U48" s="26">
        <v>1720.21</v>
      </c>
      <c r="V48" s="26">
        <v>1000</v>
      </c>
    </row>
    <row r="49" spans="1:22" x14ac:dyDescent="0.35">
      <c r="A49" s="3">
        <v>25</v>
      </c>
      <c r="B49" s="24">
        <v>45886</v>
      </c>
      <c r="C49" s="4"/>
      <c r="D49" s="18"/>
      <c r="E49" s="26">
        <f t="shared" si="15"/>
        <v>4763</v>
      </c>
      <c r="F49" s="4">
        <v>6</v>
      </c>
      <c r="G49" s="14">
        <f t="shared" si="9"/>
        <v>1.2597102666386732E-3</v>
      </c>
      <c r="H49" s="4"/>
      <c r="I49" s="4">
        <f t="shared" si="10"/>
        <v>4757</v>
      </c>
      <c r="J49" s="4">
        <v>109</v>
      </c>
      <c r="K49" s="4">
        <f t="shared" si="11"/>
        <v>3270</v>
      </c>
      <c r="L49" s="26">
        <v>0</v>
      </c>
      <c r="M49" s="26">
        <v>0</v>
      </c>
      <c r="N49" s="26">
        <f t="shared" si="16"/>
        <v>3270</v>
      </c>
      <c r="O49" s="34">
        <f t="shared" si="17"/>
        <v>0.68654209531807686</v>
      </c>
      <c r="P49" s="26">
        <v>10</v>
      </c>
      <c r="Q49" s="26">
        <f t="shared" si="12"/>
        <v>500</v>
      </c>
      <c r="R49" s="26">
        <f t="shared" si="13"/>
        <v>500000</v>
      </c>
      <c r="S49" s="4">
        <v>2751.51</v>
      </c>
      <c r="T49" s="26">
        <f t="shared" si="14"/>
        <v>27515.100000000002</v>
      </c>
      <c r="U49" s="26">
        <v>1720.21</v>
      </c>
      <c r="V49" s="26">
        <v>1100</v>
      </c>
    </row>
    <row r="50" spans="1:22" x14ac:dyDescent="0.35">
      <c r="A50" s="37">
        <v>25</v>
      </c>
      <c r="B50" s="24">
        <v>45887</v>
      </c>
      <c r="C50" s="26"/>
      <c r="D50" s="25"/>
      <c r="E50" s="26">
        <f t="shared" si="15"/>
        <v>4757</v>
      </c>
      <c r="F50" s="26">
        <v>5</v>
      </c>
      <c r="G50" s="27">
        <f t="shared" si="9"/>
        <v>1.0510826150935463E-3</v>
      </c>
      <c r="H50" s="26"/>
      <c r="I50" s="26">
        <f t="shared" si="10"/>
        <v>4752</v>
      </c>
      <c r="J50" s="26">
        <v>110</v>
      </c>
      <c r="K50" s="26">
        <f t="shared" si="11"/>
        <v>3300</v>
      </c>
      <c r="L50" s="26">
        <v>0</v>
      </c>
      <c r="M50" s="26">
        <v>0</v>
      </c>
      <c r="N50" s="26">
        <f t="shared" si="16"/>
        <v>3300</v>
      </c>
      <c r="O50" s="34">
        <f t="shared" si="17"/>
        <v>0.69371452596174055</v>
      </c>
      <c r="P50" s="26">
        <v>10</v>
      </c>
      <c r="Q50" s="26">
        <f t="shared" si="12"/>
        <v>500</v>
      </c>
      <c r="R50" s="26">
        <f t="shared" si="13"/>
        <v>500000</v>
      </c>
      <c r="S50" s="26">
        <v>2571.7600000000002</v>
      </c>
      <c r="T50" s="26">
        <f t="shared" si="14"/>
        <v>25717.600000000002</v>
      </c>
      <c r="U50" s="26">
        <v>1769.2</v>
      </c>
      <c r="V50" s="26">
        <v>1100</v>
      </c>
    </row>
    <row r="51" spans="1:22" x14ac:dyDescent="0.35">
      <c r="A51" s="3">
        <v>26</v>
      </c>
      <c r="B51" s="2">
        <v>45888</v>
      </c>
      <c r="C51" s="4"/>
      <c r="D51" s="18"/>
      <c r="E51" s="4">
        <f t="shared" si="15"/>
        <v>4752</v>
      </c>
      <c r="F51" s="4">
        <v>2</v>
      </c>
      <c r="G51" s="14">
        <f t="shared" si="9"/>
        <v>4.2087542087542086E-4</v>
      </c>
      <c r="H51" s="4"/>
      <c r="I51" s="4">
        <f t="shared" si="10"/>
        <v>4750</v>
      </c>
      <c r="J51" s="4">
        <v>113</v>
      </c>
      <c r="K51" s="4">
        <f t="shared" si="11"/>
        <v>3390</v>
      </c>
      <c r="L51" s="4">
        <v>0</v>
      </c>
      <c r="M51" s="4">
        <v>0</v>
      </c>
      <c r="N51" s="4">
        <f t="shared" si="16"/>
        <v>3390</v>
      </c>
      <c r="O51" s="14">
        <f t="shared" si="17"/>
        <v>0.71338383838383834</v>
      </c>
      <c r="P51" s="4">
        <v>10</v>
      </c>
      <c r="Q51" s="4">
        <f t="shared" si="12"/>
        <v>500</v>
      </c>
      <c r="R51" s="4">
        <f t="shared" si="13"/>
        <v>500000</v>
      </c>
      <c r="S51" s="4">
        <v>2571.7600000000002</v>
      </c>
      <c r="T51" s="4">
        <f t="shared" si="14"/>
        <v>25717.600000000002</v>
      </c>
      <c r="U51" s="4">
        <v>1769.2</v>
      </c>
      <c r="V51" s="4">
        <v>1100</v>
      </c>
    </row>
    <row r="52" spans="1:22" x14ac:dyDescent="0.35">
      <c r="A52" s="3">
        <v>26</v>
      </c>
      <c r="B52" s="2">
        <v>45889</v>
      </c>
      <c r="C52" s="4"/>
      <c r="D52" s="18"/>
      <c r="E52" s="4">
        <f t="shared" si="15"/>
        <v>4750</v>
      </c>
      <c r="F52" s="4">
        <v>3</v>
      </c>
      <c r="G52" s="14">
        <f t="shared" si="9"/>
        <v>6.3157894736842106E-4</v>
      </c>
      <c r="H52" s="4"/>
      <c r="I52" s="4">
        <f t="shared" si="10"/>
        <v>4747</v>
      </c>
      <c r="J52" s="4">
        <v>116</v>
      </c>
      <c r="K52" s="4">
        <f t="shared" si="11"/>
        <v>3480</v>
      </c>
      <c r="L52" s="4">
        <v>0</v>
      </c>
      <c r="M52" s="4">
        <v>0</v>
      </c>
      <c r="N52" s="4">
        <f t="shared" si="16"/>
        <v>3480</v>
      </c>
      <c r="O52" s="14">
        <f t="shared" si="17"/>
        <v>0.73263157894736841</v>
      </c>
      <c r="P52" s="4">
        <v>11</v>
      </c>
      <c r="Q52" s="4">
        <f t="shared" si="12"/>
        <v>550</v>
      </c>
      <c r="R52" s="4">
        <f t="shared" si="13"/>
        <v>550000</v>
      </c>
      <c r="S52" s="4">
        <v>2571.7600000000002</v>
      </c>
      <c r="T52" s="4">
        <f t="shared" si="14"/>
        <v>28289.360000000001</v>
      </c>
      <c r="U52" s="4">
        <v>1769.2</v>
      </c>
      <c r="V52" s="4">
        <v>1100</v>
      </c>
    </row>
    <row r="53" spans="1:22" x14ac:dyDescent="0.35">
      <c r="A53" s="3">
        <v>26</v>
      </c>
      <c r="B53" s="2">
        <v>45890</v>
      </c>
      <c r="C53" s="4"/>
      <c r="D53" s="18"/>
      <c r="E53" s="4">
        <f t="shared" si="15"/>
        <v>4747</v>
      </c>
      <c r="F53" s="4">
        <v>3</v>
      </c>
      <c r="G53" s="14">
        <f t="shared" si="9"/>
        <v>6.3197809142616389E-4</v>
      </c>
      <c r="H53" s="4"/>
      <c r="I53" s="4">
        <f t="shared" si="10"/>
        <v>4744</v>
      </c>
      <c r="J53" s="4">
        <v>116</v>
      </c>
      <c r="K53" s="4">
        <f t="shared" si="11"/>
        <v>3480</v>
      </c>
      <c r="L53" s="4">
        <v>0</v>
      </c>
      <c r="M53" s="4">
        <v>0</v>
      </c>
      <c r="N53" s="4">
        <f t="shared" si="16"/>
        <v>3480</v>
      </c>
      <c r="O53" s="14">
        <f t="shared" si="17"/>
        <v>0.73309458605435007</v>
      </c>
      <c r="P53" s="4">
        <v>11</v>
      </c>
      <c r="Q53" s="4">
        <f t="shared" si="12"/>
        <v>550</v>
      </c>
      <c r="R53" s="4">
        <f t="shared" si="13"/>
        <v>550000</v>
      </c>
      <c r="S53" s="4">
        <v>2571.7600000000002</v>
      </c>
      <c r="T53" s="4">
        <f t="shared" si="14"/>
        <v>28289.360000000001</v>
      </c>
      <c r="U53" s="4">
        <v>1769.2</v>
      </c>
      <c r="V53" s="4">
        <v>1100</v>
      </c>
    </row>
    <row r="54" spans="1:22" x14ac:dyDescent="0.35">
      <c r="A54" s="3">
        <v>26</v>
      </c>
      <c r="B54" s="2">
        <v>45891</v>
      </c>
      <c r="C54" s="4"/>
      <c r="D54" s="18"/>
      <c r="E54" s="4">
        <f t="shared" si="15"/>
        <v>4744</v>
      </c>
      <c r="F54" s="4">
        <v>1</v>
      </c>
      <c r="G54" s="14">
        <f t="shared" si="9"/>
        <v>2.1079258010118043E-4</v>
      </c>
      <c r="H54" s="4"/>
      <c r="I54" s="4">
        <f t="shared" si="10"/>
        <v>4743</v>
      </c>
      <c r="J54" s="4">
        <v>120</v>
      </c>
      <c r="K54" s="4">
        <f t="shared" si="11"/>
        <v>3600</v>
      </c>
      <c r="L54" s="4">
        <v>0</v>
      </c>
      <c r="M54" s="4">
        <v>0</v>
      </c>
      <c r="N54" s="4">
        <f t="shared" si="16"/>
        <v>3600</v>
      </c>
      <c r="O54" s="14">
        <f t="shared" si="17"/>
        <v>0.75885328836424959</v>
      </c>
      <c r="P54" s="4">
        <v>11</v>
      </c>
      <c r="Q54" s="4">
        <f t="shared" si="12"/>
        <v>550</v>
      </c>
      <c r="R54" s="4">
        <f t="shared" si="13"/>
        <v>550000</v>
      </c>
      <c r="S54" s="4">
        <v>2571.7600000000002</v>
      </c>
      <c r="T54" s="4">
        <f t="shared" si="14"/>
        <v>28289.360000000001</v>
      </c>
      <c r="U54" s="4">
        <v>1769.2</v>
      </c>
      <c r="V54" s="4">
        <v>1200</v>
      </c>
    </row>
    <row r="55" spans="1:22" x14ac:dyDescent="0.35">
      <c r="A55" s="3">
        <v>26</v>
      </c>
      <c r="B55" s="2">
        <v>45892</v>
      </c>
      <c r="C55" s="16"/>
      <c r="D55" s="20"/>
      <c r="E55" s="4">
        <f t="shared" si="15"/>
        <v>4743</v>
      </c>
      <c r="F55" s="16">
        <v>3</v>
      </c>
      <c r="G55" s="15">
        <f t="shared" si="9"/>
        <v>6.3251106894370653E-4</v>
      </c>
      <c r="H55" s="16"/>
      <c r="I55" s="16">
        <f t="shared" si="10"/>
        <v>4740</v>
      </c>
      <c r="J55" s="16">
        <v>122</v>
      </c>
      <c r="K55" s="16">
        <f t="shared" si="11"/>
        <v>3660</v>
      </c>
      <c r="L55" s="4">
        <v>0</v>
      </c>
      <c r="M55" s="4">
        <v>0</v>
      </c>
      <c r="N55" s="4">
        <f t="shared" si="16"/>
        <v>3660</v>
      </c>
      <c r="O55" s="14">
        <f t="shared" si="17"/>
        <v>0.7716635041113219</v>
      </c>
      <c r="P55" s="4">
        <v>11</v>
      </c>
      <c r="Q55" s="4">
        <f t="shared" si="12"/>
        <v>550</v>
      </c>
      <c r="R55" s="4">
        <f t="shared" si="13"/>
        <v>550000</v>
      </c>
      <c r="S55" s="4">
        <v>2571.7600000000002</v>
      </c>
      <c r="T55" s="4">
        <f t="shared" si="14"/>
        <v>28289.360000000001</v>
      </c>
      <c r="U55" s="4">
        <v>1769.2</v>
      </c>
      <c r="V55" s="4">
        <v>1200</v>
      </c>
    </row>
    <row r="56" spans="1:22" x14ac:dyDescent="0.35">
      <c r="A56" s="3">
        <v>26</v>
      </c>
      <c r="B56" s="2">
        <v>45893</v>
      </c>
      <c r="C56" s="4"/>
      <c r="D56" s="18"/>
      <c r="E56" s="4">
        <f t="shared" si="15"/>
        <v>4740</v>
      </c>
      <c r="F56" s="4">
        <v>2</v>
      </c>
      <c r="G56" s="15">
        <f t="shared" si="9"/>
        <v>4.219409282700422E-4</v>
      </c>
      <c r="H56" s="4"/>
      <c r="I56" s="16">
        <f t="shared" si="10"/>
        <v>4738</v>
      </c>
      <c r="J56" s="4">
        <v>125</v>
      </c>
      <c r="K56" s="4">
        <f t="shared" si="11"/>
        <v>3750</v>
      </c>
      <c r="L56" s="4">
        <v>0</v>
      </c>
      <c r="M56" s="4">
        <v>0</v>
      </c>
      <c r="N56" s="4">
        <f t="shared" si="16"/>
        <v>3750</v>
      </c>
      <c r="O56" s="14">
        <f t="shared" si="17"/>
        <v>0.79113924050632911</v>
      </c>
      <c r="P56" s="4">
        <v>11</v>
      </c>
      <c r="Q56" s="4">
        <f t="shared" si="12"/>
        <v>550</v>
      </c>
      <c r="R56" s="4">
        <f t="shared" si="13"/>
        <v>550000</v>
      </c>
      <c r="S56" s="4">
        <v>2571.7600000000002</v>
      </c>
      <c r="T56" s="4">
        <f t="shared" si="14"/>
        <v>28289.360000000001</v>
      </c>
      <c r="U56" s="4">
        <v>1769.2</v>
      </c>
      <c r="V56" s="4">
        <v>1300</v>
      </c>
    </row>
    <row r="57" spans="1:22" x14ac:dyDescent="0.35">
      <c r="A57" s="3">
        <v>26</v>
      </c>
      <c r="B57" s="2">
        <v>45894</v>
      </c>
      <c r="C57" s="4"/>
      <c r="D57" s="18"/>
      <c r="E57" s="4">
        <f t="shared" si="15"/>
        <v>4738</v>
      </c>
      <c r="F57" s="4">
        <v>3</v>
      </c>
      <c r="G57" s="15">
        <f t="shared" si="9"/>
        <v>6.3317855635289147E-4</v>
      </c>
      <c r="H57" s="4"/>
      <c r="I57" s="16">
        <f t="shared" si="10"/>
        <v>4735</v>
      </c>
      <c r="J57" s="4">
        <v>125</v>
      </c>
      <c r="K57" s="4">
        <f t="shared" si="11"/>
        <v>3750</v>
      </c>
      <c r="L57" s="4">
        <v>0</v>
      </c>
      <c r="M57" s="4">
        <v>0</v>
      </c>
      <c r="N57" s="4">
        <f t="shared" si="16"/>
        <v>3750</v>
      </c>
      <c r="O57" s="14">
        <f t="shared" si="17"/>
        <v>0.79147319544111439</v>
      </c>
      <c r="P57" s="4">
        <v>11</v>
      </c>
      <c r="Q57" s="4">
        <f t="shared" si="12"/>
        <v>550</v>
      </c>
      <c r="R57" s="4">
        <f t="shared" si="13"/>
        <v>550000</v>
      </c>
      <c r="S57" s="4">
        <v>2571.7600000000002</v>
      </c>
      <c r="T57" s="4">
        <f t="shared" ref="T57:T63" si="18">P57*S57</f>
        <v>28289.360000000001</v>
      </c>
      <c r="U57" s="4">
        <v>1860.87</v>
      </c>
      <c r="V57" s="4">
        <v>1200</v>
      </c>
    </row>
    <row r="58" spans="1:22" x14ac:dyDescent="0.35">
      <c r="A58" s="3">
        <v>27</v>
      </c>
      <c r="B58" s="2">
        <v>45895</v>
      </c>
      <c r="C58" s="4"/>
      <c r="D58" s="18"/>
      <c r="E58" s="4">
        <f t="shared" si="15"/>
        <v>4735</v>
      </c>
      <c r="F58" s="4">
        <v>3</v>
      </c>
      <c r="G58" s="15">
        <f t="shared" si="9"/>
        <v>6.3357972544878568E-4</v>
      </c>
      <c r="H58" s="4"/>
      <c r="I58" s="16">
        <f t="shared" si="10"/>
        <v>4732</v>
      </c>
      <c r="J58" s="4">
        <v>126</v>
      </c>
      <c r="K58" s="4">
        <f t="shared" si="11"/>
        <v>3780</v>
      </c>
      <c r="L58" s="4">
        <v>0</v>
      </c>
      <c r="M58" s="4">
        <v>0</v>
      </c>
      <c r="N58" s="4">
        <f t="shared" si="16"/>
        <v>3780</v>
      </c>
      <c r="O58" s="14">
        <f t="shared" si="17"/>
        <v>0.79831045406546985</v>
      </c>
      <c r="P58" s="4">
        <v>11</v>
      </c>
      <c r="Q58" s="4">
        <f t="shared" si="12"/>
        <v>550</v>
      </c>
      <c r="R58" s="4">
        <f t="shared" si="13"/>
        <v>550000</v>
      </c>
      <c r="S58" s="4">
        <v>2571.7600000000002</v>
      </c>
      <c r="T58" s="4">
        <f t="shared" si="18"/>
        <v>28289.360000000001</v>
      </c>
      <c r="U58" s="4">
        <v>1860.87</v>
      </c>
      <c r="V58" s="4">
        <v>1300</v>
      </c>
    </row>
    <row r="59" spans="1:22" x14ac:dyDescent="0.35">
      <c r="A59" s="3">
        <v>27</v>
      </c>
      <c r="B59" s="2">
        <v>45896</v>
      </c>
      <c r="C59" s="4"/>
      <c r="D59" s="18"/>
      <c r="E59" s="4">
        <f t="shared" si="15"/>
        <v>4732</v>
      </c>
      <c r="F59" s="4">
        <v>3</v>
      </c>
      <c r="G59" s="15">
        <f t="shared" si="9"/>
        <v>6.3398140321217246E-4</v>
      </c>
      <c r="H59" s="4"/>
      <c r="I59" s="16">
        <f t="shared" si="10"/>
        <v>4729</v>
      </c>
      <c r="J59" s="4">
        <v>128</v>
      </c>
      <c r="K59" s="4">
        <f t="shared" si="11"/>
        <v>3840</v>
      </c>
      <c r="L59" s="4">
        <v>0</v>
      </c>
      <c r="M59" s="4">
        <v>0</v>
      </c>
      <c r="N59" s="4">
        <f t="shared" si="16"/>
        <v>3840</v>
      </c>
      <c r="O59" s="14">
        <f t="shared" si="17"/>
        <v>0.81149619611158075</v>
      </c>
      <c r="P59" s="4">
        <v>11</v>
      </c>
      <c r="Q59" s="4">
        <f t="shared" si="12"/>
        <v>550</v>
      </c>
      <c r="R59" s="4">
        <f t="shared" si="13"/>
        <v>550000</v>
      </c>
      <c r="S59" s="4">
        <v>2571.7600000000002</v>
      </c>
      <c r="T59" s="4">
        <f t="shared" si="18"/>
        <v>28289.360000000001</v>
      </c>
      <c r="U59" s="4">
        <v>1860.87</v>
      </c>
      <c r="V59" s="4">
        <v>1200</v>
      </c>
    </row>
    <row r="60" spans="1:22" x14ac:dyDescent="0.35">
      <c r="A60" s="3">
        <v>27</v>
      </c>
      <c r="B60" s="2">
        <v>45897</v>
      </c>
      <c r="C60" s="4"/>
      <c r="D60" s="18"/>
      <c r="E60" s="4">
        <f t="shared" si="15"/>
        <v>4729</v>
      </c>
      <c r="F60" s="4">
        <v>2</v>
      </c>
      <c r="G60" s="14">
        <f t="shared" si="9"/>
        <v>4.2292239374074856E-4</v>
      </c>
      <c r="H60" s="4"/>
      <c r="I60" s="4">
        <f t="shared" si="10"/>
        <v>4727</v>
      </c>
      <c r="J60" s="4">
        <v>129</v>
      </c>
      <c r="K60" s="4">
        <f t="shared" si="11"/>
        <v>3870</v>
      </c>
      <c r="L60" s="4">
        <v>0</v>
      </c>
      <c r="M60" s="4">
        <v>0</v>
      </c>
      <c r="N60" s="4">
        <f t="shared" si="16"/>
        <v>3870</v>
      </c>
      <c r="O60" s="14">
        <f t="shared" si="17"/>
        <v>0.81835483188834846</v>
      </c>
      <c r="P60" s="4">
        <v>11</v>
      </c>
      <c r="Q60" s="4">
        <f t="shared" si="12"/>
        <v>550</v>
      </c>
      <c r="R60" s="4">
        <f t="shared" si="13"/>
        <v>550000</v>
      </c>
      <c r="S60" s="4">
        <v>2571.7600000000002</v>
      </c>
      <c r="T60" s="4">
        <f t="shared" si="18"/>
        <v>28289.360000000001</v>
      </c>
      <c r="U60" s="4">
        <v>1860.87</v>
      </c>
      <c r="V60" s="4">
        <v>1200</v>
      </c>
    </row>
    <row r="61" spans="1:22" x14ac:dyDescent="0.35">
      <c r="A61" s="3">
        <v>27</v>
      </c>
      <c r="B61" s="2">
        <v>45898</v>
      </c>
      <c r="C61" s="4"/>
      <c r="D61" s="18"/>
      <c r="E61" s="4">
        <f t="shared" si="15"/>
        <v>4727</v>
      </c>
      <c r="F61" s="4">
        <v>2</v>
      </c>
      <c r="G61" s="14">
        <f t="shared" si="9"/>
        <v>4.2310133276919821E-4</v>
      </c>
      <c r="H61" s="4"/>
      <c r="I61" s="4">
        <f t="shared" si="10"/>
        <v>4725</v>
      </c>
      <c r="J61" s="4">
        <v>129</v>
      </c>
      <c r="K61" s="4">
        <f t="shared" si="11"/>
        <v>3870</v>
      </c>
      <c r="L61" s="4">
        <v>0</v>
      </c>
      <c r="M61" s="4">
        <v>0</v>
      </c>
      <c r="N61" s="4">
        <f t="shared" si="16"/>
        <v>3870</v>
      </c>
      <c r="O61" s="14">
        <f t="shared" si="17"/>
        <v>0.81870107890839861</v>
      </c>
      <c r="P61" s="4">
        <v>11</v>
      </c>
      <c r="Q61" s="4">
        <f t="shared" si="12"/>
        <v>550</v>
      </c>
      <c r="R61" s="4">
        <f t="shared" si="13"/>
        <v>550000</v>
      </c>
      <c r="S61" s="4">
        <v>2571.7600000000002</v>
      </c>
      <c r="T61" s="4">
        <f t="shared" si="18"/>
        <v>28289.360000000001</v>
      </c>
      <c r="U61" s="4">
        <v>1860.87</v>
      </c>
      <c r="V61" s="4">
        <v>1300</v>
      </c>
    </row>
    <row r="62" spans="1:22" x14ac:dyDescent="0.35">
      <c r="A62" s="3">
        <v>27</v>
      </c>
      <c r="B62" s="2">
        <v>45899</v>
      </c>
      <c r="C62" s="4"/>
      <c r="D62" s="18"/>
      <c r="E62" s="4">
        <f t="shared" si="15"/>
        <v>4725</v>
      </c>
      <c r="F62" s="4">
        <v>3</v>
      </c>
      <c r="G62" s="14">
        <f t="shared" si="9"/>
        <v>6.3492063492063492E-4</v>
      </c>
      <c r="H62" s="4"/>
      <c r="I62" s="4">
        <f t="shared" si="10"/>
        <v>4722</v>
      </c>
      <c r="J62" s="4">
        <v>128</v>
      </c>
      <c r="K62" s="4">
        <f t="shared" si="11"/>
        <v>3840</v>
      </c>
      <c r="L62" s="4">
        <v>0</v>
      </c>
      <c r="M62" s="4">
        <v>0</v>
      </c>
      <c r="N62" s="4">
        <f t="shared" si="16"/>
        <v>3840</v>
      </c>
      <c r="O62" s="14">
        <f t="shared" si="17"/>
        <v>0.8126984126984127</v>
      </c>
      <c r="P62" s="4">
        <v>11</v>
      </c>
      <c r="Q62" s="4">
        <f t="shared" si="12"/>
        <v>550</v>
      </c>
      <c r="R62" s="4">
        <f t="shared" si="13"/>
        <v>550000</v>
      </c>
      <c r="S62" s="4">
        <v>2571.7600000000002</v>
      </c>
      <c r="T62" s="4">
        <f t="shared" si="18"/>
        <v>28289.360000000001</v>
      </c>
      <c r="U62" s="4">
        <v>1860.87</v>
      </c>
      <c r="V62" s="4">
        <v>2200</v>
      </c>
    </row>
    <row r="63" spans="1:22" x14ac:dyDescent="0.35">
      <c r="A63" s="3">
        <v>27</v>
      </c>
      <c r="B63" s="2">
        <v>45900</v>
      </c>
      <c r="C63" s="4"/>
      <c r="D63" s="18"/>
      <c r="E63" s="4">
        <f t="shared" si="15"/>
        <v>4722</v>
      </c>
      <c r="F63" s="4">
        <v>3</v>
      </c>
      <c r="G63" s="14">
        <f t="shared" si="9"/>
        <v>6.3532401524777639E-4</v>
      </c>
      <c r="H63" s="4"/>
      <c r="I63" s="4">
        <f t="shared" si="10"/>
        <v>4719</v>
      </c>
      <c r="J63" s="4">
        <v>130</v>
      </c>
      <c r="K63" s="4">
        <f t="shared" si="11"/>
        <v>3900</v>
      </c>
      <c r="L63" s="4">
        <v>0</v>
      </c>
      <c r="M63" s="4">
        <v>0</v>
      </c>
      <c r="N63" s="4">
        <f t="shared" si="16"/>
        <v>3900</v>
      </c>
      <c r="O63" s="14">
        <f t="shared" si="17"/>
        <v>0.82592121982210931</v>
      </c>
      <c r="P63" s="4">
        <v>11</v>
      </c>
      <c r="Q63" s="4">
        <f t="shared" si="12"/>
        <v>550</v>
      </c>
      <c r="R63" s="4">
        <f t="shared" si="13"/>
        <v>550000</v>
      </c>
      <c r="S63" s="4">
        <v>2650.51</v>
      </c>
      <c r="T63" s="4">
        <f t="shared" si="18"/>
        <v>29155.61</v>
      </c>
      <c r="U63" s="4">
        <v>1860.87</v>
      </c>
      <c r="V63" s="4">
        <v>1200</v>
      </c>
    </row>
    <row r="64" spans="1:22" x14ac:dyDescent="0.35">
      <c r="A64" s="3"/>
      <c r="B64" s="2"/>
      <c r="C64" s="4"/>
      <c r="D64" s="18"/>
      <c r="E64" s="4"/>
      <c r="F64" s="4">
        <f>SUM(F33:F63)</f>
        <v>62</v>
      </c>
      <c r="G64" s="14"/>
      <c r="H64" s="4"/>
      <c r="I64" s="4"/>
      <c r="J64" s="4"/>
      <c r="K64" s="4"/>
      <c r="L64" s="4"/>
      <c r="M64" s="4"/>
      <c r="N64" s="4"/>
      <c r="O64" s="14"/>
      <c r="P64" s="4"/>
      <c r="Q64" s="4"/>
      <c r="R64" s="4"/>
      <c r="S64" s="4"/>
      <c r="T64" s="4"/>
      <c r="U64" s="4"/>
      <c r="V64" s="4"/>
    </row>
    <row r="65" spans="1:22" x14ac:dyDescent="0.35">
      <c r="A65" s="3"/>
      <c r="B65" s="2"/>
      <c r="C65" s="4"/>
      <c r="D65" s="18"/>
      <c r="E65" s="4"/>
      <c r="F65" s="4"/>
      <c r="G65" s="14"/>
      <c r="H65" s="4"/>
      <c r="I65" s="4"/>
      <c r="J65" s="4"/>
      <c r="K65" s="4"/>
      <c r="L65" s="4"/>
      <c r="M65" s="4"/>
      <c r="N65" s="4"/>
      <c r="O65" s="14"/>
      <c r="P65" s="4"/>
      <c r="Q65" s="4"/>
      <c r="R65" s="4"/>
      <c r="S65" s="4"/>
      <c r="T65" s="4"/>
      <c r="U65" s="4"/>
      <c r="V65" s="4"/>
    </row>
    <row r="66" spans="1:22" x14ac:dyDescent="0.35">
      <c r="B66" s="37" t="s">
        <v>1</v>
      </c>
      <c r="C66" s="38" t="s">
        <v>19</v>
      </c>
      <c r="D66" s="38" t="s">
        <v>18</v>
      </c>
      <c r="E66" s="39" t="s">
        <v>2</v>
      </c>
      <c r="F66" s="40" t="s">
        <v>3</v>
      </c>
      <c r="G66" s="41" t="s">
        <v>4</v>
      </c>
      <c r="H66" s="40" t="s">
        <v>5</v>
      </c>
      <c r="I66" s="42" t="s">
        <v>6</v>
      </c>
      <c r="J66" s="43" t="s">
        <v>7</v>
      </c>
      <c r="K66" s="40" t="s">
        <v>8</v>
      </c>
      <c r="L66" s="40" t="s">
        <v>9</v>
      </c>
      <c r="M66" s="40" t="s">
        <v>10</v>
      </c>
      <c r="N66" s="40" t="s">
        <v>11</v>
      </c>
      <c r="O66" s="44" t="s">
        <v>12</v>
      </c>
      <c r="P66" s="43" t="s">
        <v>13</v>
      </c>
      <c r="Q66" s="40" t="s">
        <v>14</v>
      </c>
      <c r="R66" s="45" t="s">
        <v>15</v>
      </c>
      <c r="S66" s="46" t="s">
        <v>16</v>
      </c>
      <c r="T66" s="47" t="s">
        <v>17</v>
      </c>
      <c r="U66" s="48" t="s">
        <v>21</v>
      </c>
      <c r="V66" s="48" t="s">
        <v>23</v>
      </c>
    </row>
    <row r="67" spans="1:22" x14ac:dyDescent="0.35">
      <c r="A67" s="3">
        <v>27</v>
      </c>
      <c r="B67" s="2">
        <v>45901</v>
      </c>
      <c r="C67" s="18"/>
      <c r="D67" s="18"/>
      <c r="E67" s="4">
        <v>4719</v>
      </c>
      <c r="F67" s="4">
        <v>2</v>
      </c>
      <c r="G67" s="14">
        <f t="shared" ref="G67:G72" si="19">F67/E67</f>
        <v>4.2381860563678748E-4</v>
      </c>
      <c r="H67" s="4"/>
      <c r="I67" s="4">
        <f t="shared" ref="I67:I96" si="20">E67-F67-H67</f>
        <v>4717</v>
      </c>
      <c r="J67" s="4">
        <v>133</v>
      </c>
      <c r="K67" s="4">
        <f t="shared" ref="K67:K96" si="21">J67*30</f>
        <v>3990</v>
      </c>
      <c r="L67" s="4">
        <v>0</v>
      </c>
      <c r="M67" s="4">
        <v>0</v>
      </c>
      <c r="N67" s="4">
        <f t="shared" ref="N67:N76" si="22">K67+L67-M67</f>
        <v>3990</v>
      </c>
      <c r="O67" s="14">
        <f t="shared" ref="O67:O96" si="23">N67/E67</f>
        <v>0.84551811824539103</v>
      </c>
      <c r="P67" s="4">
        <v>11</v>
      </c>
      <c r="Q67" s="4">
        <f t="shared" ref="Q67:Q96" si="24">P67*50</f>
        <v>550</v>
      </c>
      <c r="R67" s="4">
        <f t="shared" ref="R67:R96" si="25">Q67*1000</f>
        <v>550000</v>
      </c>
      <c r="S67" s="4">
        <v>2650.51</v>
      </c>
      <c r="T67" s="4">
        <f t="shared" ref="T67:T96" si="26">P67*S67</f>
        <v>29155.61</v>
      </c>
      <c r="U67" s="4">
        <v>1861.92</v>
      </c>
      <c r="V67" s="4">
        <v>1300</v>
      </c>
    </row>
    <row r="68" spans="1:22" x14ac:dyDescent="0.35">
      <c r="A68" s="3">
        <v>28</v>
      </c>
      <c r="B68" s="2">
        <v>45902</v>
      </c>
      <c r="C68" s="4"/>
      <c r="D68" s="18"/>
      <c r="E68" s="4">
        <f t="shared" ref="E68:E96" si="27">I67</f>
        <v>4717</v>
      </c>
      <c r="F68" s="4">
        <v>3</v>
      </c>
      <c r="G68" s="14">
        <f t="shared" si="19"/>
        <v>6.3599745601017593E-4</v>
      </c>
      <c r="H68" s="4"/>
      <c r="I68" s="4">
        <f t="shared" si="20"/>
        <v>4714</v>
      </c>
      <c r="J68" s="4">
        <v>136</v>
      </c>
      <c r="K68" s="4">
        <f t="shared" si="21"/>
        <v>4080</v>
      </c>
      <c r="L68" s="4">
        <v>0</v>
      </c>
      <c r="M68" s="4">
        <v>0</v>
      </c>
      <c r="N68" s="4">
        <f t="shared" si="22"/>
        <v>4080</v>
      </c>
      <c r="O68" s="14">
        <f t="shared" si="23"/>
        <v>0.86495654017383927</v>
      </c>
      <c r="P68" s="4">
        <v>11</v>
      </c>
      <c r="Q68" s="4">
        <f t="shared" si="24"/>
        <v>550</v>
      </c>
      <c r="R68" s="4">
        <f t="shared" si="25"/>
        <v>550000</v>
      </c>
      <c r="S68" s="4">
        <v>2650.51</v>
      </c>
      <c r="T68" s="4">
        <f t="shared" si="26"/>
        <v>29155.61</v>
      </c>
      <c r="U68" s="4">
        <v>1861.92</v>
      </c>
      <c r="V68" s="4">
        <v>1300</v>
      </c>
    </row>
    <row r="69" spans="1:22" x14ac:dyDescent="0.35">
      <c r="A69" s="3">
        <v>28</v>
      </c>
      <c r="B69" s="2">
        <v>45903</v>
      </c>
      <c r="C69" s="4"/>
      <c r="D69" s="18"/>
      <c r="E69" s="4">
        <f t="shared" si="27"/>
        <v>4714</v>
      </c>
      <c r="F69" s="4">
        <v>2</v>
      </c>
      <c r="G69" s="14">
        <f t="shared" si="19"/>
        <v>4.2426813746287653E-4</v>
      </c>
      <c r="H69" s="4"/>
      <c r="I69" s="4">
        <f t="shared" si="20"/>
        <v>4712</v>
      </c>
      <c r="J69" s="4">
        <v>136</v>
      </c>
      <c r="K69" s="4">
        <f t="shared" si="21"/>
        <v>4080</v>
      </c>
      <c r="L69" s="4">
        <v>0</v>
      </c>
      <c r="M69" s="4">
        <v>0</v>
      </c>
      <c r="N69" s="4">
        <f t="shared" si="22"/>
        <v>4080</v>
      </c>
      <c r="O69" s="14">
        <f t="shared" si="23"/>
        <v>0.86550700042426809</v>
      </c>
      <c r="P69" s="4">
        <v>11</v>
      </c>
      <c r="Q69" s="4">
        <f t="shared" si="24"/>
        <v>550</v>
      </c>
      <c r="R69" s="4">
        <f t="shared" si="25"/>
        <v>550000</v>
      </c>
      <c r="S69" s="4">
        <v>2650.51</v>
      </c>
      <c r="T69" s="4">
        <f t="shared" si="26"/>
        <v>29155.61</v>
      </c>
      <c r="U69" s="4">
        <v>1861.92</v>
      </c>
      <c r="V69" s="4">
        <v>1400</v>
      </c>
    </row>
    <row r="70" spans="1:22" x14ac:dyDescent="0.35">
      <c r="A70" s="3">
        <v>28</v>
      </c>
      <c r="B70" s="2">
        <v>45904</v>
      </c>
      <c r="C70" s="19"/>
      <c r="D70" s="19"/>
      <c r="E70" s="4">
        <f t="shared" si="27"/>
        <v>4712</v>
      </c>
      <c r="F70" s="4">
        <v>3</v>
      </c>
      <c r="G70" s="14">
        <f t="shared" si="19"/>
        <v>6.3667232597623094E-4</v>
      </c>
      <c r="H70" s="7"/>
      <c r="I70" s="4">
        <f t="shared" si="20"/>
        <v>4709</v>
      </c>
      <c r="J70" s="4">
        <v>137</v>
      </c>
      <c r="K70" s="4">
        <f t="shared" si="21"/>
        <v>4110</v>
      </c>
      <c r="L70" s="4">
        <v>0</v>
      </c>
      <c r="M70" s="4">
        <v>0</v>
      </c>
      <c r="N70" s="4">
        <f t="shared" si="22"/>
        <v>4110</v>
      </c>
      <c r="O70" s="14">
        <f t="shared" si="23"/>
        <v>0.87224108658743638</v>
      </c>
      <c r="P70" s="4">
        <v>11</v>
      </c>
      <c r="Q70" s="4">
        <f t="shared" si="24"/>
        <v>550</v>
      </c>
      <c r="R70" s="4">
        <f t="shared" si="25"/>
        <v>550000</v>
      </c>
      <c r="S70" s="4">
        <v>2650.51</v>
      </c>
      <c r="T70" s="4">
        <f t="shared" si="26"/>
        <v>29155.61</v>
      </c>
      <c r="U70" s="4">
        <v>1861.92</v>
      </c>
      <c r="V70" s="4">
        <v>1200</v>
      </c>
    </row>
    <row r="71" spans="1:22" x14ac:dyDescent="0.35">
      <c r="A71" s="3">
        <v>28</v>
      </c>
      <c r="B71" s="2">
        <v>45905</v>
      </c>
      <c r="C71" s="4"/>
      <c r="D71" s="18"/>
      <c r="E71" s="4">
        <f t="shared" si="27"/>
        <v>4709</v>
      </c>
      <c r="F71" s="4">
        <v>2</v>
      </c>
      <c r="G71" s="14">
        <f t="shared" si="19"/>
        <v>4.2471862391165854E-4</v>
      </c>
      <c r="H71" s="4"/>
      <c r="I71" s="4">
        <f t="shared" si="20"/>
        <v>4707</v>
      </c>
      <c r="J71" s="4">
        <v>136</v>
      </c>
      <c r="K71" s="4">
        <f t="shared" si="21"/>
        <v>4080</v>
      </c>
      <c r="L71" s="4">
        <v>0</v>
      </c>
      <c r="M71" s="4">
        <v>0</v>
      </c>
      <c r="N71" s="4">
        <f t="shared" si="22"/>
        <v>4080</v>
      </c>
      <c r="O71" s="14">
        <f t="shared" si="23"/>
        <v>0.86642599277978338</v>
      </c>
      <c r="P71" s="4">
        <v>11</v>
      </c>
      <c r="Q71" s="4">
        <f t="shared" si="24"/>
        <v>550</v>
      </c>
      <c r="R71" s="4">
        <f t="shared" si="25"/>
        <v>550000</v>
      </c>
      <c r="S71" s="4">
        <v>2650.51</v>
      </c>
      <c r="T71" s="4">
        <f t="shared" si="26"/>
        <v>29155.61</v>
      </c>
      <c r="U71" s="4">
        <v>1861.92</v>
      </c>
      <c r="V71" s="4">
        <v>1200</v>
      </c>
    </row>
    <row r="72" spans="1:22" x14ac:dyDescent="0.35">
      <c r="A72" s="3">
        <v>28</v>
      </c>
      <c r="B72" s="2">
        <v>45906</v>
      </c>
      <c r="C72" s="16"/>
      <c r="D72" s="20"/>
      <c r="E72" s="4">
        <f t="shared" si="27"/>
        <v>4707</v>
      </c>
      <c r="F72" s="16">
        <v>2</v>
      </c>
      <c r="G72" s="15">
        <f t="shared" si="19"/>
        <v>4.2489908646696408E-4</v>
      </c>
      <c r="H72" s="16"/>
      <c r="I72" s="16">
        <f t="shared" si="20"/>
        <v>4705</v>
      </c>
      <c r="J72" s="16">
        <v>137</v>
      </c>
      <c r="K72" s="16">
        <f t="shared" si="21"/>
        <v>4110</v>
      </c>
      <c r="L72" s="4">
        <v>0</v>
      </c>
      <c r="M72" s="4">
        <v>0</v>
      </c>
      <c r="N72" s="4">
        <f t="shared" si="22"/>
        <v>4110</v>
      </c>
      <c r="O72" s="14">
        <f t="shared" si="23"/>
        <v>0.87316762268961123</v>
      </c>
      <c r="P72" s="4">
        <v>11</v>
      </c>
      <c r="Q72" s="4">
        <f t="shared" si="24"/>
        <v>550</v>
      </c>
      <c r="R72" s="4">
        <f t="shared" si="25"/>
        <v>550000</v>
      </c>
      <c r="S72" s="4">
        <v>2650.51</v>
      </c>
      <c r="T72" s="4">
        <f t="shared" si="26"/>
        <v>29155.61</v>
      </c>
      <c r="U72" s="4">
        <v>1861.92</v>
      </c>
      <c r="V72" s="4">
        <v>1200</v>
      </c>
    </row>
    <row r="73" spans="1:22" x14ac:dyDescent="0.35">
      <c r="A73" s="3">
        <v>28</v>
      </c>
      <c r="B73" s="2">
        <v>45907</v>
      </c>
      <c r="C73" s="4"/>
      <c r="D73" s="18"/>
      <c r="E73" s="4">
        <f t="shared" si="27"/>
        <v>4705</v>
      </c>
      <c r="F73" s="4">
        <v>2</v>
      </c>
      <c r="G73" s="15">
        <f t="shared" ref="G73:G96" si="28">F73/E73</f>
        <v>4.250797024442083E-4</v>
      </c>
      <c r="H73" s="4"/>
      <c r="I73" s="16">
        <f t="shared" si="20"/>
        <v>4703</v>
      </c>
      <c r="J73" s="4">
        <v>138</v>
      </c>
      <c r="K73" s="16">
        <f t="shared" si="21"/>
        <v>4140</v>
      </c>
      <c r="L73" s="4">
        <v>0</v>
      </c>
      <c r="M73" s="4">
        <v>0</v>
      </c>
      <c r="N73" s="4">
        <f t="shared" si="22"/>
        <v>4140</v>
      </c>
      <c r="O73" s="14">
        <f t="shared" si="23"/>
        <v>0.87991498405951118</v>
      </c>
      <c r="P73" s="4">
        <v>11</v>
      </c>
      <c r="Q73" s="4">
        <f t="shared" si="24"/>
        <v>550</v>
      </c>
      <c r="R73" s="4">
        <f t="shared" si="25"/>
        <v>550000</v>
      </c>
      <c r="S73" s="4">
        <v>2650.51</v>
      </c>
      <c r="T73" s="4">
        <f t="shared" si="26"/>
        <v>29155.61</v>
      </c>
      <c r="U73" s="4">
        <v>1861.92</v>
      </c>
      <c r="V73" s="4">
        <v>1200</v>
      </c>
    </row>
    <row r="74" spans="1:22" x14ac:dyDescent="0.35">
      <c r="A74" s="3">
        <v>28</v>
      </c>
      <c r="B74" s="2">
        <v>45908</v>
      </c>
      <c r="C74" s="4"/>
      <c r="D74" s="18"/>
      <c r="E74" s="4">
        <f t="shared" si="27"/>
        <v>4703</v>
      </c>
      <c r="F74" s="4">
        <v>1</v>
      </c>
      <c r="G74" s="15">
        <f t="shared" si="28"/>
        <v>2.1263023601956197E-4</v>
      </c>
      <c r="H74" s="4"/>
      <c r="I74" s="16">
        <f t="shared" si="20"/>
        <v>4702</v>
      </c>
      <c r="J74" s="4">
        <v>140</v>
      </c>
      <c r="K74" s="16">
        <f t="shared" si="21"/>
        <v>4200</v>
      </c>
      <c r="L74" s="4">
        <v>0</v>
      </c>
      <c r="M74" s="4">
        <v>0</v>
      </c>
      <c r="N74" s="4">
        <f t="shared" si="22"/>
        <v>4200</v>
      </c>
      <c r="O74" s="14">
        <f t="shared" si="23"/>
        <v>0.89304699128216036</v>
      </c>
      <c r="P74" s="4">
        <v>11</v>
      </c>
      <c r="Q74" s="4">
        <f t="shared" si="24"/>
        <v>550</v>
      </c>
      <c r="R74" s="4">
        <f t="shared" si="25"/>
        <v>550000</v>
      </c>
      <c r="S74" s="4">
        <v>2683.51</v>
      </c>
      <c r="T74" s="4">
        <f t="shared" si="26"/>
        <v>29518.61</v>
      </c>
      <c r="U74" s="4">
        <v>1861.92</v>
      </c>
      <c r="V74" s="4">
        <v>1200</v>
      </c>
    </row>
    <row r="75" spans="1:22" x14ac:dyDescent="0.35">
      <c r="A75" s="3">
        <v>29</v>
      </c>
      <c r="B75" s="2">
        <v>45909</v>
      </c>
      <c r="C75" s="4"/>
      <c r="D75" s="18"/>
      <c r="E75" s="4">
        <f t="shared" si="27"/>
        <v>4702</v>
      </c>
      <c r="F75" s="4">
        <v>1</v>
      </c>
      <c r="G75" s="15">
        <f t="shared" si="28"/>
        <v>2.126754572522331E-4</v>
      </c>
      <c r="H75" s="4"/>
      <c r="I75" s="16">
        <f t="shared" si="20"/>
        <v>4701</v>
      </c>
      <c r="J75" s="4">
        <v>140</v>
      </c>
      <c r="K75" s="16">
        <f t="shared" si="21"/>
        <v>4200</v>
      </c>
      <c r="L75" s="4">
        <v>0</v>
      </c>
      <c r="M75" s="4">
        <v>0</v>
      </c>
      <c r="N75" s="4">
        <f t="shared" si="22"/>
        <v>4200</v>
      </c>
      <c r="O75" s="14">
        <f t="shared" si="23"/>
        <v>0.89323692045937897</v>
      </c>
      <c r="P75" s="4">
        <v>11</v>
      </c>
      <c r="Q75" s="4">
        <f t="shared" si="24"/>
        <v>550</v>
      </c>
      <c r="R75" s="4">
        <f t="shared" si="25"/>
        <v>550000</v>
      </c>
      <c r="S75" s="4">
        <v>2683.51</v>
      </c>
      <c r="T75" s="4">
        <f t="shared" si="26"/>
        <v>29518.61</v>
      </c>
      <c r="U75" s="4">
        <v>1861.92</v>
      </c>
      <c r="V75" s="4">
        <v>1300</v>
      </c>
    </row>
    <row r="76" spans="1:22" x14ac:dyDescent="0.35">
      <c r="A76" s="3">
        <v>29</v>
      </c>
      <c r="B76" s="2">
        <v>45910</v>
      </c>
      <c r="C76" s="4"/>
      <c r="D76" s="18"/>
      <c r="E76" s="4">
        <f t="shared" si="27"/>
        <v>4701</v>
      </c>
      <c r="F76" s="4">
        <v>2</v>
      </c>
      <c r="G76" s="15">
        <f t="shared" si="28"/>
        <v>4.2544139544777704E-4</v>
      </c>
      <c r="H76" s="4"/>
      <c r="I76" s="16">
        <f t="shared" si="20"/>
        <v>4699</v>
      </c>
      <c r="J76" s="4">
        <v>139</v>
      </c>
      <c r="K76" s="16">
        <f t="shared" si="21"/>
        <v>4170</v>
      </c>
      <c r="L76" s="4">
        <v>0</v>
      </c>
      <c r="M76" s="4">
        <v>0</v>
      </c>
      <c r="N76" s="4">
        <f t="shared" si="22"/>
        <v>4170</v>
      </c>
      <c r="O76" s="14">
        <f t="shared" si="23"/>
        <v>0.88704530950861515</v>
      </c>
      <c r="P76" s="4">
        <v>11</v>
      </c>
      <c r="Q76" s="4">
        <f t="shared" si="24"/>
        <v>550</v>
      </c>
      <c r="R76" s="4">
        <f t="shared" si="25"/>
        <v>550000</v>
      </c>
      <c r="S76" s="4">
        <v>2683.51</v>
      </c>
      <c r="T76" s="4">
        <f t="shared" si="26"/>
        <v>29518.61</v>
      </c>
      <c r="U76" s="4">
        <v>1861.92</v>
      </c>
      <c r="V76" s="4">
        <v>1300</v>
      </c>
    </row>
    <row r="77" spans="1:22" x14ac:dyDescent="0.35">
      <c r="A77" s="3">
        <v>29</v>
      </c>
      <c r="B77" s="2">
        <v>45911</v>
      </c>
      <c r="C77" s="4"/>
      <c r="D77" s="18"/>
      <c r="E77" s="4">
        <f t="shared" si="27"/>
        <v>4699</v>
      </c>
      <c r="F77" s="4">
        <v>2</v>
      </c>
      <c r="G77" s="15">
        <f t="shared" si="28"/>
        <v>4.2562247286656737E-4</v>
      </c>
      <c r="H77" s="4"/>
      <c r="I77" s="16">
        <f t="shared" si="20"/>
        <v>4697</v>
      </c>
      <c r="J77" s="4">
        <v>140</v>
      </c>
      <c r="K77" s="16">
        <f t="shared" si="21"/>
        <v>4200</v>
      </c>
      <c r="L77" s="4">
        <v>0</v>
      </c>
      <c r="M77" s="4">
        <v>0</v>
      </c>
      <c r="N77" s="4">
        <f t="shared" ref="N77:N96" si="29">K77+L78-M77</f>
        <v>4200</v>
      </c>
      <c r="O77" s="14">
        <f t="shared" si="23"/>
        <v>0.89380719301979139</v>
      </c>
      <c r="P77" s="4">
        <v>11</v>
      </c>
      <c r="Q77" s="4">
        <f t="shared" si="24"/>
        <v>550</v>
      </c>
      <c r="R77" s="4">
        <f t="shared" si="25"/>
        <v>550000</v>
      </c>
      <c r="S77" s="4">
        <v>2683.51</v>
      </c>
      <c r="T77" s="4">
        <f t="shared" si="26"/>
        <v>29518.61</v>
      </c>
      <c r="U77" s="4">
        <v>1861.92</v>
      </c>
      <c r="V77" s="4">
        <v>1200</v>
      </c>
    </row>
    <row r="78" spans="1:22" x14ac:dyDescent="0.35">
      <c r="A78" s="3">
        <v>29</v>
      </c>
      <c r="B78" s="2">
        <v>45912</v>
      </c>
      <c r="C78" s="4"/>
      <c r="D78" s="18"/>
      <c r="E78" s="4">
        <f t="shared" si="27"/>
        <v>4697</v>
      </c>
      <c r="F78" s="4">
        <v>1</v>
      </c>
      <c r="G78" s="15">
        <f t="shared" si="28"/>
        <v>2.1290185224611454E-4</v>
      </c>
      <c r="H78" s="4"/>
      <c r="I78" s="16">
        <f t="shared" si="20"/>
        <v>4696</v>
      </c>
      <c r="J78" s="4">
        <v>141</v>
      </c>
      <c r="K78" s="4">
        <f t="shared" si="21"/>
        <v>4230</v>
      </c>
      <c r="L78" s="4">
        <v>0</v>
      </c>
      <c r="M78" s="4">
        <v>0</v>
      </c>
      <c r="N78" s="4">
        <f t="shared" si="29"/>
        <v>4230</v>
      </c>
      <c r="O78" s="14">
        <f t="shared" si="23"/>
        <v>0.9005748350010645</v>
      </c>
      <c r="P78" s="4">
        <v>11</v>
      </c>
      <c r="Q78" s="4">
        <f t="shared" si="24"/>
        <v>550</v>
      </c>
      <c r="R78" s="4">
        <f t="shared" si="25"/>
        <v>550000</v>
      </c>
      <c r="S78" s="4">
        <v>2665.93</v>
      </c>
      <c r="T78" s="4">
        <f t="shared" si="26"/>
        <v>29325.23</v>
      </c>
      <c r="U78" s="4">
        <v>1861.92</v>
      </c>
      <c r="V78" s="4">
        <v>1300</v>
      </c>
    </row>
    <row r="79" spans="1:22" x14ac:dyDescent="0.35">
      <c r="A79" s="3">
        <v>29</v>
      </c>
      <c r="B79" s="2">
        <v>45913</v>
      </c>
      <c r="C79" s="4"/>
      <c r="D79" s="18"/>
      <c r="E79" s="4">
        <f t="shared" si="27"/>
        <v>4696</v>
      </c>
      <c r="F79" s="4">
        <v>2</v>
      </c>
      <c r="G79" s="15">
        <f t="shared" si="28"/>
        <v>4.2589437819420784E-4</v>
      </c>
      <c r="H79" s="4"/>
      <c r="I79" s="16">
        <f t="shared" si="20"/>
        <v>4694</v>
      </c>
      <c r="J79" s="4">
        <v>141</v>
      </c>
      <c r="K79" s="4">
        <f t="shared" si="21"/>
        <v>4230</v>
      </c>
      <c r="L79" s="4">
        <v>0</v>
      </c>
      <c r="M79" s="4">
        <v>0</v>
      </c>
      <c r="N79" s="4">
        <f t="shared" si="29"/>
        <v>4230</v>
      </c>
      <c r="O79" s="14">
        <f t="shared" si="23"/>
        <v>0.90076660988074952</v>
      </c>
      <c r="P79" s="4">
        <v>11</v>
      </c>
      <c r="Q79" s="4">
        <f t="shared" si="24"/>
        <v>550</v>
      </c>
      <c r="R79" s="4">
        <f t="shared" si="25"/>
        <v>550000</v>
      </c>
      <c r="S79" s="4">
        <v>2665.93</v>
      </c>
      <c r="T79" s="4">
        <f t="shared" si="26"/>
        <v>29325.23</v>
      </c>
      <c r="U79" s="4">
        <v>1861.92</v>
      </c>
      <c r="V79" s="4">
        <v>1300</v>
      </c>
    </row>
    <row r="80" spans="1:22" x14ac:dyDescent="0.35">
      <c r="A80" s="3">
        <v>29</v>
      </c>
      <c r="B80" s="2">
        <v>45914</v>
      </c>
      <c r="C80" s="4"/>
      <c r="D80" s="18"/>
      <c r="E80" s="4">
        <f t="shared" si="27"/>
        <v>4694</v>
      </c>
      <c r="F80" s="4">
        <v>1</v>
      </c>
      <c r="G80" s="15">
        <f t="shared" si="28"/>
        <v>2.1303792074989347E-4</v>
      </c>
      <c r="H80" s="4"/>
      <c r="I80" s="16">
        <f t="shared" si="20"/>
        <v>4693</v>
      </c>
      <c r="J80" s="4">
        <v>140</v>
      </c>
      <c r="K80" s="4">
        <f t="shared" si="21"/>
        <v>4200</v>
      </c>
      <c r="L80" s="4">
        <v>0</v>
      </c>
      <c r="M80" s="4">
        <v>0</v>
      </c>
      <c r="N80" s="4">
        <f t="shared" si="29"/>
        <v>4200</v>
      </c>
      <c r="O80" s="14">
        <f t="shared" si="23"/>
        <v>0.89475926714955267</v>
      </c>
      <c r="P80" s="4">
        <v>11</v>
      </c>
      <c r="Q80" s="4">
        <f t="shared" si="24"/>
        <v>550</v>
      </c>
      <c r="R80" s="4">
        <f t="shared" si="25"/>
        <v>550000</v>
      </c>
      <c r="S80" s="4">
        <v>2665.93</v>
      </c>
      <c r="T80" s="4">
        <f t="shared" si="26"/>
        <v>29325.23</v>
      </c>
      <c r="U80" s="4">
        <v>1861.92</v>
      </c>
      <c r="V80" s="4">
        <v>2100</v>
      </c>
    </row>
    <row r="81" spans="1:22" x14ac:dyDescent="0.35">
      <c r="A81" s="3">
        <v>29</v>
      </c>
      <c r="B81" s="2">
        <v>45915</v>
      </c>
      <c r="C81" s="4"/>
      <c r="D81" s="18"/>
      <c r="E81" s="4">
        <f t="shared" si="27"/>
        <v>4693</v>
      </c>
      <c r="F81" s="4">
        <v>2</v>
      </c>
      <c r="G81" s="15">
        <f t="shared" si="28"/>
        <v>4.2616663115278071E-4</v>
      </c>
      <c r="H81" s="4"/>
      <c r="I81" s="16">
        <f t="shared" si="20"/>
        <v>4691</v>
      </c>
      <c r="J81" s="4">
        <v>141</v>
      </c>
      <c r="K81" s="4">
        <f t="shared" si="21"/>
        <v>4230</v>
      </c>
      <c r="L81" s="4">
        <v>0</v>
      </c>
      <c r="M81" s="4">
        <v>0</v>
      </c>
      <c r="N81" s="4">
        <f t="shared" si="29"/>
        <v>4230</v>
      </c>
      <c r="O81" s="14">
        <f t="shared" si="23"/>
        <v>0.90134242488813121</v>
      </c>
      <c r="P81" s="4">
        <v>11</v>
      </c>
      <c r="Q81" s="4">
        <f t="shared" si="24"/>
        <v>550</v>
      </c>
      <c r="R81" s="4">
        <f t="shared" si="25"/>
        <v>550000</v>
      </c>
      <c r="S81" s="4">
        <v>2665.93</v>
      </c>
      <c r="T81" s="4">
        <f t="shared" si="26"/>
        <v>29325.23</v>
      </c>
      <c r="U81" s="4">
        <v>1861.92</v>
      </c>
      <c r="V81" s="4"/>
    </row>
    <row r="82" spans="1:22" x14ac:dyDescent="0.35">
      <c r="A82" s="3">
        <v>30</v>
      </c>
      <c r="B82" s="2">
        <v>45916</v>
      </c>
      <c r="C82" s="4"/>
      <c r="D82" s="18"/>
      <c r="E82" s="4">
        <f t="shared" si="27"/>
        <v>4691</v>
      </c>
      <c r="F82" s="4">
        <v>2</v>
      </c>
      <c r="G82" s="15">
        <f t="shared" si="28"/>
        <v>4.2634832658281814E-4</v>
      </c>
      <c r="H82" s="4"/>
      <c r="I82" s="16">
        <f t="shared" si="20"/>
        <v>4689</v>
      </c>
      <c r="J82" s="4">
        <v>141</v>
      </c>
      <c r="K82" s="4">
        <f t="shared" si="21"/>
        <v>4230</v>
      </c>
      <c r="L82" s="4">
        <v>0</v>
      </c>
      <c r="M82" s="4">
        <v>0</v>
      </c>
      <c r="N82" s="4">
        <f t="shared" si="29"/>
        <v>4230</v>
      </c>
      <c r="O82" s="14">
        <f t="shared" si="23"/>
        <v>0.90172671072266042</v>
      </c>
      <c r="P82" s="4">
        <v>11</v>
      </c>
      <c r="Q82" s="4">
        <f t="shared" si="24"/>
        <v>550</v>
      </c>
      <c r="R82" s="4">
        <f t="shared" si="25"/>
        <v>550000</v>
      </c>
      <c r="S82" s="4">
        <v>2665.93</v>
      </c>
      <c r="T82" s="4">
        <f t="shared" si="26"/>
        <v>29325.23</v>
      </c>
      <c r="U82" s="4">
        <v>1861.92</v>
      </c>
      <c r="V82" s="4">
        <v>1300</v>
      </c>
    </row>
    <row r="83" spans="1:22" x14ac:dyDescent="0.35">
      <c r="A83" s="3">
        <v>30</v>
      </c>
      <c r="B83" s="2">
        <v>45917</v>
      </c>
      <c r="C83" s="4"/>
      <c r="D83" s="18"/>
      <c r="E83" s="4">
        <f t="shared" si="27"/>
        <v>4689</v>
      </c>
      <c r="F83" s="4">
        <v>1</v>
      </c>
      <c r="G83" s="15">
        <f t="shared" si="28"/>
        <v>2.1326508850501172E-4</v>
      </c>
      <c r="H83" s="4"/>
      <c r="I83" s="16">
        <f t="shared" si="20"/>
        <v>4688</v>
      </c>
      <c r="J83" s="4">
        <v>140</v>
      </c>
      <c r="K83" s="4">
        <f t="shared" si="21"/>
        <v>4200</v>
      </c>
      <c r="L83" s="4">
        <v>0</v>
      </c>
      <c r="M83" s="4">
        <v>0</v>
      </c>
      <c r="N83" s="4">
        <f t="shared" si="29"/>
        <v>4200</v>
      </c>
      <c r="O83" s="14">
        <f t="shared" si="23"/>
        <v>0.89571337172104926</v>
      </c>
      <c r="P83" s="4">
        <v>11</v>
      </c>
      <c r="Q83" s="4">
        <f t="shared" si="24"/>
        <v>550</v>
      </c>
      <c r="R83" s="4">
        <f t="shared" si="25"/>
        <v>550000</v>
      </c>
      <c r="S83" s="4">
        <v>2665.93</v>
      </c>
      <c r="T83" s="4">
        <f t="shared" si="26"/>
        <v>29325.23</v>
      </c>
      <c r="U83" s="4">
        <v>1861.92</v>
      </c>
      <c r="V83" s="4">
        <v>1100</v>
      </c>
    </row>
    <row r="84" spans="1:22" x14ac:dyDescent="0.35">
      <c r="A84" s="3">
        <v>30</v>
      </c>
      <c r="B84" s="2">
        <v>45918</v>
      </c>
      <c r="C84" s="4"/>
      <c r="D84" s="18"/>
      <c r="E84" s="4">
        <f t="shared" si="27"/>
        <v>4688</v>
      </c>
      <c r="F84" s="4">
        <v>1</v>
      </c>
      <c r="G84" s="15">
        <f t="shared" si="28"/>
        <v>2.1331058020477816E-4</v>
      </c>
      <c r="H84" s="4"/>
      <c r="I84" s="16">
        <f t="shared" si="20"/>
        <v>4687</v>
      </c>
      <c r="J84" s="4">
        <v>140</v>
      </c>
      <c r="K84" s="4">
        <f t="shared" si="21"/>
        <v>4200</v>
      </c>
      <c r="L84" s="4">
        <v>0</v>
      </c>
      <c r="M84" s="4">
        <v>0</v>
      </c>
      <c r="N84" s="4">
        <f t="shared" si="29"/>
        <v>4200</v>
      </c>
      <c r="O84" s="14">
        <f t="shared" si="23"/>
        <v>0.89590443686006827</v>
      </c>
      <c r="P84" s="4">
        <v>11</v>
      </c>
      <c r="Q84" s="4">
        <f t="shared" si="24"/>
        <v>550</v>
      </c>
      <c r="R84" s="4">
        <f t="shared" si="25"/>
        <v>550000</v>
      </c>
      <c r="S84" s="4">
        <v>2665.93</v>
      </c>
      <c r="T84" s="4">
        <f t="shared" si="26"/>
        <v>29325.23</v>
      </c>
      <c r="U84" s="4">
        <v>1861.92</v>
      </c>
      <c r="V84" s="4">
        <v>400</v>
      </c>
    </row>
    <row r="85" spans="1:22" x14ac:dyDescent="0.35">
      <c r="A85" s="3">
        <v>30</v>
      </c>
      <c r="B85" s="2">
        <v>45919</v>
      </c>
      <c r="C85" s="4"/>
      <c r="D85" s="18"/>
      <c r="E85" s="4">
        <f t="shared" si="27"/>
        <v>4687</v>
      </c>
      <c r="F85" s="4">
        <v>1</v>
      </c>
      <c r="G85" s="15">
        <f t="shared" si="28"/>
        <v>2.1335609131640709E-4</v>
      </c>
      <c r="H85" s="4"/>
      <c r="I85" s="16">
        <f t="shared" si="20"/>
        <v>4686</v>
      </c>
      <c r="J85" s="4">
        <v>141</v>
      </c>
      <c r="K85" s="4">
        <f t="shared" si="21"/>
        <v>4230</v>
      </c>
      <c r="L85" s="4">
        <v>0</v>
      </c>
      <c r="M85" s="4">
        <v>0</v>
      </c>
      <c r="N85" s="4">
        <f t="shared" si="29"/>
        <v>4230</v>
      </c>
      <c r="O85" s="14">
        <f t="shared" si="23"/>
        <v>0.90249626626840196</v>
      </c>
      <c r="P85" s="4">
        <v>11</v>
      </c>
      <c r="Q85" s="4">
        <f t="shared" si="24"/>
        <v>550</v>
      </c>
      <c r="R85" s="4">
        <f t="shared" si="25"/>
        <v>550000</v>
      </c>
      <c r="S85" s="4">
        <v>2665.93</v>
      </c>
      <c r="T85" s="4">
        <f t="shared" si="26"/>
        <v>29325.23</v>
      </c>
      <c r="U85" s="4">
        <v>1861.92</v>
      </c>
      <c r="V85" s="4">
        <v>1100</v>
      </c>
    </row>
    <row r="86" spans="1:22" x14ac:dyDescent="0.35">
      <c r="A86" s="3">
        <v>30</v>
      </c>
      <c r="B86" s="2">
        <v>45920</v>
      </c>
      <c r="C86" s="4"/>
      <c r="D86" s="18"/>
      <c r="E86" s="4">
        <f t="shared" si="27"/>
        <v>4686</v>
      </c>
      <c r="F86" s="4">
        <v>2</v>
      </c>
      <c r="G86" s="14">
        <f t="shared" si="28"/>
        <v>4.2680324370465217E-4</v>
      </c>
      <c r="H86" s="4"/>
      <c r="I86" s="4">
        <f t="shared" si="20"/>
        <v>4684</v>
      </c>
      <c r="J86" s="4">
        <v>142</v>
      </c>
      <c r="K86" s="4">
        <f t="shared" si="21"/>
        <v>4260</v>
      </c>
      <c r="L86" s="4">
        <v>0</v>
      </c>
      <c r="M86" s="4">
        <v>0</v>
      </c>
      <c r="N86" s="4">
        <f t="shared" si="29"/>
        <v>4260</v>
      </c>
      <c r="O86" s="14">
        <f t="shared" si="23"/>
        <v>0.90909090909090906</v>
      </c>
      <c r="P86" s="4">
        <v>11</v>
      </c>
      <c r="Q86" s="4">
        <f t="shared" si="24"/>
        <v>550</v>
      </c>
      <c r="R86" s="4">
        <f t="shared" si="25"/>
        <v>550000</v>
      </c>
      <c r="S86" s="4">
        <v>2665.93</v>
      </c>
      <c r="T86" s="4">
        <f t="shared" si="26"/>
        <v>29325.23</v>
      </c>
      <c r="U86" s="4">
        <v>1861.92</v>
      </c>
      <c r="V86" s="4">
        <v>900</v>
      </c>
    </row>
    <row r="87" spans="1:22" x14ac:dyDescent="0.35">
      <c r="A87" s="3">
        <v>30</v>
      </c>
      <c r="B87" s="2">
        <v>45921</v>
      </c>
      <c r="C87" s="4"/>
      <c r="D87" s="18"/>
      <c r="E87" s="4">
        <f t="shared" si="27"/>
        <v>4684</v>
      </c>
      <c r="F87" s="4">
        <v>1</v>
      </c>
      <c r="G87" s="14">
        <f t="shared" si="28"/>
        <v>2.1349274124679761E-4</v>
      </c>
      <c r="H87" s="4"/>
      <c r="I87" s="4">
        <f t="shared" si="20"/>
        <v>4683</v>
      </c>
      <c r="J87" s="4">
        <v>141</v>
      </c>
      <c r="K87" s="4">
        <f t="shared" si="21"/>
        <v>4230</v>
      </c>
      <c r="L87" s="4">
        <v>0</v>
      </c>
      <c r="M87" s="4">
        <v>0</v>
      </c>
      <c r="N87" s="4">
        <f t="shared" si="29"/>
        <v>4230</v>
      </c>
      <c r="O87" s="14">
        <f t="shared" si="23"/>
        <v>0.9030742954739539</v>
      </c>
      <c r="P87" s="4">
        <v>11</v>
      </c>
      <c r="Q87" s="4">
        <f t="shared" si="24"/>
        <v>550</v>
      </c>
      <c r="R87" s="4">
        <f t="shared" si="25"/>
        <v>550000</v>
      </c>
      <c r="S87" s="4">
        <v>2665.93</v>
      </c>
      <c r="T87" s="4">
        <f t="shared" si="26"/>
        <v>29325.23</v>
      </c>
      <c r="U87" s="4">
        <v>1861.92</v>
      </c>
      <c r="V87" s="4">
        <v>1100</v>
      </c>
    </row>
    <row r="88" spans="1:22" x14ac:dyDescent="0.35">
      <c r="A88" s="3">
        <v>30</v>
      </c>
      <c r="B88" s="2">
        <v>45922</v>
      </c>
      <c r="C88" s="4"/>
      <c r="D88" s="18"/>
      <c r="E88" s="4">
        <f t="shared" si="27"/>
        <v>4683</v>
      </c>
      <c r="F88" s="4">
        <v>1</v>
      </c>
      <c r="G88" s="14">
        <f t="shared" si="28"/>
        <v>2.1353833013025838E-4</v>
      </c>
      <c r="H88" s="4"/>
      <c r="I88" s="4">
        <f t="shared" si="20"/>
        <v>4682</v>
      </c>
      <c r="J88" s="4">
        <v>140</v>
      </c>
      <c r="K88" s="4">
        <f t="shared" si="21"/>
        <v>4200</v>
      </c>
      <c r="L88" s="4">
        <v>0</v>
      </c>
      <c r="M88" s="4">
        <v>0</v>
      </c>
      <c r="N88" s="4">
        <f t="shared" si="29"/>
        <v>4200</v>
      </c>
      <c r="O88" s="14">
        <f t="shared" si="23"/>
        <v>0.89686098654708524</v>
      </c>
      <c r="P88" s="4">
        <v>11</v>
      </c>
      <c r="Q88" s="4">
        <f t="shared" si="24"/>
        <v>550</v>
      </c>
      <c r="R88" s="4">
        <f t="shared" si="25"/>
        <v>550000</v>
      </c>
      <c r="S88" s="4">
        <v>2690.93</v>
      </c>
      <c r="T88" s="4">
        <f t="shared" si="26"/>
        <v>29600.23</v>
      </c>
      <c r="U88" s="4">
        <v>1861.92</v>
      </c>
      <c r="V88" s="4">
        <v>1400</v>
      </c>
    </row>
    <row r="89" spans="1:22" x14ac:dyDescent="0.35">
      <c r="A89" s="3">
        <v>31</v>
      </c>
      <c r="B89" s="2">
        <v>45923</v>
      </c>
      <c r="C89" s="4"/>
      <c r="D89" s="18"/>
      <c r="E89" s="4">
        <f t="shared" si="27"/>
        <v>4682</v>
      </c>
      <c r="F89" s="4">
        <v>0</v>
      </c>
      <c r="G89" s="14">
        <f t="shared" si="28"/>
        <v>0</v>
      </c>
      <c r="H89" s="4"/>
      <c r="I89" s="4">
        <f t="shared" si="20"/>
        <v>4682</v>
      </c>
      <c r="J89" s="4">
        <v>141</v>
      </c>
      <c r="K89" s="4">
        <f t="shared" si="21"/>
        <v>4230</v>
      </c>
      <c r="L89" s="4">
        <v>0</v>
      </c>
      <c r="M89" s="4">
        <v>0</v>
      </c>
      <c r="N89" s="4">
        <f t="shared" si="29"/>
        <v>4230</v>
      </c>
      <c r="O89" s="14">
        <f t="shared" si="23"/>
        <v>0.90346005980350275</v>
      </c>
      <c r="P89" s="4">
        <v>11</v>
      </c>
      <c r="Q89" s="4">
        <f t="shared" si="24"/>
        <v>550</v>
      </c>
      <c r="R89" s="4">
        <f t="shared" si="25"/>
        <v>550000</v>
      </c>
      <c r="S89" s="4">
        <v>2690.93</v>
      </c>
      <c r="T89" s="4">
        <f t="shared" si="26"/>
        <v>29600.23</v>
      </c>
      <c r="U89" s="4">
        <v>1861.92</v>
      </c>
      <c r="V89" s="4">
        <v>1300</v>
      </c>
    </row>
    <row r="90" spans="1:22" x14ac:dyDescent="0.35">
      <c r="A90" s="3">
        <v>31</v>
      </c>
      <c r="B90" s="2">
        <v>45924</v>
      </c>
      <c r="C90" s="4"/>
      <c r="D90" s="18"/>
      <c r="E90" s="4">
        <f t="shared" si="27"/>
        <v>4682</v>
      </c>
      <c r="F90" s="4">
        <v>0</v>
      </c>
      <c r="G90" s="14">
        <f t="shared" si="28"/>
        <v>0</v>
      </c>
      <c r="H90" s="4"/>
      <c r="I90" s="4">
        <f t="shared" si="20"/>
        <v>4682</v>
      </c>
      <c r="J90" s="4">
        <v>141</v>
      </c>
      <c r="K90" s="4">
        <f t="shared" si="21"/>
        <v>4230</v>
      </c>
      <c r="L90" s="4">
        <v>0</v>
      </c>
      <c r="M90" s="4">
        <v>0</v>
      </c>
      <c r="N90" s="4">
        <f t="shared" si="29"/>
        <v>4230</v>
      </c>
      <c r="O90" s="14">
        <f t="shared" si="23"/>
        <v>0.90346005980350275</v>
      </c>
      <c r="P90" s="4">
        <v>11</v>
      </c>
      <c r="Q90" s="4">
        <f t="shared" si="24"/>
        <v>550</v>
      </c>
      <c r="R90" s="4">
        <f t="shared" si="25"/>
        <v>550000</v>
      </c>
      <c r="S90" s="4">
        <v>2690.93</v>
      </c>
      <c r="T90" s="4">
        <f t="shared" si="26"/>
        <v>29600.23</v>
      </c>
      <c r="U90" s="4">
        <v>1861.92</v>
      </c>
      <c r="V90" s="4">
        <v>1400</v>
      </c>
    </row>
    <row r="91" spans="1:22" x14ac:dyDescent="0.35">
      <c r="A91" s="3">
        <v>31</v>
      </c>
      <c r="B91" s="2">
        <v>45925</v>
      </c>
      <c r="C91" s="4"/>
      <c r="D91" s="18"/>
      <c r="E91" s="4">
        <f t="shared" si="27"/>
        <v>4682</v>
      </c>
      <c r="F91" s="4">
        <v>1</v>
      </c>
      <c r="G91" s="14">
        <f t="shared" si="28"/>
        <v>2.1358393848782572E-4</v>
      </c>
      <c r="H91" s="4"/>
      <c r="I91" s="4">
        <f t="shared" si="20"/>
        <v>4681</v>
      </c>
      <c r="J91" s="4">
        <v>141</v>
      </c>
      <c r="K91" s="4">
        <f t="shared" si="21"/>
        <v>4230</v>
      </c>
      <c r="L91" s="4">
        <v>0</v>
      </c>
      <c r="M91" s="4">
        <v>0</v>
      </c>
      <c r="N91" s="4">
        <f t="shared" si="29"/>
        <v>4230</v>
      </c>
      <c r="O91" s="14">
        <f t="shared" si="23"/>
        <v>0.90346005980350275</v>
      </c>
      <c r="P91" s="4">
        <v>11</v>
      </c>
      <c r="Q91" s="4">
        <f t="shared" si="24"/>
        <v>550</v>
      </c>
      <c r="R91" s="4">
        <f t="shared" si="25"/>
        <v>550000</v>
      </c>
      <c r="S91" s="4">
        <v>2690.93</v>
      </c>
      <c r="T91" s="4">
        <f t="shared" si="26"/>
        <v>29600.23</v>
      </c>
      <c r="U91" s="4">
        <v>1861.92</v>
      </c>
      <c r="V91" s="4">
        <v>1300</v>
      </c>
    </row>
    <row r="92" spans="1:22" x14ac:dyDescent="0.35">
      <c r="A92" s="3">
        <v>31</v>
      </c>
      <c r="B92" s="2">
        <v>45926</v>
      </c>
      <c r="C92" s="4"/>
      <c r="D92" s="18"/>
      <c r="E92" s="4">
        <f t="shared" si="27"/>
        <v>4681</v>
      </c>
      <c r="F92" s="4">
        <v>1</v>
      </c>
      <c r="G92" s="14">
        <f t="shared" si="28"/>
        <v>2.1362956633198035E-4</v>
      </c>
      <c r="H92" s="4"/>
      <c r="I92" s="4">
        <f t="shared" si="20"/>
        <v>4680</v>
      </c>
      <c r="J92" s="4">
        <v>143</v>
      </c>
      <c r="K92" s="4">
        <f t="shared" si="21"/>
        <v>4290</v>
      </c>
      <c r="L92" s="4">
        <v>0</v>
      </c>
      <c r="M92" s="4">
        <v>0</v>
      </c>
      <c r="N92" s="4">
        <f t="shared" si="29"/>
        <v>4290</v>
      </c>
      <c r="O92" s="14">
        <f t="shared" si="23"/>
        <v>0.91647083956419573</v>
      </c>
      <c r="P92" s="4">
        <v>11</v>
      </c>
      <c r="Q92" s="4">
        <f t="shared" si="24"/>
        <v>550</v>
      </c>
      <c r="R92" s="4">
        <f t="shared" si="25"/>
        <v>550000</v>
      </c>
      <c r="S92" s="4">
        <v>2690.93</v>
      </c>
      <c r="T92" s="4">
        <f t="shared" si="26"/>
        <v>29600.23</v>
      </c>
      <c r="U92" s="4">
        <v>1861.92</v>
      </c>
      <c r="V92" s="4">
        <v>1100</v>
      </c>
    </row>
    <row r="93" spans="1:22" x14ac:dyDescent="0.35">
      <c r="A93" s="3">
        <v>31</v>
      </c>
      <c r="B93" s="2">
        <v>45927</v>
      </c>
      <c r="C93" s="4"/>
      <c r="D93" s="18"/>
      <c r="E93" s="4">
        <f t="shared" si="27"/>
        <v>4680</v>
      </c>
      <c r="F93" s="4">
        <v>1</v>
      </c>
      <c r="G93" s="14">
        <f t="shared" si="28"/>
        <v>2.1367521367521368E-4</v>
      </c>
      <c r="H93" s="4"/>
      <c r="I93" s="4">
        <f t="shared" si="20"/>
        <v>4679</v>
      </c>
      <c r="J93" s="4">
        <v>144</v>
      </c>
      <c r="K93" s="4">
        <f t="shared" si="21"/>
        <v>4320</v>
      </c>
      <c r="L93" s="4">
        <v>0</v>
      </c>
      <c r="M93" s="4">
        <v>0</v>
      </c>
      <c r="N93" s="4">
        <f t="shared" si="29"/>
        <v>4320</v>
      </c>
      <c r="O93" s="14">
        <f t="shared" si="23"/>
        <v>0.92307692307692313</v>
      </c>
      <c r="P93" s="4">
        <v>11</v>
      </c>
      <c r="Q93" s="4">
        <f t="shared" si="24"/>
        <v>550</v>
      </c>
      <c r="R93" s="4">
        <f t="shared" si="25"/>
        <v>550000</v>
      </c>
      <c r="S93" s="4">
        <v>2690.93</v>
      </c>
      <c r="T93" s="4">
        <f t="shared" si="26"/>
        <v>29600.23</v>
      </c>
      <c r="U93" s="4">
        <v>1861.92</v>
      </c>
      <c r="V93" s="4">
        <v>1100</v>
      </c>
    </row>
    <row r="94" spans="1:22" x14ac:dyDescent="0.35">
      <c r="A94" s="3">
        <v>31</v>
      </c>
      <c r="B94" s="2">
        <v>45928</v>
      </c>
      <c r="C94" s="4"/>
      <c r="D94" s="18"/>
      <c r="E94" s="4">
        <f t="shared" si="27"/>
        <v>4679</v>
      </c>
      <c r="F94" s="4">
        <v>0</v>
      </c>
      <c r="G94" s="14">
        <f t="shared" si="28"/>
        <v>0</v>
      </c>
      <c r="H94" s="4"/>
      <c r="I94" s="4">
        <f t="shared" si="20"/>
        <v>4679</v>
      </c>
      <c r="J94" s="4">
        <v>143</v>
      </c>
      <c r="K94" s="4">
        <f t="shared" si="21"/>
        <v>4290</v>
      </c>
      <c r="L94" s="4">
        <v>0</v>
      </c>
      <c r="M94" s="4">
        <v>0</v>
      </c>
      <c r="N94" s="4">
        <f t="shared" si="29"/>
        <v>4290</v>
      </c>
      <c r="O94" s="14">
        <f t="shared" si="23"/>
        <v>0.91686257747381916</v>
      </c>
      <c r="P94" s="4">
        <v>11</v>
      </c>
      <c r="Q94" s="4">
        <f t="shared" si="24"/>
        <v>550</v>
      </c>
      <c r="R94" s="4">
        <f t="shared" si="25"/>
        <v>550000</v>
      </c>
      <c r="S94" s="4">
        <v>2690.93</v>
      </c>
      <c r="T94" s="4">
        <f t="shared" si="26"/>
        <v>29600.23</v>
      </c>
      <c r="U94" s="4">
        <v>1861.92</v>
      </c>
      <c r="V94" s="4">
        <v>1200</v>
      </c>
    </row>
    <row r="95" spans="1:22" x14ac:dyDescent="0.35">
      <c r="A95" s="3">
        <v>32</v>
      </c>
      <c r="B95" s="2">
        <v>45929</v>
      </c>
      <c r="C95" s="4"/>
      <c r="D95" s="18"/>
      <c r="E95" s="4">
        <f t="shared" si="27"/>
        <v>4679</v>
      </c>
      <c r="F95" s="4">
        <v>1</v>
      </c>
      <c r="G95" s="14">
        <f t="shared" si="28"/>
        <v>2.1372088053002778E-4</v>
      </c>
      <c r="H95" s="4"/>
      <c r="I95" s="4">
        <f t="shared" si="20"/>
        <v>4678</v>
      </c>
      <c r="J95" s="4">
        <v>142</v>
      </c>
      <c r="K95" s="4">
        <f t="shared" si="21"/>
        <v>4260</v>
      </c>
      <c r="L95" s="4">
        <v>0</v>
      </c>
      <c r="M95" s="4">
        <v>0</v>
      </c>
      <c r="N95" s="4">
        <f t="shared" si="29"/>
        <v>4260</v>
      </c>
      <c r="O95" s="14">
        <f t="shared" si="23"/>
        <v>0.9104509510579184</v>
      </c>
      <c r="P95" s="4">
        <v>11</v>
      </c>
      <c r="Q95" s="4">
        <f t="shared" si="24"/>
        <v>550</v>
      </c>
      <c r="R95" s="4">
        <f t="shared" si="25"/>
        <v>550000</v>
      </c>
      <c r="S95" s="4">
        <v>2690.93</v>
      </c>
      <c r="T95" s="4">
        <f t="shared" si="26"/>
        <v>29600.23</v>
      </c>
      <c r="U95" s="4">
        <v>1861.92</v>
      </c>
      <c r="V95" s="4">
        <v>400</v>
      </c>
    </row>
    <row r="96" spans="1:22" x14ac:dyDescent="0.35">
      <c r="A96" s="3">
        <v>32</v>
      </c>
      <c r="B96" s="2">
        <v>45930</v>
      </c>
      <c r="C96" s="4"/>
      <c r="D96" s="18"/>
      <c r="E96" s="4">
        <f t="shared" si="27"/>
        <v>4678</v>
      </c>
      <c r="F96" s="4">
        <v>1</v>
      </c>
      <c r="G96" s="14">
        <f t="shared" si="28"/>
        <v>2.1376656690893543E-4</v>
      </c>
      <c r="H96" s="4"/>
      <c r="I96" s="4">
        <f t="shared" si="20"/>
        <v>4677</v>
      </c>
      <c r="J96" s="4">
        <v>142</v>
      </c>
      <c r="K96" s="4">
        <f t="shared" si="21"/>
        <v>4260</v>
      </c>
      <c r="L96" s="4">
        <v>0</v>
      </c>
      <c r="M96" s="4">
        <v>0</v>
      </c>
      <c r="N96" s="4">
        <f t="shared" si="29"/>
        <v>4260</v>
      </c>
      <c r="O96" s="14">
        <f t="shared" si="23"/>
        <v>0.910645575032065</v>
      </c>
      <c r="P96" s="4">
        <v>11</v>
      </c>
      <c r="Q96" s="4">
        <f t="shared" si="24"/>
        <v>550</v>
      </c>
      <c r="R96" s="4">
        <f t="shared" si="25"/>
        <v>550000</v>
      </c>
      <c r="S96" s="4">
        <v>2676.09</v>
      </c>
      <c r="T96" s="4">
        <f t="shared" si="26"/>
        <v>29436.99</v>
      </c>
      <c r="U96" s="4">
        <v>1861.92</v>
      </c>
      <c r="V96" s="4">
        <v>2300</v>
      </c>
    </row>
    <row r="97" spans="1:22" x14ac:dyDescent="0.35">
      <c r="A97" s="28"/>
      <c r="B97" s="5"/>
      <c r="C97" s="16"/>
      <c r="D97" s="20"/>
      <c r="E97" s="16"/>
      <c r="F97" s="16">
        <f>SUM(F67:F96)</f>
        <v>42</v>
      </c>
      <c r="G97" s="15"/>
      <c r="H97" s="16"/>
      <c r="I97" s="16"/>
      <c r="J97" s="16"/>
      <c r="K97" s="16"/>
      <c r="L97" s="16"/>
      <c r="M97" s="16"/>
      <c r="N97" s="16"/>
      <c r="O97" s="15"/>
      <c r="P97" s="16"/>
      <c r="Q97" s="16"/>
      <c r="R97" s="16"/>
      <c r="S97" s="16"/>
      <c r="T97" s="16"/>
    </row>
    <row r="98" spans="1:22" x14ac:dyDescent="0.35">
      <c r="A98" s="3"/>
      <c r="B98" s="2"/>
      <c r="C98" s="4"/>
      <c r="D98" s="18"/>
      <c r="E98" s="4"/>
      <c r="F98" s="4"/>
      <c r="G98" s="14"/>
      <c r="H98" s="4"/>
      <c r="I98" s="4"/>
      <c r="J98" s="4"/>
      <c r="K98" s="4"/>
      <c r="L98" s="4"/>
      <c r="M98" s="4"/>
      <c r="N98" s="4"/>
      <c r="O98" s="14"/>
      <c r="P98" s="4"/>
      <c r="Q98" s="4"/>
      <c r="R98" s="4"/>
      <c r="S98" s="4"/>
      <c r="T98" s="4"/>
    </row>
    <row r="99" spans="1:22" x14ac:dyDescent="0.35">
      <c r="B99" s="37" t="s">
        <v>1</v>
      </c>
      <c r="C99" s="38" t="s">
        <v>19</v>
      </c>
      <c r="D99" s="38" t="s">
        <v>18</v>
      </c>
      <c r="E99" s="39" t="s">
        <v>2</v>
      </c>
      <c r="F99" s="40" t="s">
        <v>3</v>
      </c>
      <c r="G99" s="41" t="s">
        <v>4</v>
      </c>
      <c r="H99" s="40" t="s">
        <v>5</v>
      </c>
      <c r="I99" s="42" t="s">
        <v>6</v>
      </c>
      <c r="J99" s="43" t="s">
        <v>7</v>
      </c>
      <c r="K99" s="40" t="s">
        <v>8</v>
      </c>
      <c r="L99" s="40" t="s">
        <v>9</v>
      </c>
      <c r="M99" s="40" t="s">
        <v>10</v>
      </c>
      <c r="N99" s="40" t="s">
        <v>11</v>
      </c>
      <c r="O99" s="44" t="s">
        <v>12</v>
      </c>
      <c r="P99" s="43" t="s">
        <v>13</v>
      </c>
      <c r="Q99" s="40" t="s">
        <v>14</v>
      </c>
      <c r="R99" s="45" t="s">
        <v>15</v>
      </c>
      <c r="S99" s="46" t="s">
        <v>16</v>
      </c>
      <c r="T99" s="47" t="s">
        <v>17</v>
      </c>
      <c r="U99" s="48" t="s">
        <v>21</v>
      </c>
      <c r="V99" s="48" t="s">
        <v>23</v>
      </c>
    </row>
    <row r="100" spans="1:22" x14ac:dyDescent="0.35">
      <c r="A100" s="3">
        <v>32</v>
      </c>
      <c r="B100" s="2">
        <v>45931</v>
      </c>
      <c r="C100" s="18"/>
      <c r="D100" s="18"/>
      <c r="E100" s="4">
        <v>4677</v>
      </c>
      <c r="F100" s="4">
        <v>2</v>
      </c>
      <c r="G100" s="14">
        <f t="shared" ref="G100:G130" si="30">F100/E100</f>
        <v>4.2762454564892024E-4</v>
      </c>
      <c r="H100" s="4"/>
      <c r="I100" s="4">
        <f t="shared" ref="I100:I130" si="31">E100-F100-H100</f>
        <v>4675</v>
      </c>
      <c r="J100" s="4">
        <v>142</v>
      </c>
      <c r="K100" s="4">
        <f t="shared" ref="K100:K130" si="32">J100*30</f>
        <v>4260</v>
      </c>
      <c r="L100" s="4">
        <v>0</v>
      </c>
      <c r="M100" s="4">
        <v>0</v>
      </c>
      <c r="N100" s="4">
        <f t="shared" ref="N100:N130" si="33">K100+L100-M100</f>
        <v>4260</v>
      </c>
      <c r="O100" s="14">
        <f t="shared" ref="O100:O130" si="34">N100/E100</f>
        <v>0.91084028223220015</v>
      </c>
      <c r="P100" s="4">
        <v>11</v>
      </c>
      <c r="Q100" s="4">
        <f t="shared" ref="Q100:Q130" si="35">P100*50</f>
        <v>550</v>
      </c>
      <c r="R100" s="4">
        <f t="shared" ref="R100:R130" si="36">Q100*1000</f>
        <v>550000</v>
      </c>
      <c r="S100" s="4">
        <v>2676.09</v>
      </c>
      <c r="T100" s="4">
        <f t="shared" ref="T100:T130" si="37">P100*S100</f>
        <v>29436.99</v>
      </c>
      <c r="U100" s="4">
        <v>1861.92</v>
      </c>
      <c r="V100" s="4">
        <v>1400</v>
      </c>
    </row>
    <row r="101" spans="1:22" x14ac:dyDescent="0.35">
      <c r="A101" s="3">
        <v>32</v>
      </c>
      <c r="B101" s="2">
        <v>45932</v>
      </c>
      <c r="C101" s="4"/>
      <c r="D101" s="18"/>
      <c r="E101" s="4">
        <f t="shared" ref="E101:E112" si="38">I100</f>
        <v>4675</v>
      </c>
      <c r="F101" s="4">
        <v>1</v>
      </c>
      <c r="G101" s="14">
        <f t="shared" si="30"/>
        <v>2.1390374331550801E-4</v>
      </c>
      <c r="H101" s="4"/>
      <c r="I101" s="4">
        <f t="shared" si="31"/>
        <v>4674</v>
      </c>
      <c r="J101" s="4">
        <v>142</v>
      </c>
      <c r="K101" s="4">
        <f t="shared" si="32"/>
        <v>4260</v>
      </c>
      <c r="L101" s="4">
        <v>0</v>
      </c>
      <c r="M101" s="4">
        <v>0</v>
      </c>
      <c r="N101" s="4">
        <f t="shared" si="33"/>
        <v>4260</v>
      </c>
      <c r="O101" s="14">
        <f t="shared" si="34"/>
        <v>0.91122994652406419</v>
      </c>
      <c r="P101" s="4">
        <v>11</v>
      </c>
      <c r="Q101" s="4">
        <f t="shared" si="35"/>
        <v>550</v>
      </c>
      <c r="R101" s="4">
        <f t="shared" si="36"/>
        <v>550000</v>
      </c>
      <c r="S101" s="4">
        <v>2676.09</v>
      </c>
      <c r="T101" s="4">
        <f t="shared" si="37"/>
        <v>29436.99</v>
      </c>
      <c r="U101" s="4">
        <v>1861.92</v>
      </c>
      <c r="V101" s="4">
        <v>1200</v>
      </c>
    </row>
    <row r="102" spans="1:22" x14ac:dyDescent="0.35">
      <c r="A102" s="3">
        <v>32</v>
      </c>
      <c r="B102" s="2">
        <v>45933</v>
      </c>
      <c r="C102" s="19"/>
      <c r="D102" s="19"/>
      <c r="E102" s="4">
        <f t="shared" si="38"/>
        <v>4674</v>
      </c>
      <c r="F102" s="49">
        <v>0</v>
      </c>
      <c r="G102" s="14">
        <f t="shared" si="30"/>
        <v>0</v>
      </c>
      <c r="H102" s="7"/>
      <c r="I102" s="4">
        <f t="shared" si="31"/>
        <v>4674</v>
      </c>
      <c r="J102" s="4">
        <v>142</v>
      </c>
      <c r="K102" s="4">
        <f t="shared" si="32"/>
        <v>4260</v>
      </c>
      <c r="L102" s="4">
        <v>0</v>
      </c>
      <c r="M102" s="4">
        <v>0</v>
      </c>
      <c r="N102" s="4">
        <f t="shared" si="33"/>
        <v>4260</v>
      </c>
      <c r="O102" s="14">
        <f t="shared" si="34"/>
        <v>0.91142490372272145</v>
      </c>
      <c r="P102" s="4">
        <v>11</v>
      </c>
      <c r="Q102" s="4">
        <f t="shared" si="35"/>
        <v>550</v>
      </c>
      <c r="R102" s="4">
        <f t="shared" si="36"/>
        <v>550000</v>
      </c>
      <c r="S102" s="4">
        <v>2676.09</v>
      </c>
      <c r="T102" s="4">
        <f t="shared" si="37"/>
        <v>29436.99</v>
      </c>
      <c r="U102" s="4">
        <v>1861.92</v>
      </c>
      <c r="V102" s="4">
        <v>1300</v>
      </c>
    </row>
    <row r="103" spans="1:22" x14ac:dyDescent="0.35">
      <c r="A103" s="3">
        <v>32</v>
      </c>
      <c r="B103" s="2">
        <v>45934</v>
      </c>
      <c r="C103" s="4"/>
      <c r="D103" s="18"/>
      <c r="E103" s="4">
        <f t="shared" si="38"/>
        <v>4674</v>
      </c>
      <c r="F103" s="4">
        <v>0</v>
      </c>
      <c r="G103" s="14">
        <f t="shared" si="30"/>
        <v>0</v>
      </c>
      <c r="H103" s="4"/>
      <c r="I103" s="4">
        <f t="shared" si="31"/>
        <v>4674</v>
      </c>
      <c r="J103" s="4">
        <v>143</v>
      </c>
      <c r="K103" s="4">
        <f t="shared" si="32"/>
        <v>4290</v>
      </c>
      <c r="L103" s="4">
        <v>0</v>
      </c>
      <c r="M103" s="4">
        <v>0</v>
      </c>
      <c r="N103" s="4">
        <f t="shared" si="33"/>
        <v>4290</v>
      </c>
      <c r="O103" s="14">
        <f t="shared" si="34"/>
        <v>0.91784338896020534</v>
      </c>
      <c r="P103" s="4">
        <v>11</v>
      </c>
      <c r="Q103" s="4">
        <f t="shared" si="35"/>
        <v>550</v>
      </c>
      <c r="R103" s="4">
        <f t="shared" si="36"/>
        <v>550000</v>
      </c>
      <c r="S103" s="4">
        <v>2676.09</v>
      </c>
      <c r="T103" s="4">
        <f t="shared" si="37"/>
        <v>29436.99</v>
      </c>
      <c r="U103" s="4">
        <v>1861.92</v>
      </c>
      <c r="V103" s="4">
        <v>1300</v>
      </c>
    </row>
    <row r="104" spans="1:22" x14ac:dyDescent="0.35">
      <c r="A104" s="3">
        <v>32</v>
      </c>
      <c r="B104" s="2">
        <v>45935</v>
      </c>
      <c r="C104" s="4"/>
      <c r="D104" s="18"/>
      <c r="E104" s="4">
        <f t="shared" si="38"/>
        <v>4674</v>
      </c>
      <c r="F104" s="4">
        <v>1</v>
      </c>
      <c r="G104" s="14">
        <f t="shared" si="30"/>
        <v>2.139495079161318E-4</v>
      </c>
      <c r="H104" s="4"/>
      <c r="I104" s="4">
        <f t="shared" si="31"/>
        <v>4673</v>
      </c>
      <c r="J104" s="4">
        <v>142</v>
      </c>
      <c r="K104" s="4">
        <f t="shared" si="32"/>
        <v>4260</v>
      </c>
      <c r="L104" s="4">
        <v>0</v>
      </c>
      <c r="M104" s="4">
        <v>0</v>
      </c>
      <c r="N104" s="4">
        <f t="shared" si="33"/>
        <v>4260</v>
      </c>
      <c r="O104" s="14">
        <f t="shared" si="34"/>
        <v>0.91142490372272145</v>
      </c>
      <c r="P104" s="4">
        <v>11</v>
      </c>
      <c r="Q104" s="4">
        <f t="shared" si="35"/>
        <v>550</v>
      </c>
      <c r="R104" s="4">
        <f t="shared" si="36"/>
        <v>550000</v>
      </c>
      <c r="S104" s="4">
        <v>2568.1799999999998</v>
      </c>
      <c r="T104" s="4">
        <f t="shared" si="37"/>
        <v>28249.98</v>
      </c>
      <c r="U104" s="4">
        <v>1861.92</v>
      </c>
      <c r="V104" s="4">
        <v>1100</v>
      </c>
    </row>
    <row r="105" spans="1:22" x14ac:dyDescent="0.35">
      <c r="A105" s="3">
        <v>32</v>
      </c>
      <c r="B105" s="2">
        <v>45936</v>
      </c>
      <c r="C105" s="4"/>
      <c r="D105" s="18"/>
      <c r="E105" s="4">
        <f t="shared" si="38"/>
        <v>4673</v>
      </c>
      <c r="F105" s="4">
        <v>2</v>
      </c>
      <c r="G105" s="14">
        <f t="shared" si="30"/>
        <v>4.2799058420714745E-4</v>
      </c>
      <c r="H105" s="4"/>
      <c r="I105" s="4">
        <f t="shared" si="31"/>
        <v>4671</v>
      </c>
      <c r="J105" s="4">
        <v>142</v>
      </c>
      <c r="K105" s="4">
        <f t="shared" si="32"/>
        <v>4260</v>
      </c>
      <c r="L105" s="4">
        <v>0</v>
      </c>
      <c r="M105" s="4">
        <v>0</v>
      </c>
      <c r="N105" s="4">
        <f t="shared" si="33"/>
        <v>4260</v>
      </c>
      <c r="O105" s="14">
        <f t="shared" si="34"/>
        <v>0.91161994436122407</v>
      </c>
      <c r="P105" s="4">
        <v>11</v>
      </c>
      <c r="Q105" s="4">
        <f t="shared" si="35"/>
        <v>550</v>
      </c>
      <c r="R105" s="4">
        <f t="shared" si="36"/>
        <v>550000</v>
      </c>
      <c r="S105" s="4">
        <v>2568.1799999999998</v>
      </c>
      <c r="T105" s="4">
        <f t="shared" si="37"/>
        <v>28249.98</v>
      </c>
      <c r="U105" s="4">
        <v>1861.92</v>
      </c>
      <c r="V105" s="4">
        <v>1100</v>
      </c>
    </row>
    <row r="106" spans="1:22" x14ac:dyDescent="0.35">
      <c r="A106" s="3">
        <v>33</v>
      </c>
      <c r="B106" s="2">
        <v>45937</v>
      </c>
      <c r="C106" s="4"/>
      <c r="D106" s="18"/>
      <c r="E106" s="4">
        <f t="shared" si="38"/>
        <v>4671</v>
      </c>
      <c r="F106" s="4">
        <v>1</v>
      </c>
      <c r="G106" s="14">
        <f t="shared" si="30"/>
        <v>2.1408691928923143E-4</v>
      </c>
      <c r="H106" s="4"/>
      <c r="I106" s="4">
        <f t="shared" si="31"/>
        <v>4670</v>
      </c>
      <c r="J106" s="4">
        <v>142</v>
      </c>
      <c r="K106" s="4">
        <f t="shared" si="32"/>
        <v>4260</v>
      </c>
      <c r="L106" s="4">
        <v>0</v>
      </c>
      <c r="M106" s="4">
        <v>0</v>
      </c>
      <c r="N106" s="4">
        <f t="shared" si="33"/>
        <v>4260</v>
      </c>
      <c r="O106" s="14">
        <f t="shared" si="34"/>
        <v>0.91201027617212593</v>
      </c>
      <c r="P106" s="4">
        <v>11</v>
      </c>
      <c r="Q106" s="4">
        <f t="shared" si="35"/>
        <v>550</v>
      </c>
      <c r="R106" s="4">
        <f t="shared" si="36"/>
        <v>550000</v>
      </c>
      <c r="S106" s="4">
        <v>2568.1799999999998</v>
      </c>
      <c r="T106" s="4">
        <f t="shared" si="37"/>
        <v>28249.98</v>
      </c>
      <c r="U106" s="4">
        <v>1861.92</v>
      </c>
      <c r="V106" s="4">
        <v>1200</v>
      </c>
    </row>
    <row r="107" spans="1:22" x14ac:dyDescent="0.35">
      <c r="A107" s="3">
        <v>33</v>
      </c>
      <c r="B107" s="2">
        <v>45938</v>
      </c>
      <c r="C107" s="4"/>
      <c r="D107" s="18"/>
      <c r="E107" s="4">
        <f t="shared" si="38"/>
        <v>4670</v>
      </c>
      <c r="F107" s="4">
        <v>1</v>
      </c>
      <c r="G107" s="14">
        <f t="shared" si="30"/>
        <v>2.1413276231263382E-4</v>
      </c>
      <c r="H107" s="4"/>
      <c r="I107" s="4">
        <f t="shared" si="31"/>
        <v>4669</v>
      </c>
      <c r="J107" s="4">
        <v>143</v>
      </c>
      <c r="K107" s="4">
        <f t="shared" si="32"/>
        <v>4290</v>
      </c>
      <c r="L107" s="4">
        <v>0</v>
      </c>
      <c r="M107" s="4">
        <v>0</v>
      </c>
      <c r="N107" s="4">
        <f t="shared" si="33"/>
        <v>4290</v>
      </c>
      <c r="O107" s="14">
        <f t="shared" si="34"/>
        <v>0.9186295503211992</v>
      </c>
      <c r="P107" s="4">
        <v>11</v>
      </c>
      <c r="Q107" s="4">
        <f t="shared" si="35"/>
        <v>550</v>
      </c>
      <c r="R107" s="4">
        <f t="shared" si="36"/>
        <v>550000</v>
      </c>
      <c r="S107" s="4">
        <v>2568.1799999999998</v>
      </c>
      <c r="T107" s="4">
        <f t="shared" si="37"/>
        <v>28249.98</v>
      </c>
      <c r="U107" s="4">
        <v>1861.92</v>
      </c>
      <c r="V107" s="4">
        <v>1300</v>
      </c>
    </row>
    <row r="108" spans="1:22" x14ac:dyDescent="0.35">
      <c r="A108" s="3">
        <v>33</v>
      </c>
      <c r="B108" s="2">
        <v>45939</v>
      </c>
      <c r="C108" s="4"/>
      <c r="D108" s="18"/>
      <c r="E108" s="4">
        <f t="shared" si="38"/>
        <v>4669</v>
      </c>
      <c r="F108" s="4">
        <v>1</v>
      </c>
      <c r="G108" s="14">
        <f t="shared" si="30"/>
        <v>2.1417862497322766E-4</v>
      </c>
      <c r="H108" s="4"/>
      <c r="I108" s="4">
        <f t="shared" si="31"/>
        <v>4668</v>
      </c>
      <c r="J108" s="4">
        <v>142</v>
      </c>
      <c r="K108" s="4">
        <f t="shared" si="32"/>
        <v>4260</v>
      </c>
      <c r="L108" s="4">
        <v>0</v>
      </c>
      <c r="M108" s="4">
        <v>0</v>
      </c>
      <c r="N108" s="4">
        <f t="shared" si="33"/>
        <v>4260</v>
      </c>
      <c r="O108" s="14">
        <f t="shared" si="34"/>
        <v>0.91240094238594993</v>
      </c>
      <c r="P108" s="4">
        <v>11</v>
      </c>
      <c r="Q108" s="4">
        <f t="shared" si="35"/>
        <v>550</v>
      </c>
      <c r="R108" s="4">
        <f t="shared" si="36"/>
        <v>550000</v>
      </c>
      <c r="S108" s="4">
        <v>2568.1799999999998</v>
      </c>
      <c r="T108" s="4">
        <f t="shared" si="37"/>
        <v>28249.98</v>
      </c>
      <c r="U108" s="4">
        <v>1861.92</v>
      </c>
      <c r="V108" s="4">
        <v>1100</v>
      </c>
    </row>
    <row r="109" spans="1:22" x14ac:dyDescent="0.35">
      <c r="A109" s="3">
        <v>33</v>
      </c>
      <c r="B109" s="2">
        <v>45940</v>
      </c>
      <c r="C109" s="4"/>
      <c r="D109" s="18"/>
      <c r="E109" s="4">
        <f t="shared" si="38"/>
        <v>4668</v>
      </c>
      <c r="F109" s="4">
        <v>2</v>
      </c>
      <c r="G109" s="14">
        <f t="shared" si="30"/>
        <v>4.2844901456726652E-4</v>
      </c>
      <c r="H109" s="4"/>
      <c r="I109" s="4">
        <f t="shared" si="31"/>
        <v>4666</v>
      </c>
      <c r="J109" s="4">
        <v>141</v>
      </c>
      <c r="K109" s="4">
        <f t="shared" si="32"/>
        <v>4230</v>
      </c>
      <c r="L109" s="4">
        <v>0</v>
      </c>
      <c r="M109" s="4">
        <v>0</v>
      </c>
      <c r="N109" s="4">
        <f t="shared" si="33"/>
        <v>4230</v>
      </c>
      <c r="O109" s="14">
        <f t="shared" si="34"/>
        <v>0.90616966580976865</v>
      </c>
      <c r="P109" s="4">
        <v>11</v>
      </c>
      <c r="Q109" s="4">
        <f t="shared" si="35"/>
        <v>550</v>
      </c>
      <c r="R109" s="4">
        <f t="shared" si="36"/>
        <v>550000</v>
      </c>
      <c r="S109" s="4">
        <v>2568.1799999999998</v>
      </c>
      <c r="T109" s="4">
        <f t="shared" si="37"/>
        <v>28249.98</v>
      </c>
      <c r="U109" s="4">
        <v>1861.92</v>
      </c>
      <c r="V109" s="4">
        <v>1400</v>
      </c>
    </row>
    <row r="110" spans="1:22" x14ac:dyDescent="0.35">
      <c r="A110" s="3">
        <v>33</v>
      </c>
      <c r="B110" s="2">
        <v>45941</v>
      </c>
      <c r="C110" s="4"/>
      <c r="D110" s="18"/>
      <c r="E110" s="4">
        <f t="shared" si="38"/>
        <v>4666</v>
      </c>
      <c r="F110" s="4">
        <v>2</v>
      </c>
      <c r="G110" s="14">
        <f t="shared" si="30"/>
        <v>4.2863266180882982E-4</v>
      </c>
      <c r="H110" s="4"/>
      <c r="I110" s="4">
        <f t="shared" si="31"/>
        <v>4664</v>
      </c>
      <c r="J110" s="4">
        <v>140</v>
      </c>
      <c r="K110" s="4">
        <f t="shared" si="32"/>
        <v>4200</v>
      </c>
      <c r="L110" s="4">
        <v>0</v>
      </c>
      <c r="M110" s="4">
        <v>0</v>
      </c>
      <c r="N110" s="4">
        <f t="shared" si="33"/>
        <v>4200</v>
      </c>
      <c r="O110" s="14">
        <f t="shared" si="34"/>
        <v>0.9001285897985426</v>
      </c>
      <c r="P110" s="4">
        <v>11</v>
      </c>
      <c r="Q110" s="4">
        <f t="shared" si="35"/>
        <v>550</v>
      </c>
      <c r="R110" s="4">
        <f t="shared" si="36"/>
        <v>550000</v>
      </c>
      <c r="S110" s="4">
        <v>2568.1799999999998</v>
      </c>
      <c r="T110" s="4">
        <f t="shared" si="37"/>
        <v>28249.98</v>
      </c>
      <c r="U110" s="4">
        <v>1861.92</v>
      </c>
      <c r="V110" s="4">
        <v>1300</v>
      </c>
    </row>
    <row r="111" spans="1:22" x14ac:dyDescent="0.35">
      <c r="A111" s="3">
        <v>33</v>
      </c>
      <c r="B111" s="2">
        <v>45942</v>
      </c>
      <c r="C111" s="4"/>
      <c r="D111" s="18"/>
      <c r="E111" s="4">
        <f t="shared" si="38"/>
        <v>4664</v>
      </c>
      <c r="F111" s="4">
        <v>2</v>
      </c>
      <c r="G111" s="14">
        <f t="shared" si="30"/>
        <v>4.288164665523156E-4</v>
      </c>
      <c r="H111" s="4"/>
      <c r="I111" s="4">
        <f t="shared" si="31"/>
        <v>4662</v>
      </c>
      <c r="J111" s="4">
        <v>138</v>
      </c>
      <c r="K111" s="4">
        <f t="shared" si="32"/>
        <v>4140</v>
      </c>
      <c r="L111" s="4">
        <v>0</v>
      </c>
      <c r="M111" s="4">
        <v>0</v>
      </c>
      <c r="N111" s="4">
        <f t="shared" si="33"/>
        <v>4140</v>
      </c>
      <c r="O111" s="14">
        <f t="shared" si="34"/>
        <v>0.8876500857632933</v>
      </c>
      <c r="P111" s="4">
        <v>11</v>
      </c>
      <c r="Q111" s="4">
        <f t="shared" si="35"/>
        <v>550</v>
      </c>
      <c r="R111" s="4">
        <f t="shared" si="36"/>
        <v>550000</v>
      </c>
      <c r="S111" s="4">
        <v>2568.1799999999998</v>
      </c>
      <c r="T111" s="4">
        <f t="shared" si="37"/>
        <v>28249.98</v>
      </c>
      <c r="U111" s="4">
        <v>1861.92</v>
      </c>
      <c r="V111" s="4">
        <v>1300</v>
      </c>
    </row>
    <row r="112" spans="1:22" x14ac:dyDescent="0.35">
      <c r="A112" s="3">
        <v>33</v>
      </c>
      <c r="B112" s="2">
        <v>45943</v>
      </c>
      <c r="C112" s="4"/>
      <c r="D112" s="18"/>
      <c r="E112" s="4">
        <f t="shared" si="38"/>
        <v>4662</v>
      </c>
      <c r="F112" s="4">
        <v>2</v>
      </c>
      <c r="G112" s="14">
        <f t="shared" si="30"/>
        <v>4.29000429000429E-4</v>
      </c>
      <c r="H112" s="4"/>
      <c r="I112" s="4">
        <f t="shared" si="31"/>
        <v>4660</v>
      </c>
      <c r="J112" s="4">
        <v>138</v>
      </c>
      <c r="K112" s="4">
        <f t="shared" si="32"/>
        <v>4140</v>
      </c>
      <c r="L112" s="4">
        <v>0</v>
      </c>
      <c r="M112" s="4">
        <v>0</v>
      </c>
      <c r="N112" s="4">
        <f t="shared" si="33"/>
        <v>4140</v>
      </c>
      <c r="O112" s="14">
        <f t="shared" si="34"/>
        <v>0.88803088803088803</v>
      </c>
      <c r="P112" s="4">
        <v>11</v>
      </c>
      <c r="Q112" s="4">
        <f t="shared" si="35"/>
        <v>550</v>
      </c>
      <c r="R112" s="4">
        <f t="shared" si="36"/>
        <v>550000</v>
      </c>
      <c r="S112" s="4">
        <v>2568.1799999999998</v>
      </c>
      <c r="T112" s="4">
        <f t="shared" si="37"/>
        <v>28249.98</v>
      </c>
      <c r="U112" s="4">
        <v>1861.92</v>
      </c>
      <c r="V112" s="4">
        <v>1200</v>
      </c>
    </row>
    <row r="113" spans="1:22" x14ac:dyDescent="0.35">
      <c r="A113" s="3">
        <v>34</v>
      </c>
      <c r="B113" s="2">
        <v>45944</v>
      </c>
      <c r="C113" s="4"/>
      <c r="D113" s="18"/>
      <c r="E113" s="4">
        <f>I112</f>
        <v>4660</v>
      </c>
      <c r="F113" s="4">
        <v>2</v>
      </c>
      <c r="G113" s="14">
        <f t="shared" si="30"/>
        <v>4.2918454935622315E-4</v>
      </c>
      <c r="H113" s="4"/>
      <c r="I113" s="4">
        <f t="shared" si="31"/>
        <v>4658</v>
      </c>
      <c r="J113" s="4">
        <v>136</v>
      </c>
      <c r="K113" s="4">
        <f t="shared" si="32"/>
        <v>4080</v>
      </c>
      <c r="L113" s="4">
        <v>2</v>
      </c>
      <c r="M113" s="4">
        <v>0</v>
      </c>
      <c r="N113" s="4">
        <f t="shared" si="33"/>
        <v>4082</v>
      </c>
      <c r="O113" s="14">
        <f t="shared" si="34"/>
        <v>0.87596566523605146</v>
      </c>
      <c r="P113" s="4">
        <v>11</v>
      </c>
      <c r="Q113" s="4">
        <f t="shared" si="35"/>
        <v>550</v>
      </c>
      <c r="R113" s="4">
        <f t="shared" si="36"/>
        <v>550000</v>
      </c>
      <c r="S113" s="4">
        <v>2568.1799999999998</v>
      </c>
      <c r="T113" s="4">
        <f t="shared" si="37"/>
        <v>28249.98</v>
      </c>
      <c r="U113" s="4">
        <v>1861.92</v>
      </c>
      <c r="V113" s="4">
        <v>1200</v>
      </c>
    </row>
    <row r="114" spans="1:22" x14ac:dyDescent="0.35">
      <c r="A114" s="3">
        <v>34</v>
      </c>
      <c r="B114" s="2">
        <v>45945</v>
      </c>
      <c r="C114" s="4"/>
      <c r="D114" s="18"/>
      <c r="E114" s="4">
        <f>I113</f>
        <v>4658</v>
      </c>
      <c r="F114" s="4">
        <v>1</v>
      </c>
      <c r="G114" s="14">
        <f t="shared" si="30"/>
        <v>2.1468441391155003E-4</v>
      </c>
      <c r="H114" s="4"/>
      <c r="I114" s="4">
        <f t="shared" si="31"/>
        <v>4657</v>
      </c>
      <c r="J114" s="4">
        <v>133</v>
      </c>
      <c r="K114" s="4">
        <f t="shared" si="32"/>
        <v>3990</v>
      </c>
      <c r="L114" s="4">
        <v>2</v>
      </c>
      <c r="M114" s="4">
        <v>0</v>
      </c>
      <c r="N114" s="4">
        <f t="shared" si="33"/>
        <v>3992</v>
      </c>
      <c r="O114" s="14">
        <f t="shared" si="34"/>
        <v>0.85702018033490768</v>
      </c>
      <c r="P114" s="4">
        <v>11</v>
      </c>
      <c r="Q114" s="4">
        <f t="shared" si="35"/>
        <v>550</v>
      </c>
      <c r="R114" s="4">
        <f t="shared" si="36"/>
        <v>550000</v>
      </c>
      <c r="S114" s="4">
        <v>2568.1799999999998</v>
      </c>
      <c r="T114" s="4">
        <f t="shared" si="37"/>
        <v>28249.98</v>
      </c>
      <c r="U114" s="4">
        <v>1861.92</v>
      </c>
      <c r="V114" s="4">
        <v>1300</v>
      </c>
    </row>
    <row r="115" spans="1:22" x14ac:dyDescent="0.35">
      <c r="A115" s="3">
        <v>34</v>
      </c>
      <c r="B115" s="2">
        <v>45946</v>
      </c>
      <c r="C115" s="4"/>
      <c r="D115" s="18"/>
      <c r="E115" s="4">
        <f>I114</f>
        <v>4657</v>
      </c>
      <c r="F115" s="4">
        <v>0</v>
      </c>
      <c r="G115" s="14">
        <f t="shared" si="30"/>
        <v>0</v>
      </c>
      <c r="H115" s="4"/>
      <c r="I115" s="4">
        <f t="shared" si="31"/>
        <v>4657</v>
      </c>
      <c r="J115" s="4">
        <v>130</v>
      </c>
      <c r="K115" s="4">
        <f t="shared" si="32"/>
        <v>3900</v>
      </c>
      <c r="L115" s="4">
        <v>2</v>
      </c>
      <c r="M115" s="4">
        <v>0</v>
      </c>
      <c r="N115" s="4">
        <f t="shared" si="33"/>
        <v>3902</v>
      </c>
      <c r="O115" s="14">
        <f t="shared" si="34"/>
        <v>0.83787846252952547</v>
      </c>
      <c r="P115" s="4">
        <v>11</v>
      </c>
      <c r="Q115" s="4">
        <f t="shared" si="35"/>
        <v>550</v>
      </c>
      <c r="R115" s="4">
        <f t="shared" si="36"/>
        <v>550000</v>
      </c>
      <c r="S115" s="4">
        <v>2568.1799999999998</v>
      </c>
      <c r="T115" s="4">
        <f t="shared" si="37"/>
        <v>28249.98</v>
      </c>
      <c r="U115" s="4">
        <v>1861.92</v>
      </c>
      <c r="V115" s="4">
        <v>1200</v>
      </c>
    </row>
    <row r="116" spans="1:22" x14ac:dyDescent="0.35">
      <c r="A116" s="3">
        <v>34</v>
      </c>
      <c r="B116" s="2">
        <v>45947</v>
      </c>
      <c r="C116" s="4"/>
      <c r="D116" s="18"/>
      <c r="E116" s="4">
        <f>I115</f>
        <v>4657</v>
      </c>
      <c r="F116" s="4">
        <v>1</v>
      </c>
      <c r="G116" s="14">
        <f t="shared" si="30"/>
        <v>2.1473051320592657E-4</v>
      </c>
      <c r="H116" s="4"/>
      <c r="I116" s="4">
        <f t="shared" si="31"/>
        <v>4656</v>
      </c>
      <c r="J116" s="4">
        <v>130</v>
      </c>
      <c r="K116" s="4">
        <f t="shared" si="32"/>
        <v>3900</v>
      </c>
      <c r="L116" s="4">
        <v>2</v>
      </c>
      <c r="M116" s="4">
        <v>0</v>
      </c>
      <c r="N116" s="4">
        <f t="shared" si="33"/>
        <v>3902</v>
      </c>
      <c r="O116" s="14">
        <f t="shared" si="34"/>
        <v>0.83787846252952547</v>
      </c>
      <c r="P116" s="4">
        <v>11</v>
      </c>
      <c r="Q116" s="4">
        <f t="shared" si="35"/>
        <v>550</v>
      </c>
      <c r="R116" s="4">
        <f t="shared" si="36"/>
        <v>550000</v>
      </c>
      <c r="S116" s="4">
        <v>2568.1799999999998</v>
      </c>
      <c r="T116" s="4">
        <f t="shared" si="37"/>
        <v>28249.98</v>
      </c>
      <c r="U116" s="4">
        <v>1861.92</v>
      </c>
      <c r="V116" s="4">
        <v>1100</v>
      </c>
    </row>
    <row r="117" spans="1:22" x14ac:dyDescent="0.35">
      <c r="A117" s="3">
        <v>34</v>
      </c>
      <c r="B117" s="2">
        <v>45948</v>
      </c>
      <c r="C117" s="4"/>
      <c r="D117" s="18"/>
      <c r="E117" s="4">
        <f t="shared" ref="E117:E130" si="39">I116</f>
        <v>4656</v>
      </c>
      <c r="F117" s="4">
        <v>1</v>
      </c>
      <c r="G117" s="14">
        <f t="shared" si="30"/>
        <v>2.1477663230240549E-4</v>
      </c>
      <c r="H117" s="4"/>
      <c r="I117" s="4">
        <f t="shared" si="31"/>
        <v>4655</v>
      </c>
      <c r="J117" s="4">
        <v>128</v>
      </c>
      <c r="K117" s="4">
        <f t="shared" si="32"/>
        <v>3840</v>
      </c>
      <c r="L117" s="4">
        <v>3</v>
      </c>
      <c r="M117" s="4">
        <v>0</v>
      </c>
      <c r="N117" s="4">
        <f t="shared" si="33"/>
        <v>3843</v>
      </c>
      <c r="O117" s="14">
        <f t="shared" si="34"/>
        <v>0.82538659793814428</v>
      </c>
      <c r="P117" s="4">
        <v>11</v>
      </c>
      <c r="Q117" s="4">
        <f t="shared" si="35"/>
        <v>550</v>
      </c>
      <c r="R117" s="4">
        <f t="shared" si="36"/>
        <v>550000</v>
      </c>
      <c r="S117" s="4">
        <v>2568.1799999999998</v>
      </c>
      <c r="T117" s="4">
        <f t="shared" si="37"/>
        <v>28249.98</v>
      </c>
      <c r="U117" s="4">
        <v>1861.92</v>
      </c>
      <c r="V117" s="4">
        <v>1000</v>
      </c>
    </row>
    <row r="118" spans="1:22" x14ac:dyDescent="0.35">
      <c r="A118" s="3">
        <v>34</v>
      </c>
      <c r="B118" s="2">
        <v>45949</v>
      </c>
      <c r="C118" s="4"/>
      <c r="D118" s="18"/>
      <c r="E118" s="4">
        <f t="shared" si="39"/>
        <v>4655</v>
      </c>
      <c r="F118" s="4">
        <v>0</v>
      </c>
      <c r="G118" s="14">
        <f t="shared" si="30"/>
        <v>0</v>
      </c>
      <c r="H118" s="4"/>
      <c r="I118" s="4">
        <f t="shared" si="31"/>
        <v>4655</v>
      </c>
      <c r="J118" s="4">
        <v>123</v>
      </c>
      <c r="K118" s="4">
        <f t="shared" si="32"/>
        <v>3690</v>
      </c>
      <c r="L118" s="4">
        <v>3</v>
      </c>
      <c r="M118" s="4">
        <v>0</v>
      </c>
      <c r="N118" s="4">
        <f t="shared" si="33"/>
        <v>3693</v>
      </c>
      <c r="O118" s="14">
        <f t="shared" si="34"/>
        <v>0.79334049409237384</v>
      </c>
      <c r="P118" s="4">
        <v>11</v>
      </c>
      <c r="Q118" s="4">
        <f t="shared" si="35"/>
        <v>550</v>
      </c>
      <c r="R118" s="4">
        <f t="shared" si="36"/>
        <v>550000</v>
      </c>
      <c r="S118" s="4">
        <v>2568.1799999999998</v>
      </c>
      <c r="T118" s="4">
        <f t="shared" si="37"/>
        <v>28249.98</v>
      </c>
      <c r="U118" s="4">
        <v>1861.92</v>
      </c>
      <c r="V118" s="4">
        <v>1000</v>
      </c>
    </row>
    <row r="119" spans="1:22" x14ac:dyDescent="0.35">
      <c r="A119" s="3">
        <v>34</v>
      </c>
      <c r="B119" s="2">
        <v>45950</v>
      </c>
      <c r="C119" s="4"/>
      <c r="D119" s="18"/>
      <c r="E119" s="4">
        <f t="shared" si="39"/>
        <v>4655</v>
      </c>
      <c r="F119" s="4">
        <v>2</v>
      </c>
      <c r="G119" s="14">
        <f t="shared" si="30"/>
        <v>4.2964554242749732E-4</v>
      </c>
      <c r="H119" s="4"/>
      <c r="I119" s="4">
        <f t="shared" si="31"/>
        <v>4653</v>
      </c>
      <c r="J119" s="4">
        <v>119</v>
      </c>
      <c r="K119" s="4">
        <f t="shared" si="32"/>
        <v>3570</v>
      </c>
      <c r="L119" s="4">
        <v>3</v>
      </c>
      <c r="M119" s="4">
        <v>0</v>
      </c>
      <c r="N119" s="4">
        <f t="shared" si="33"/>
        <v>3573</v>
      </c>
      <c r="O119" s="14">
        <f t="shared" si="34"/>
        <v>0.76756176154672395</v>
      </c>
      <c r="P119" s="4">
        <v>10</v>
      </c>
      <c r="Q119" s="4">
        <f t="shared" si="35"/>
        <v>500</v>
      </c>
      <c r="R119" s="4">
        <f t="shared" si="36"/>
        <v>500000</v>
      </c>
      <c r="S119" s="4">
        <v>2568.1799999999998</v>
      </c>
      <c r="T119" s="4">
        <f t="shared" si="37"/>
        <v>25681.8</v>
      </c>
      <c r="U119" s="4">
        <v>1861.92</v>
      </c>
      <c r="V119" s="4">
        <v>900</v>
      </c>
    </row>
    <row r="120" spans="1:22" x14ac:dyDescent="0.35">
      <c r="A120" s="3">
        <v>35</v>
      </c>
      <c r="B120" s="2">
        <v>45951</v>
      </c>
      <c r="C120" s="4"/>
      <c r="D120" s="18"/>
      <c r="E120" s="4">
        <f t="shared" si="39"/>
        <v>4653</v>
      </c>
      <c r="F120" s="4">
        <v>2</v>
      </c>
      <c r="G120" s="14">
        <f t="shared" si="30"/>
        <v>4.298302170642596E-4</v>
      </c>
      <c r="H120" s="4"/>
      <c r="I120" s="4">
        <f t="shared" si="31"/>
        <v>4651</v>
      </c>
      <c r="J120" s="4">
        <v>112</v>
      </c>
      <c r="K120" s="4">
        <f t="shared" si="32"/>
        <v>3360</v>
      </c>
      <c r="L120" s="4">
        <v>3</v>
      </c>
      <c r="M120" s="4">
        <v>0</v>
      </c>
      <c r="N120" s="4">
        <f t="shared" si="33"/>
        <v>3363</v>
      </c>
      <c r="O120" s="14">
        <f t="shared" si="34"/>
        <v>0.72275950999355254</v>
      </c>
      <c r="P120" s="4">
        <v>10</v>
      </c>
      <c r="Q120" s="4">
        <f t="shared" si="35"/>
        <v>500</v>
      </c>
      <c r="R120" s="4">
        <f t="shared" si="36"/>
        <v>500000</v>
      </c>
      <c r="S120" s="4">
        <v>2568.1799999999998</v>
      </c>
      <c r="T120" s="4">
        <f t="shared" si="37"/>
        <v>25681.8</v>
      </c>
      <c r="U120" s="4">
        <v>1861.92</v>
      </c>
      <c r="V120" s="4">
        <v>900</v>
      </c>
    </row>
    <row r="121" spans="1:22" x14ac:dyDescent="0.35">
      <c r="A121" s="3">
        <v>35</v>
      </c>
      <c r="B121" s="2">
        <v>45952</v>
      </c>
      <c r="C121" s="4"/>
      <c r="D121" s="18"/>
      <c r="E121" s="4">
        <f t="shared" si="39"/>
        <v>4651</v>
      </c>
      <c r="F121" s="4">
        <v>3</v>
      </c>
      <c r="G121" s="14">
        <f t="shared" si="30"/>
        <v>6.4502257579015262E-4</v>
      </c>
      <c r="H121" s="4"/>
      <c r="I121" s="4">
        <f t="shared" si="31"/>
        <v>4648</v>
      </c>
      <c r="J121" s="4">
        <v>103</v>
      </c>
      <c r="K121" s="4">
        <f t="shared" si="32"/>
        <v>3090</v>
      </c>
      <c r="L121" s="4">
        <v>3</v>
      </c>
      <c r="M121" s="4">
        <v>0</v>
      </c>
      <c r="N121" s="4">
        <f t="shared" si="33"/>
        <v>3093</v>
      </c>
      <c r="O121" s="14">
        <f t="shared" si="34"/>
        <v>0.66501827563964744</v>
      </c>
      <c r="P121" s="4">
        <v>10</v>
      </c>
      <c r="Q121" s="4">
        <f t="shared" si="35"/>
        <v>500</v>
      </c>
      <c r="R121" s="4">
        <f t="shared" si="36"/>
        <v>500000</v>
      </c>
      <c r="S121" s="4">
        <v>2568.1799999999998</v>
      </c>
      <c r="T121" s="4">
        <f t="shared" si="37"/>
        <v>25681.8</v>
      </c>
      <c r="U121" s="4">
        <v>1861.92</v>
      </c>
      <c r="V121" s="4">
        <v>400</v>
      </c>
    </row>
    <row r="122" spans="1:22" x14ac:dyDescent="0.35">
      <c r="A122" s="3">
        <v>35</v>
      </c>
      <c r="B122" s="2">
        <v>45953</v>
      </c>
      <c r="C122" s="4"/>
      <c r="D122" s="18"/>
      <c r="E122" s="4">
        <f t="shared" si="39"/>
        <v>4648</v>
      </c>
      <c r="F122" s="4">
        <v>3</v>
      </c>
      <c r="G122" s="14">
        <f t="shared" si="30"/>
        <v>6.4543889845094669E-4</v>
      </c>
      <c r="H122" s="4"/>
      <c r="I122" s="4">
        <f t="shared" si="31"/>
        <v>4645</v>
      </c>
      <c r="J122" s="4">
        <v>93</v>
      </c>
      <c r="K122" s="4">
        <f t="shared" si="32"/>
        <v>2790</v>
      </c>
      <c r="L122" s="4">
        <v>0</v>
      </c>
      <c r="M122" s="4">
        <v>0</v>
      </c>
      <c r="N122" s="4">
        <f t="shared" si="33"/>
        <v>2790</v>
      </c>
      <c r="O122" s="14">
        <f t="shared" si="34"/>
        <v>0.60025817555938032</v>
      </c>
      <c r="P122" s="4">
        <v>8</v>
      </c>
      <c r="Q122" s="4">
        <f t="shared" si="35"/>
        <v>400</v>
      </c>
      <c r="R122" s="4">
        <f t="shared" si="36"/>
        <v>400000</v>
      </c>
      <c r="S122" s="4">
        <v>2568.1799999999998</v>
      </c>
      <c r="T122" s="4">
        <f t="shared" si="37"/>
        <v>20545.439999999999</v>
      </c>
      <c r="U122" s="4">
        <v>1861.92</v>
      </c>
      <c r="V122" s="4">
        <v>400</v>
      </c>
    </row>
    <row r="123" spans="1:22" x14ac:dyDescent="0.35">
      <c r="A123" s="3">
        <v>35</v>
      </c>
      <c r="B123" s="2">
        <v>45954</v>
      </c>
      <c r="C123" s="4"/>
      <c r="D123" s="18"/>
      <c r="E123" s="4">
        <f t="shared" si="39"/>
        <v>4645</v>
      </c>
      <c r="F123" s="4">
        <v>2</v>
      </c>
      <c r="G123" s="14">
        <f t="shared" si="30"/>
        <v>4.3057050592034448E-4</v>
      </c>
      <c r="H123" s="4"/>
      <c r="I123" s="4">
        <f t="shared" si="31"/>
        <v>4643</v>
      </c>
      <c r="J123" s="4">
        <v>89</v>
      </c>
      <c r="K123" s="4">
        <f t="shared" si="32"/>
        <v>2670</v>
      </c>
      <c r="L123" s="4">
        <v>0</v>
      </c>
      <c r="M123" s="4">
        <v>0</v>
      </c>
      <c r="N123" s="4">
        <f t="shared" si="33"/>
        <v>2670</v>
      </c>
      <c r="O123" s="14">
        <f t="shared" si="34"/>
        <v>0.57481162540365982</v>
      </c>
      <c r="P123" s="4">
        <v>8</v>
      </c>
      <c r="Q123" s="4">
        <f t="shared" si="35"/>
        <v>400</v>
      </c>
      <c r="R123" s="4">
        <f t="shared" si="36"/>
        <v>400000</v>
      </c>
      <c r="S123" s="4">
        <v>2568.1799999999998</v>
      </c>
      <c r="T123" s="4">
        <f t="shared" si="37"/>
        <v>20545.439999999999</v>
      </c>
      <c r="U123" s="4">
        <v>1861.92</v>
      </c>
      <c r="V123" s="4">
        <v>600</v>
      </c>
    </row>
    <row r="124" spans="1:22" x14ac:dyDescent="0.35">
      <c r="A124" s="3">
        <v>35</v>
      </c>
      <c r="B124" s="2">
        <v>45955</v>
      </c>
      <c r="C124" s="4"/>
      <c r="D124" s="18"/>
      <c r="E124" s="4">
        <f t="shared" si="39"/>
        <v>4643</v>
      </c>
      <c r="F124" s="4">
        <v>2</v>
      </c>
      <c r="G124" s="14">
        <f t="shared" si="30"/>
        <v>4.3075597673917728E-4</v>
      </c>
      <c r="H124" s="4"/>
      <c r="I124" s="4">
        <f t="shared" si="31"/>
        <v>4641</v>
      </c>
      <c r="J124" s="4">
        <v>82</v>
      </c>
      <c r="K124" s="4">
        <f t="shared" si="32"/>
        <v>2460</v>
      </c>
      <c r="L124" s="4">
        <v>0</v>
      </c>
      <c r="M124" s="4">
        <v>0</v>
      </c>
      <c r="N124" s="4">
        <f t="shared" si="33"/>
        <v>2460</v>
      </c>
      <c r="O124" s="14">
        <f t="shared" si="34"/>
        <v>0.52982985138918803</v>
      </c>
      <c r="P124" s="4">
        <v>9</v>
      </c>
      <c r="Q124" s="4">
        <f t="shared" si="35"/>
        <v>450</v>
      </c>
      <c r="R124" s="4">
        <f t="shared" si="36"/>
        <v>450000</v>
      </c>
      <c r="S124" s="4">
        <v>2568.1799999999998</v>
      </c>
      <c r="T124" s="4">
        <f t="shared" si="37"/>
        <v>23113.62</v>
      </c>
      <c r="U124" s="4">
        <v>1861.92</v>
      </c>
      <c r="V124" s="4">
        <v>700</v>
      </c>
    </row>
    <row r="125" spans="1:22" x14ac:dyDescent="0.35">
      <c r="A125" s="3">
        <v>35</v>
      </c>
      <c r="B125" s="2">
        <v>45956</v>
      </c>
      <c r="C125" s="4"/>
      <c r="D125" s="18"/>
      <c r="E125" s="4">
        <f t="shared" si="39"/>
        <v>4641</v>
      </c>
      <c r="F125" s="4">
        <v>1</v>
      </c>
      <c r="G125" s="14">
        <f t="shared" si="30"/>
        <v>2.1547080370609782E-4</v>
      </c>
      <c r="H125" s="4"/>
      <c r="I125" s="4">
        <f t="shared" si="31"/>
        <v>4640</v>
      </c>
      <c r="J125" s="4">
        <v>83</v>
      </c>
      <c r="K125" s="4">
        <f t="shared" si="32"/>
        <v>2490</v>
      </c>
      <c r="L125" s="4">
        <v>0</v>
      </c>
      <c r="M125" s="4">
        <v>0</v>
      </c>
      <c r="N125" s="4">
        <f t="shared" si="33"/>
        <v>2490</v>
      </c>
      <c r="O125" s="14">
        <f t="shared" si="34"/>
        <v>0.53652230122818356</v>
      </c>
      <c r="P125" s="4">
        <v>9</v>
      </c>
      <c r="Q125" s="4">
        <f t="shared" si="35"/>
        <v>450</v>
      </c>
      <c r="R125" s="4">
        <f t="shared" si="36"/>
        <v>450000</v>
      </c>
      <c r="S125" s="4">
        <v>2568.1799999999998</v>
      </c>
      <c r="T125" s="4">
        <f t="shared" si="37"/>
        <v>23113.62</v>
      </c>
      <c r="U125" s="4">
        <v>1861.92</v>
      </c>
      <c r="V125" s="4">
        <v>700</v>
      </c>
    </row>
    <row r="126" spans="1:22" x14ac:dyDescent="0.35">
      <c r="A126" s="3">
        <v>35</v>
      </c>
      <c r="B126" s="2">
        <v>45957</v>
      </c>
      <c r="C126" s="4"/>
      <c r="D126" s="18"/>
      <c r="E126" s="4">
        <f t="shared" si="39"/>
        <v>4640</v>
      </c>
      <c r="F126" s="4">
        <v>3</v>
      </c>
      <c r="G126" s="14">
        <f t="shared" si="30"/>
        <v>6.4655172413793103E-4</v>
      </c>
      <c r="H126" s="4"/>
      <c r="I126" s="4">
        <f t="shared" si="31"/>
        <v>4637</v>
      </c>
      <c r="J126" s="4">
        <v>83</v>
      </c>
      <c r="K126" s="4">
        <f t="shared" si="32"/>
        <v>2490</v>
      </c>
      <c r="L126" s="4">
        <v>0</v>
      </c>
      <c r="M126" s="4">
        <v>0</v>
      </c>
      <c r="N126" s="4">
        <f t="shared" si="33"/>
        <v>2490</v>
      </c>
      <c r="O126" s="14">
        <f t="shared" si="34"/>
        <v>0.53663793103448276</v>
      </c>
      <c r="P126" s="4">
        <v>9</v>
      </c>
      <c r="Q126" s="4">
        <f t="shared" si="35"/>
        <v>450</v>
      </c>
      <c r="R126" s="4">
        <f t="shared" si="36"/>
        <v>450000</v>
      </c>
      <c r="S126" s="4">
        <v>2568.1799999999998</v>
      </c>
      <c r="T126" s="4">
        <f t="shared" si="37"/>
        <v>23113.62</v>
      </c>
      <c r="U126" s="4">
        <v>1861.92</v>
      </c>
      <c r="V126" s="4">
        <v>900</v>
      </c>
    </row>
    <row r="127" spans="1:22" x14ac:dyDescent="0.35">
      <c r="A127" s="3">
        <v>36</v>
      </c>
      <c r="B127" s="2">
        <v>45958</v>
      </c>
      <c r="C127" s="4"/>
      <c r="D127" s="18"/>
      <c r="E127" s="4">
        <f t="shared" si="39"/>
        <v>4637</v>
      </c>
      <c r="F127" s="4">
        <v>3</v>
      </c>
      <c r="G127" s="14">
        <f t="shared" si="30"/>
        <v>6.4697002372223421E-4</v>
      </c>
      <c r="H127" s="4"/>
      <c r="I127" s="4">
        <f t="shared" si="31"/>
        <v>4634</v>
      </c>
      <c r="J127" s="4">
        <v>84</v>
      </c>
      <c r="K127" s="4">
        <f t="shared" si="32"/>
        <v>2520</v>
      </c>
      <c r="L127" s="4">
        <v>0</v>
      </c>
      <c r="M127" s="4">
        <v>0</v>
      </c>
      <c r="N127" s="4">
        <f t="shared" si="33"/>
        <v>2520</v>
      </c>
      <c r="O127" s="14">
        <f t="shared" si="34"/>
        <v>0.54345481992667677</v>
      </c>
      <c r="P127" s="4">
        <v>9</v>
      </c>
      <c r="Q127" s="4">
        <f t="shared" si="35"/>
        <v>450</v>
      </c>
      <c r="R127" s="4">
        <f t="shared" si="36"/>
        <v>450000</v>
      </c>
      <c r="S127" s="4">
        <v>2568.1799999999998</v>
      </c>
      <c r="T127" s="4">
        <f t="shared" si="37"/>
        <v>23113.62</v>
      </c>
      <c r="U127" s="4">
        <v>1861.92</v>
      </c>
      <c r="V127" s="4">
        <v>1800</v>
      </c>
    </row>
    <row r="128" spans="1:22" x14ac:dyDescent="0.35">
      <c r="A128" s="3">
        <v>36</v>
      </c>
      <c r="B128" s="2">
        <v>45959</v>
      </c>
      <c r="C128" s="4"/>
      <c r="D128" s="18"/>
      <c r="E128" s="4">
        <f t="shared" si="39"/>
        <v>4634</v>
      </c>
      <c r="F128" s="4">
        <v>3</v>
      </c>
      <c r="G128" s="14">
        <f t="shared" si="30"/>
        <v>6.4738886491152352E-4</v>
      </c>
      <c r="H128" s="4"/>
      <c r="I128" s="4">
        <f t="shared" si="31"/>
        <v>4631</v>
      </c>
      <c r="J128" s="4">
        <v>86</v>
      </c>
      <c r="K128" s="4">
        <f t="shared" si="32"/>
        <v>2580</v>
      </c>
      <c r="L128" s="4">
        <v>0</v>
      </c>
      <c r="M128" s="4">
        <v>0</v>
      </c>
      <c r="N128" s="4">
        <f t="shared" si="33"/>
        <v>2580</v>
      </c>
      <c r="O128" s="14">
        <f t="shared" si="34"/>
        <v>0.55675442382391027</v>
      </c>
      <c r="P128" s="4">
        <v>9</v>
      </c>
      <c r="Q128" s="4">
        <f t="shared" si="35"/>
        <v>450</v>
      </c>
      <c r="R128" s="4">
        <f t="shared" si="36"/>
        <v>450000</v>
      </c>
      <c r="S128" s="4">
        <v>2568.1799999999998</v>
      </c>
      <c r="T128" s="4">
        <f t="shared" si="37"/>
        <v>23113.62</v>
      </c>
      <c r="U128" s="4">
        <v>1861.92</v>
      </c>
      <c r="V128" s="4">
        <v>300</v>
      </c>
    </row>
    <row r="129" spans="1:22" x14ac:dyDescent="0.35">
      <c r="A129" s="3">
        <v>36</v>
      </c>
      <c r="B129" s="2">
        <v>45960</v>
      </c>
      <c r="C129" s="4"/>
      <c r="D129" s="18"/>
      <c r="E129" s="4">
        <f t="shared" si="39"/>
        <v>4631</v>
      </c>
      <c r="F129" s="4">
        <v>3</v>
      </c>
      <c r="G129" s="14">
        <f t="shared" si="30"/>
        <v>6.4780824875836757E-4</v>
      </c>
      <c r="H129" s="4"/>
      <c r="I129" s="4">
        <f t="shared" si="31"/>
        <v>4628</v>
      </c>
      <c r="J129" s="4">
        <v>88</v>
      </c>
      <c r="K129" s="4">
        <f t="shared" si="32"/>
        <v>2640</v>
      </c>
      <c r="L129" s="4">
        <v>0</v>
      </c>
      <c r="M129" s="4">
        <v>0</v>
      </c>
      <c r="N129" s="4">
        <f t="shared" si="33"/>
        <v>2640</v>
      </c>
      <c r="O129" s="14">
        <f t="shared" si="34"/>
        <v>0.57007125890736343</v>
      </c>
      <c r="P129" s="4">
        <v>10</v>
      </c>
      <c r="Q129" s="4">
        <f t="shared" si="35"/>
        <v>500</v>
      </c>
      <c r="R129" s="4">
        <f t="shared" si="36"/>
        <v>500000</v>
      </c>
      <c r="S129" s="4">
        <v>2568.1799999999998</v>
      </c>
      <c r="T129" s="4">
        <f t="shared" si="37"/>
        <v>25681.8</v>
      </c>
      <c r="U129" s="4">
        <v>1861.92</v>
      </c>
      <c r="V129" s="4">
        <v>1900</v>
      </c>
    </row>
    <row r="130" spans="1:22" x14ac:dyDescent="0.35">
      <c r="A130" s="3">
        <v>36</v>
      </c>
      <c r="B130" s="2">
        <v>45961</v>
      </c>
      <c r="C130" s="4"/>
      <c r="D130" s="18"/>
      <c r="E130" s="4">
        <f t="shared" si="39"/>
        <v>4628</v>
      </c>
      <c r="F130" s="4">
        <v>2</v>
      </c>
      <c r="G130" s="14">
        <f t="shared" si="30"/>
        <v>4.3215211754537599E-4</v>
      </c>
      <c r="H130" s="4"/>
      <c r="I130" s="4">
        <f t="shared" si="31"/>
        <v>4626</v>
      </c>
      <c r="J130" s="4">
        <v>92</v>
      </c>
      <c r="K130" s="4">
        <f t="shared" si="32"/>
        <v>2760</v>
      </c>
      <c r="L130" s="4">
        <v>0</v>
      </c>
      <c r="M130" s="4">
        <v>0</v>
      </c>
      <c r="N130" s="4">
        <f t="shared" si="33"/>
        <v>2760</v>
      </c>
      <c r="O130" s="14">
        <f t="shared" si="34"/>
        <v>0.59636992221261886</v>
      </c>
      <c r="P130" s="4">
        <v>10</v>
      </c>
      <c r="Q130" s="4">
        <f t="shared" si="35"/>
        <v>500</v>
      </c>
      <c r="R130" s="4">
        <f t="shared" si="36"/>
        <v>500000</v>
      </c>
      <c r="S130" s="4">
        <v>2568.1799999999998</v>
      </c>
      <c r="T130" s="4">
        <f t="shared" si="37"/>
        <v>25681.8</v>
      </c>
      <c r="U130" s="4">
        <v>1861.92</v>
      </c>
      <c r="V130" s="4">
        <v>800</v>
      </c>
    </row>
    <row r="131" spans="1:22" x14ac:dyDescent="0.35">
      <c r="A131" s="3"/>
      <c r="B131" s="2"/>
      <c r="C131" s="4"/>
      <c r="D131" s="18"/>
      <c r="E131" s="4"/>
      <c r="F131" s="4">
        <f>SUM(F100:F130)</f>
        <v>51</v>
      </c>
      <c r="G131" s="14"/>
      <c r="H131" s="4"/>
      <c r="I131" s="4"/>
      <c r="J131" s="4"/>
      <c r="K131" s="4"/>
      <c r="L131" s="4"/>
      <c r="M131" s="4"/>
      <c r="N131" s="4"/>
      <c r="O131" s="14"/>
      <c r="P131" s="4"/>
      <c r="Q131" s="4"/>
      <c r="R131" s="4"/>
      <c r="S131" s="4"/>
      <c r="T131" s="4"/>
    </row>
    <row r="132" spans="1:22" x14ac:dyDescent="0.35">
      <c r="A132" s="3"/>
      <c r="B132" s="2"/>
      <c r="C132" s="4"/>
      <c r="D132" s="18"/>
      <c r="E132" s="4"/>
      <c r="F132" s="4"/>
      <c r="G132" s="14"/>
      <c r="H132" s="4"/>
      <c r="I132" s="4"/>
      <c r="J132" s="4"/>
      <c r="K132" s="4"/>
      <c r="L132" s="4"/>
      <c r="M132" s="4"/>
      <c r="N132" s="4"/>
      <c r="O132" s="14"/>
      <c r="P132" s="4"/>
      <c r="Q132" s="4"/>
      <c r="R132" s="4"/>
      <c r="S132" s="4"/>
      <c r="T132" s="4"/>
    </row>
    <row r="133" spans="1:22" x14ac:dyDescent="0.35">
      <c r="B133" s="37" t="s">
        <v>1</v>
      </c>
      <c r="C133" s="38" t="s">
        <v>19</v>
      </c>
      <c r="D133" s="38" t="s">
        <v>18</v>
      </c>
      <c r="E133" s="39" t="s">
        <v>2</v>
      </c>
      <c r="F133" s="40" t="s">
        <v>3</v>
      </c>
      <c r="G133" s="41" t="s">
        <v>4</v>
      </c>
      <c r="H133" s="40" t="s">
        <v>5</v>
      </c>
      <c r="I133" s="42" t="s">
        <v>6</v>
      </c>
      <c r="J133" s="43" t="s">
        <v>7</v>
      </c>
      <c r="K133" s="40" t="s">
        <v>8</v>
      </c>
      <c r="L133" s="40" t="s">
        <v>9</v>
      </c>
      <c r="M133" s="40" t="s">
        <v>10</v>
      </c>
      <c r="N133" s="40" t="s">
        <v>11</v>
      </c>
      <c r="O133" s="44" t="s">
        <v>12</v>
      </c>
      <c r="P133" s="43" t="s">
        <v>13</v>
      </c>
      <c r="Q133" s="40" t="s">
        <v>14</v>
      </c>
      <c r="R133" s="45" t="s">
        <v>15</v>
      </c>
      <c r="S133" s="46" t="s">
        <v>16</v>
      </c>
      <c r="T133" s="47" t="s">
        <v>17</v>
      </c>
      <c r="U133" s="48" t="s">
        <v>21</v>
      </c>
      <c r="V133" s="48" t="s">
        <v>23</v>
      </c>
    </row>
    <row r="134" spans="1:22" x14ac:dyDescent="0.35">
      <c r="A134" s="3">
        <v>36</v>
      </c>
      <c r="B134" s="2">
        <v>45962</v>
      </c>
      <c r="C134" s="18"/>
      <c r="D134" s="18"/>
      <c r="E134" s="4">
        <v>4626</v>
      </c>
      <c r="F134" s="4">
        <v>2</v>
      </c>
      <c r="G134" s="14">
        <f t="shared" ref="G134:G163" si="40">F134/E134</f>
        <v>4.3233895373973193E-4</v>
      </c>
      <c r="H134" s="4"/>
      <c r="I134" s="4">
        <f t="shared" ref="I134:I163" si="41">E134-F134-H134</f>
        <v>4624</v>
      </c>
      <c r="J134" s="4">
        <v>92</v>
      </c>
      <c r="K134" s="4">
        <f t="shared" ref="K134:K163" si="42">J134*30</f>
        <v>2760</v>
      </c>
      <c r="L134" s="4">
        <v>0</v>
      </c>
      <c r="M134" s="4">
        <v>0</v>
      </c>
      <c r="N134" s="4">
        <f t="shared" ref="N134:N152" si="43">K134+L134-M134</f>
        <v>2760</v>
      </c>
      <c r="O134" s="14">
        <f t="shared" ref="O134:O163" si="44">N134/E134</f>
        <v>0.59662775616083008</v>
      </c>
      <c r="P134" s="4">
        <v>10</v>
      </c>
      <c r="Q134" s="4">
        <f t="shared" ref="Q134:Q163" si="45">P134*50</f>
        <v>500</v>
      </c>
      <c r="R134" s="4">
        <f t="shared" ref="R134:R163" si="46">Q134*1000</f>
        <v>500000</v>
      </c>
      <c r="S134" s="4">
        <v>2548.6799999999998</v>
      </c>
      <c r="T134" s="4">
        <f t="shared" ref="T134:T163" si="47">P134*S134</f>
        <v>25486.799999999999</v>
      </c>
      <c r="U134" s="4">
        <v>1861.92</v>
      </c>
      <c r="V134" s="4">
        <v>900</v>
      </c>
    </row>
    <row r="135" spans="1:22" x14ac:dyDescent="0.35">
      <c r="A135" s="3">
        <v>36</v>
      </c>
      <c r="B135" s="2">
        <v>45963</v>
      </c>
      <c r="C135" s="4"/>
      <c r="D135" s="18"/>
      <c r="E135" s="4">
        <f t="shared" ref="E135:E163" si="48">I134</f>
        <v>4624</v>
      </c>
      <c r="F135" s="4">
        <v>1</v>
      </c>
      <c r="G135" s="14">
        <f t="shared" si="40"/>
        <v>2.1626297577854672E-4</v>
      </c>
      <c r="H135" s="4"/>
      <c r="I135" s="4">
        <f t="shared" si="41"/>
        <v>4623</v>
      </c>
      <c r="J135" s="4">
        <v>99</v>
      </c>
      <c r="K135" s="4">
        <f t="shared" si="42"/>
        <v>2970</v>
      </c>
      <c r="L135" s="4">
        <v>0</v>
      </c>
      <c r="M135" s="4">
        <v>0</v>
      </c>
      <c r="N135" s="4">
        <f t="shared" si="43"/>
        <v>2970</v>
      </c>
      <c r="O135" s="14">
        <f t="shared" si="44"/>
        <v>0.64230103806228378</v>
      </c>
      <c r="P135" s="4">
        <v>10</v>
      </c>
      <c r="Q135" s="4">
        <f t="shared" si="45"/>
        <v>500</v>
      </c>
      <c r="R135" s="4">
        <f t="shared" si="46"/>
        <v>500000</v>
      </c>
      <c r="S135" s="4">
        <v>2548.6799999999998</v>
      </c>
      <c r="T135" s="4">
        <f t="shared" si="47"/>
        <v>25486.799999999999</v>
      </c>
      <c r="U135" s="4">
        <v>1861.92</v>
      </c>
      <c r="V135" s="4">
        <v>900</v>
      </c>
    </row>
    <row r="136" spans="1:22" x14ac:dyDescent="0.35">
      <c r="A136" s="3">
        <v>36</v>
      </c>
      <c r="B136" s="2">
        <v>45964</v>
      </c>
      <c r="C136" s="19"/>
      <c r="D136" s="19"/>
      <c r="E136" s="4">
        <f t="shared" si="48"/>
        <v>4623</v>
      </c>
      <c r="F136" s="4">
        <v>4</v>
      </c>
      <c r="G136" s="14">
        <f t="shared" si="40"/>
        <v>8.6523902227990488E-4</v>
      </c>
      <c r="H136" s="7"/>
      <c r="I136" s="4">
        <f t="shared" si="41"/>
        <v>4619</v>
      </c>
      <c r="J136" s="4">
        <v>101</v>
      </c>
      <c r="K136" s="4">
        <f t="shared" si="42"/>
        <v>3030</v>
      </c>
      <c r="L136" s="4">
        <v>0</v>
      </c>
      <c r="M136" s="4">
        <v>0</v>
      </c>
      <c r="N136" s="4">
        <f t="shared" si="43"/>
        <v>3030</v>
      </c>
      <c r="O136" s="14">
        <f t="shared" si="44"/>
        <v>0.65541855937702787</v>
      </c>
      <c r="P136" s="4">
        <v>10</v>
      </c>
      <c r="Q136" s="4">
        <f t="shared" si="45"/>
        <v>500</v>
      </c>
      <c r="R136" s="4">
        <f t="shared" si="46"/>
        <v>500000</v>
      </c>
      <c r="S136" s="4">
        <v>2548.6799999999998</v>
      </c>
      <c r="T136" s="4">
        <f t="shared" si="47"/>
        <v>25486.799999999999</v>
      </c>
      <c r="U136" s="4">
        <v>1861.92</v>
      </c>
      <c r="V136" s="4">
        <v>900</v>
      </c>
    </row>
    <row r="137" spans="1:22" x14ac:dyDescent="0.35">
      <c r="A137" s="3">
        <v>37</v>
      </c>
      <c r="B137" s="2">
        <v>45965</v>
      </c>
      <c r="C137" s="4"/>
      <c r="D137" s="18"/>
      <c r="E137" s="4">
        <f t="shared" si="48"/>
        <v>4619</v>
      </c>
      <c r="F137" s="4">
        <v>2</v>
      </c>
      <c r="G137" s="14">
        <f t="shared" si="40"/>
        <v>4.3299415457891317E-4</v>
      </c>
      <c r="H137" s="4"/>
      <c r="I137" s="4">
        <f t="shared" si="41"/>
        <v>4617</v>
      </c>
      <c r="J137" s="4">
        <v>106</v>
      </c>
      <c r="K137" s="4">
        <f t="shared" si="42"/>
        <v>3180</v>
      </c>
      <c r="L137" s="4">
        <v>2</v>
      </c>
      <c r="M137" s="4">
        <v>0</v>
      </c>
      <c r="N137" s="4">
        <f t="shared" si="43"/>
        <v>3182</v>
      </c>
      <c r="O137" s="14">
        <f t="shared" si="44"/>
        <v>0.6888936999350509</v>
      </c>
      <c r="P137" s="4">
        <v>10</v>
      </c>
      <c r="Q137" s="4">
        <f t="shared" si="45"/>
        <v>500</v>
      </c>
      <c r="R137" s="4">
        <f t="shared" si="46"/>
        <v>500000</v>
      </c>
      <c r="S137" s="4">
        <v>2548.6799999999998</v>
      </c>
      <c r="T137" s="4">
        <f t="shared" si="47"/>
        <v>25486.799999999999</v>
      </c>
      <c r="U137" s="4">
        <v>1861.92</v>
      </c>
      <c r="V137" s="4">
        <v>1100</v>
      </c>
    </row>
    <row r="138" spans="1:22" x14ac:dyDescent="0.35">
      <c r="A138" s="3">
        <v>37</v>
      </c>
      <c r="B138" s="2">
        <v>45966</v>
      </c>
      <c r="C138" s="4"/>
      <c r="D138" s="18"/>
      <c r="E138" s="4">
        <f t="shared" si="48"/>
        <v>4617</v>
      </c>
      <c r="F138" s="4">
        <v>3</v>
      </c>
      <c r="G138" s="14">
        <f t="shared" si="40"/>
        <v>6.4977257959714096E-4</v>
      </c>
      <c r="H138" s="4"/>
      <c r="I138" s="4">
        <f t="shared" si="41"/>
        <v>4614</v>
      </c>
      <c r="J138" s="4">
        <v>109</v>
      </c>
      <c r="K138" s="4">
        <f t="shared" si="42"/>
        <v>3270</v>
      </c>
      <c r="L138" s="4">
        <v>3</v>
      </c>
      <c r="M138" s="4">
        <v>0</v>
      </c>
      <c r="N138" s="4">
        <f t="shared" si="43"/>
        <v>3273</v>
      </c>
      <c r="O138" s="14">
        <f t="shared" si="44"/>
        <v>0.70890188434048085</v>
      </c>
      <c r="P138" s="4">
        <v>10</v>
      </c>
      <c r="Q138" s="4">
        <f t="shared" si="45"/>
        <v>500</v>
      </c>
      <c r="R138" s="4">
        <f t="shared" si="46"/>
        <v>500000</v>
      </c>
      <c r="S138" s="4">
        <v>2548.6799999999998</v>
      </c>
      <c r="T138" s="4">
        <f t="shared" si="47"/>
        <v>25486.799999999999</v>
      </c>
      <c r="U138" s="4">
        <v>1861.92</v>
      </c>
      <c r="V138" s="4">
        <v>1300</v>
      </c>
    </row>
    <row r="139" spans="1:22" x14ac:dyDescent="0.35">
      <c r="A139" s="3">
        <v>37</v>
      </c>
      <c r="B139" s="2">
        <v>45967</v>
      </c>
      <c r="C139" s="4"/>
      <c r="D139" s="18"/>
      <c r="E139" s="4">
        <f t="shared" si="48"/>
        <v>4614</v>
      </c>
      <c r="F139" s="4">
        <v>2</v>
      </c>
      <c r="G139" s="14">
        <f t="shared" si="40"/>
        <v>4.3346337234503684E-4</v>
      </c>
      <c r="H139" s="4"/>
      <c r="I139" s="4">
        <f t="shared" si="41"/>
        <v>4612</v>
      </c>
      <c r="J139" s="4">
        <v>113</v>
      </c>
      <c r="K139" s="4">
        <f t="shared" si="42"/>
        <v>3390</v>
      </c>
      <c r="L139" s="4">
        <v>4</v>
      </c>
      <c r="M139" s="4">
        <v>0</v>
      </c>
      <c r="N139" s="4">
        <f t="shared" si="43"/>
        <v>3394</v>
      </c>
      <c r="O139" s="14">
        <f t="shared" si="44"/>
        <v>0.73558734286952754</v>
      </c>
      <c r="P139" s="4">
        <v>10</v>
      </c>
      <c r="Q139" s="4">
        <f t="shared" si="45"/>
        <v>500</v>
      </c>
      <c r="R139" s="4">
        <f t="shared" si="46"/>
        <v>500000</v>
      </c>
      <c r="S139" s="4">
        <v>2548.6799999999998</v>
      </c>
      <c r="T139" s="4">
        <f t="shared" si="47"/>
        <v>25486.799999999999</v>
      </c>
      <c r="U139" s="4">
        <v>1861.92</v>
      </c>
      <c r="V139" s="4">
        <v>1200</v>
      </c>
    </row>
    <row r="140" spans="1:22" x14ac:dyDescent="0.35">
      <c r="A140" s="3">
        <v>37</v>
      </c>
      <c r="B140" s="2">
        <v>45968</v>
      </c>
      <c r="C140" s="4"/>
      <c r="D140" s="18"/>
      <c r="E140" s="4">
        <f t="shared" si="48"/>
        <v>4612</v>
      </c>
      <c r="F140" s="4">
        <v>3</v>
      </c>
      <c r="G140" s="14">
        <f t="shared" si="40"/>
        <v>6.5047701647875109E-4</v>
      </c>
      <c r="H140" s="4"/>
      <c r="I140" s="4">
        <f t="shared" si="41"/>
        <v>4609</v>
      </c>
      <c r="J140" s="4">
        <v>119</v>
      </c>
      <c r="K140" s="4">
        <f t="shared" si="42"/>
        <v>3570</v>
      </c>
      <c r="L140" s="4">
        <v>3</v>
      </c>
      <c r="M140" s="4">
        <v>0</v>
      </c>
      <c r="N140" s="4">
        <f t="shared" si="43"/>
        <v>3573</v>
      </c>
      <c r="O140" s="14">
        <f t="shared" si="44"/>
        <v>0.77471812662619255</v>
      </c>
      <c r="P140" s="4">
        <v>10</v>
      </c>
      <c r="Q140" s="4">
        <f t="shared" si="45"/>
        <v>500</v>
      </c>
      <c r="R140" s="4">
        <f t="shared" si="46"/>
        <v>500000</v>
      </c>
      <c r="S140" s="4">
        <v>2548.6799999999998</v>
      </c>
      <c r="T140" s="4">
        <f t="shared" si="47"/>
        <v>25486.799999999999</v>
      </c>
      <c r="U140" s="4">
        <v>1861.92</v>
      </c>
      <c r="V140" s="4">
        <v>1100</v>
      </c>
    </row>
    <row r="141" spans="1:22" x14ac:dyDescent="0.35">
      <c r="A141" s="3">
        <v>37</v>
      </c>
      <c r="B141" s="2">
        <v>45969</v>
      </c>
      <c r="C141" s="4"/>
      <c r="D141" s="18"/>
      <c r="E141" s="4">
        <f t="shared" si="48"/>
        <v>4609</v>
      </c>
      <c r="F141" s="4">
        <v>3</v>
      </c>
      <c r="G141" s="14">
        <f t="shared" si="40"/>
        <v>6.509004122369278E-4</v>
      </c>
      <c r="H141" s="4"/>
      <c r="I141" s="4">
        <f t="shared" si="41"/>
        <v>4606</v>
      </c>
      <c r="J141" s="4">
        <v>121</v>
      </c>
      <c r="K141" s="4">
        <f t="shared" si="42"/>
        <v>3630</v>
      </c>
      <c r="L141" s="4">
        <v>3</v>
      </c>
      <c r="M141" s="4">
        <v>0</v>
      </c>
      <c r="N141" s="4">
        <f t="shared" si="43"/>
        <v>3633</v>
      </c>
      <c r="O141" s="14">
        <f t="shared" si="44"/>
        <v>0.78824039921891953</v>
      </c>
      <c r="P141" s="4">
        <v>10</v>
      </c>
      <c r="Q141" s="4">
        <f t="shared" si="45"/>
        <v>500</v>
      </c>
      <c r="R141" s="4">
        <f t="shared" si="46"/>
        <v>500000</v>
      </c>
      <c r="S141" s="4">
        <v>2548.6799999999998</v>
      </c>
      <c r="T141" s="4">
        <f t="shared" si="47"/>
        <v>25486.799999999999</v>
      </c>
      <c r="U141" s="4">
        <v>1861.92</v>
      </c>
      <c r="V141" s="4">
        <v>900</v>
      </c>
    </row>
    <row r="142" spans="1:22" x14ac:dyDescent="0.35">
      <c r="A142" s="3">
        <v>37</v>
      </c>
      <c r="B142" s="2">
        <v>45970</v>
      </c>
      <c r="C142" s="4"/>
      <c r="D142" s="18"/>
      <c r="E142" s="4">
        <f t="shared" si="48"/>
        <v>4606</v>
      </c>
      <c r="F142" s="4">
        <v>3</v>
      </c>
      <c r="G142" s="14">
        <f t="shared" si="40"/>
        <v>6.5132435953104643E-4</v>
      </c>
      <c r="H142" s="4"/>
      <c r="I142" s="4">
        <f t="shared" si="41"/>
        <v>4603</v>
      </c>
      <c r="J142" s="4">
        <v>122</v>
      </c>
      <c r="K142" s="4">
        <f t="shared" si="42"/>
        <v>3660</v>
      </c>
      <c r="L142" s="4">
        <v>3</v>
      </c>
      <c r="M142" s="4">
        <v>0</v>
      </c>
      <c r="N142" s="4">
        <f t="shared" si="43"/>
        <v>3663</v>
      </c>
      <c r="O142" s="14">
        <f t="shared" si="44"/>
        <v>0.79526704298740769</v>
      </c>
      <c r="P142" s="4">
        <v>10</v>
      </c>
      <c r="Q142" s="4">
        <f t="shared" si="45"/>
        <v>500</v>
      </c>
      <c r="R142" s="4">
        <f t="shared" si="46"/>
        <v>500000</v>
      </c>
      <c r="S142" s="4">
        <v>2548.6799999999998</v>
      </c>
      <c r="T142" s="4">
        <f t="shared" si="47"/>
        <v>25486.799999999999</v>
      </c>
      <c r="U142" s="4">
        <v>1861.92</v>
      </c>
      <c r="V142" s="4">
        <v>1200</v>
      </c>
    </row>
    <row r="143" spans="1:22" x14ac:dyDescent="0.35">
      <c r="A143" s="3">
        <v>37</v>
      </c>
      <c r="B143" s="2">
        <v>45971</v>
      </c>
      <c r="C143" s="4"/>
      <c r="D143" s="18"/>
      <c r="E143" s="4">
        <f t="shared" si="48"/>
        <v>4603</v>
      </c>
      <c r="F143" s="4">
        <v>4</v>
      </c>
      <c r="G143" s="14">
        <f t="shared" si="40"/>
        <v>8.6899847925266127E-4</v>
      </c>
      <c r="H143" s="4"/>
      <c r="I143" s="4">
        <f t="shared" si="41"/>
        <v>4599</v>
      </c>
      <c r="J143" s="4">
        <v>123</v>
      </c>
      <c r="K143" s="4">
        <f t="shared" si="42"/>
        <v>3690</v>
      </c>
      <c r="L143" s="4">
        <v>2</v>
      </c>
      <c r="M143" s="4">
        <v>0</v>
      </c>
      <c r="N143" s="4">
        <f t="shared" si="43"/>
        <v>3692</v>
      </c>
      <c r="O143" s="14">
        <f t="shared" si="44"/>
        <v>0.80208559635020638</v>
      </c>
      <c r="P143" s="4">
        <v>10</v>
      </c>
      <c r="Q143" s="4">
        <f t="shared" si="45"/>
        <v>500</v>
      </c>
      <c r="R143" s="4">
        <f t="shared" si="46"/>
        <v>500000</v>
      </c>
      <c r="S143" s="4">
        <v>2548.6799999999998</v>
      </c>
      <c r="T143" s="4">
        <f t="shared" si="47"/>
        <v>25486.799999999999</v>
      </c>
      <c r="U143" s="4">
        <v>1861.92</v>
      </c>
      <c r="V143" s="4">
        <v>1000</v>
      </c>
    </row>
    <row r="144" spans="1:22" x14ac:dyDescent="0.35">
      <c r="A144" s="3">
        <v>38</v>
      </c>
      <c r="B144" s="2">
        <v>45972</v>
      </c>
      <c r="C144" s="4"/>
      <c r="D144" s="18"/>
      <c r="E144" s="4">
        <f t="shared" si="48"/>
        <v>4599</v>
      </c>
      <c r="F144" s="4">
        <v>3</v>
      </c>
      <c r="G144" s="14">
        <f t="shared" si="40"/>
        <v>6.5231572080887146E-4</v>
      </c>
      <c r="H144" s="4"/>
      <c r="I144" s="4">
        <f t="shared" si="41"/>
        <v>4596</v>
      </c>
      <c r="J144" s="4">
        <v>126</v>
      </c>
      <c r="K144" s="4">
        <f t="shared" si="42"/>
        <v>3780</v>
      </c>
      <c r="L144" s="4">
        <v>2</v>
      </c>
      <c r="M144" s="4">
        <v>0</v>
      </c>
      <c r="N144" s="4">
        <f t="shared" si="43"/>
        <v>3782</v>
      </c>
      <c r="O144" s="14">
        <f t="shared" si="44"/>
        <v>0.82235268536638395</v>
      </c>
      <c r="P144" s="4">
        <v>10</v>
      </c>
      <c r="Q144" s="4">
        <f t="shared" si="45"/>
        <v>500</v>
      </c>
      <c r="R144" s="4">
        <f t="shared" si="46"/>
        <v>500000</v>
      </c>
      <c r="S144" s="4">
        <v>2547.1799999999998</v>
      </c>
      <c r="T144" s="4">
        <f t="shared" si="47"/>
        <v>25471.8</v>
      </c>
      <c r="U144" s="4">
        <v>1861.92</v>
      </c>
      <c r="V144" s="4">
        <v>1100</v>
      </c>
    </row>
    <row r="145" spans="1:22" x14ac:dyDescent="0.35">
      <c r="A145" s="3">
        <v>38</v>
      </c>
      <c r="B145" s="2">
        <v>45973</v>
      </c>
      <c r="C145" s="4"/>
      <c r="D145" s="18"/>
      <c r="E145" s="4">
        <f t="shared" si="48"/>
        <v>4596</v>
      </c>
      <c r="F145" s="4">
        <v>3</v>
      </c>
      <c r="G145" s="14">
        <f t="shared" si="40"/>
        <v>6.5274151436031332E-4</v>
      </c>
      <c r="H145" s="4"/>
      <c r="I145" s="4">
        <f t="shared" si="41"/>
        <v>4593</v>
      </c>
      <c r="J145" s="4">
        <v>130</v>
      </c>
      <c r="K145" s="4">
        <f t="shared" si="42"/>
        <v>3900</v>
      </c>
      <c r="L145" s="4">
        <v>3</v>
      </c>
      <c r="M145" s="4">
        <v>0</v>
      </c>
      <c r="N145" s="4">
        <f t="shared" si="43"/>
        <v>3903</v>
      </c>
      <c r="O145" s="14">
        <f t="shared" si="44"/>
        <v>0.84921671018276768</v>
      </c>
      <c r="P145" s="4">
        <v>11</v>
      </c>
      <c r="Q145" s="4">
        <f t="shared" si="45"/>
        <v>550</v>
      </c>
      <c r="R145" s="4">
        <f t="shared" si="46"/>
        <v>550000</v>
      </c>
      <c r="S145" s="4">
        <v>2537.6799999999998</v>
      </c>
      <c r="T145" s="4">
        <f t="shared" si="47"/>
        <v>27914.48</v>
      </c>
      <c r="U145" s="4">
        <v>1861.92</v>
      </c>
      <c r="V145" s="4">
        <v>1200</v>
      </c>
    </row>
    <row r="146" spans="1:22" x14ac:dyDescent="0.35">
      <c r="A146" s="3">
        <v>38</v>
      </c>
      <c r="B146" s="2">
        <v>45974</v>
      </c>
      <c r="C146" s="4"/>
      <c r="D146" s="18"/>
      <c r="E146" s="4">
        <f t="shared" si="48"/>
        <v>4593</v>
      </c>
      <c r="F146" s="4">
        <v>6</v>
      </c>
      <c r="G146" s="14">
        <f t="shared" si="40"/>
        <v>1.3063357282821686E-3</v>
      </c>
      <c r="H146" s="4"/>
      <c r="I146" s="4">
        <f t="shared" si="41"/>
        <v>4587</v>
      </c>
      <c r="J146" s="4">
        <v>131</v>
      </c>
      <c r="K146" s="4">
        <f t="shared" si="42"/>
        <v>3930</v>
      </c>
      <c r="L146" s="4">
        <v>3</v>
      </c>
      <c r="M146" s="4">
        <v>0</v>
      </c>
      <c r="N146" s="4">
        <f t="shared" si="43"/>
        <v>3933</v>
      </c>
      <c r="O146" s="14">
        <f t="shared" si="44"/>
        <v>0.85630306988896143</v>
      </c>
      <c r="P146" s="4">
        <v>10</v>
      </c>
      <c r="Q146" s="4">
        <f t="shared" si="45"/>
        <v>500</v>
      </c>
      <c r="R146" s="4">
        <f t="shared" si="46"/>
        <v>500000</v>
      </c>
      <c r="S146" s="4">
        <v>2537.6799999999998</v>
      </c>
      <c r="T146" s="4">
        <f t="shared" si="47"/>
        <v>25376.799999999999</v>
      </c>
      <c r="U146" s="4">
        <v>1861.92</v>
      </c>
      <c r="V146" s="4">
        <v>1200</v>
      </c>
    </row>
    <row r="147" spans="1:22" x14ac:dyDescent="0.35">
      <c r="A147" s="3">
        <v>38</v>
      </c>
      <c r="B147" s="2">
        <v>45975</v>
      </c>
      <c r="C147" s="4"/>
      <c r="D147" s="18"/>
      <c r="E147" s="4">
        <f t="shared" si="48"/>
        <v>4587</v>
      </c>
      <c r="F147" s="4">
        <v>5</v>
      </c>
      <c r="G147" s="14">
        <f t="shared" si="40"/>
        <v>1.0900370612600828E-3</v>
      </c>
      <c r="H147" s="4"/>
      <c r="I147" s="4">
        <f t="shared" si="41"/>
        <v>4582</v>
      </c>
      <c r="J147" s="4">
        <v>132</v>
      </c>
      <c r="K147" s="4">
        <f t="shared" si="42"/>
        <v>3960</v>
      </c>
      <c r="L147" s="4">
        <v>2</v>
      </c>
      <c r="M147" s="4">
        <v>0</v>
      </c>
      <c r="N147" s="4">
        <f t="shared" si="43"/>
        <v>3962</v>
      </c>
      <c r="O147" s="14">
        <f t="shared" si="44"/>
        <v>0.86374536734248963</v>
      </c>
      <c r="P147" s="4">
        <v>10</v>
      </c>
      <c r="Q147" s="4">
        <f t="shared" si="45"/>
        <v>500</v>
      </c>
      <c r="R147" s="4">
        <f t="shared" si="46"/>
        <v>500000</v>
      </c>
      <c r="S147" s="4">
        <v>2543.08</v>
      </c>
      <c r="T147" s="4">
        <f t="shared" si="47"/>
        <v>25430.799999999999</v>
      </c>
      <c r="U147" s="4">
        <v>1861.92</v>
      </c>
      <c r="V147" s="4">
        <v>1300</v>
      </c>
    </row>
    <row r="148" spans="1:22" x14ac:dyDescent="0.35">
      <c r="A148" s="3">
        <v>38</v>
      </c>
      <c r="B148" s="2">
        <v>45976</v>
      </c>
      <c r="C148" s="4"/>
      <c r="D148" s="18"/>
      <c r="E148" s="4">
        <f t="shared" si="48"/>
        <v>4582</v>
      </c>
      <c r="F148" s="4">
        <v>3</v>
      </c>
      <c r="G148" s="14">
        <f t="shared" si="40"/>
        <v>6.5473592317765166E-4</v>
      </c>
      <c r="H148" s="4"/>
      <c r="I148" s="4">
        <f t="shared" si="41"/>
        <v>4579</v>
      </c>
      <c r="J148" s="4">
        <v>132</v>
      </c>
      <c r="K148" s="4">
        <f t="shared" si="42"/>
        <v>3960</v>
      </c>
      <c r="L148" s="4">
        <v>3</v>
      </c>
      <c r="M148" s="4">
        <v>0</v>
      </c>
      <c r="N148" s="4">
        <f t="shared" si="43"/>
        <v>3963</v>
      </c>
      <c r="O148" s="14">
        <f t="shared" si="44"/>
        <v>0.86490615451767783</v>
      </c>
      <c r="P148" s="4">
        <v>10</v>
      </c>
      <c r="Q148" s="4">
        <f t="shared" si="45"/>
        <v>500</v>
      </c>
      <c r="R148" s="4">
        <f t="shared" si="46"/>
        <v>500000</v>
      </c>
      <c r="S148" s="4">
        <v>2543.08</v>
      </c>
      <c r="T148" s="4">
        <f t="shared" si="47"/>
        <v>25430.799999999999</v>
      </c>
      <c r="U148" s="4">
        <v>1861.92</v>
      </c>
      <c r="V148" s="4">
        <v>2100</v>
      </c>
    </row>
    <row r="149" spans="1:22" x14ac:dyDescent="0.35">
      <c r="A149" s="3">
        <v>38</v>
      </c>
      <c r="B149" s="2">
        <v>45977</v>
      </c>
      <c r="C149" s="4"/>
      <c r="D149" s="18"/>
      <c r="E149" s="4">
        <f t="shared" si="48"/>
        <v>4579</v>
      </c>
      <c r="F149" s="4">
        <v>2</v>
      </c>
      <c r="G149" s="14">
        <f t="shared" si="40"/>
        <v>4.3677658877484165E-4</v>
      </c>
      <c r="H149" s="4"/>
      <c r="I149" s="4">
        <f t="shared" si="41"/>
        <v>4577</v>
      </c>
      <c r="J149" s="4">
        <v>132</v>
      </c>
      <c r="K149" s="4">
        <f t="shared" si="42"/>
        <v>3960</v>
      </c>
      <c r="L149" s="4">
        <v>2</v>
      </c>
      <c r="M149" s="4">
        <v>0</v>
      </c>
      <c r="N149" s="4">
        <f t="shared" si="43"/>
        <v>3962</v>
      </c>
      <c r="O149" s="14">
        <f t="shared" si="44"/>
        <v>0.86525442236296135</v>
      </c>
      <c r="P149" s="4">
        <v>11</v>
      </c>
      <c r="Q149" s="4">
        <f t="shared" si="45"/>
        <v>550</v>
      </c>
      <c r="R149" s="4">
        <f t="shared" si="46"/>
        <v>550000</v>
      </c>
      <c r="S149" s="4">
        <v>2543.08</v>
      </c>
      <c r="T149" s="4">
        <f t="shared" si="47"/>
        <v>27973.879999999997</v>
      </c>
      <c r="U149" s="4">
        <v>1861.92</v>
      </c>
      <c r="V149" s="4">
        <v>1000</v>
      </c>
    </row>
    <row r="150" spans="1:22" x14ac:dyDescent="0.35">
      <c r="A150" s="3">
        <v>38</v>
      </c>
      <c r="B150" s="2">
        <v>45978</v>
      </c>
      <c r="C150" s="4"/>
      <c r="D150" s="18"/>
      <c r="E150" s="4">
        <f t="shared" si="48"/>
        <v>4577</v>
      </c>
      <c r="F150" s="4">
        <v>2</v>
      </c>
      <c r="G150" s="14">
        <f t="shared" si="40"/>
        <v>4.3696744592527855E-4</v>
      </c>
      <c r="H150" s="4"/>
      <c r="I150" s="4">
        <f t="shared" si="41"/>
        <v>4575</v>
      </c>
      <c r="J150" s="4">
        <v>132</v>
      </c>
      <c r="K150" s="4">
        <f t="shared" si="42"/>
        <v>3960</v>
      </c>
      <c r="L150" s="4">
        <v>3</v>
      </c>
      <c r="M150" s="4">
        <v>0</v>
      </c>
      <c r="N150" s="4">
        <f t="shared" si="43"/>
        <v>3963</v>
      </c>
      <c r="O150" s="14">
        <f t="shared" si="44"/>
        <v>0.86585099410093946</v>
      </c>
      <c r="P150" s="4">
        <v>10</v>
      </c>
      <c r="Q150" s="4">
        <f t="shared" si="45"/>
        <v>500</v>
      </c>
      <c r="R150" s="4">
        <f t="shared" si="46"/>
        <v>500000</v>
      </c>
      <c r="S150" s="4">
        <v>2543.08</v>
      </c>
      <c r="T150" s="4">
        <f t="shared" si="47"/>
        <v>25430.799999999999</v>
      </c>
      <c r="U150" s="4">
        <v>1861.92</v>
      </c>
      <c r="V150" s="4">
        <v>1100</v>
      </c>
    </row>
    <row r="151" spans="1:22" x14ac:dyDescent="0.35">
      <c r="A151" s="3">
        <v>39</v>
      </c>
      <c r="B151" s="2">
        <v>45979</v>
      </c>
      <c r="C151" s="4"/>
      <c r="D151" s="18"/>
      <c r="E151" s="4">
        <f t="shared" si="48"/>
        <v>4575</v>
      </c>
      <c r="F151" s="4">
        <v>2</v>
      </c>
      <c r="G151" s="14">
        <f t="shared" si="40"/>
        <v>4.3715846994535519E-4</v>
      </c>
      <c r="H151" s="4"/>
      <c r="I151" s="4">
        <f t="shared" si="41"/>
        <v>4573</v>
      </c>
      <c r="J151" s="4">
        <v>132</v>
      </c>
      <c r="K151" s="4">
        <f t="shared" si="42"/>
        <v>3960</v>
      </c>
      <c r="L151" s="4">
        <v>2</v>
      </c>
      <c r="M151" s="4">
        <v>0</v>
      </c>
      <c r="N151" s="4">
        <f t="shared" si="43"/>
        <v>3962</v>
      </c>
      <c r="O151" s="14">
        <f t="shared" si="44"/>
        <v>0.86601092896174858</v>
      </c>
      <c r="P151" s="4">
        <v>10</v>
      </c>
      <c r="Q151" s="4">
        <f t="shared" si="45"/>
        <v>500</v>
      </c>
      <c r="R151" s="4">
        <f t="shared" si="46"/>
        <v>500000</v>
      </c>
      <c r="S151" s="4">
        <v>2543.08</v>
      </c>
      <c r="T151" s="4">
        <f t="shared" si="47"/>
        <v>25430.799999999999</v>
      </c>
      <c r="U151" s="4">
        <v>1861.92</v>
      </c>
      <c r="V151" s="4">
        <v>900</v>
      </c>
    </row>
    <row r="152" spans="1:22" x14ac:dyDescent="0.35">
      <c r="A152" s="3">
        <v>39</v>
      </c>
      <c r="B152" s="2">
        <v>45980</v>
      </c>
      <c r="C152" s="4"/>
      <c r="D152" s="18"/>
      <c r="E152" s="4">
        <f t="shared" si="48"/>
        <v>4573</v>
      </c>
      <c r="F152" s="4">
        <v>3</v>
      </c>
      <c r="G152" s="14">
        <f t="shared" si="40"/>
        <v>6.5602449158101901E-4</v>
      </c>
      <c r="H152" s="4"/>
      <c r="I152" s="4">
        <f t="shared" si="41"/>
        <v>4570</v>
      </c>
      <c r="J152" s="4">
        <v>131</v>
      </c>
      <c r="K152" s="4">
        <f t="shared" si="42"/>
        <v>3930</v>
      </c>
      <c r="L152" s="4">
        <v>3</v>
      </c>
      <c r="M152" s="4">
        <v>0</v>
      </c>
      <c r="N152" s="4">
        <f t="shared" si="43"/>
        <v>3933</v>
      </c>
      <c r="O152" s="14">
        <f t="shared" si="44"/>
        <v>0.86004810846271595</v>
      </c>
      <c r="P152" s="4">
        <v>10</v>
      </c>
      <c r="Q152" s="4">
        <f t="shared" si="45"/>
        <v>500</v>
      </c>
      <c r="R152" s="4">
        <f t="shared" si="46"/>
        <v>500000</v>
      </c>
      <c r="S152" s="4">
        <v>2543.08</v>
      </c>
      <c r="T152" s="4">
        <f t="shared" si="47"/>
        <v>25430.799999999999</v>
      </c>
      <c r="U152" s="4">
        <v>1861.92</v>
      </c>
      <c r="V152" s="4">
        <v>1100</v>
      </c>
    </row>
    <row r="153" spans="1:22" x14ac:dyDescent="0.35">
      <c r="A153" s="3">
        <v>39</v>
      </c>
      <c r="B153" s="2">
        <v>45981</v>
      </c>
      <c r="C153" s="4"/>
      <c r="D153" s="18"/>
      <c r="E153" s="4">
        <f t="shared" si="48"/>
        <v>4570</v>
      </c>
      <c r="F153" s="4">
        <v>3</v>
      </c>
      <c r="G153" s="14">
        <f t="shared" si="40"/>
        <v>6.5645514223194748E-4</v>
      </c>
      <c r="H153" s="4"/>
      <c r="I153" s="4">
        <f t="shared" si="41"/>
        <v>4567</v>
      </c>
      <c r="J153" s="4">
        <v>131</v>
      </c>
      <c r="K153" s="4">
        <f t="shared" si="42"/>
        <v>3930</v>
      </c>
      <c r="L153" s="4">
        <v>3</v>
      </c>
      <c r="M153" s="4">
        <v>0</v>
      </c>
      <c r="N153" s="4">
        <f>K153+L153-M153</f>
        <v>3933</v>
      </c>
      <c r="O153" s="14">
        <f t="shared" si="44"/>
        <v>0.8606126914660831</v>
      </c>
      <c r="P153" s="4">
        <v>10</v>
      </c>
      <c r="Q153" s="4">
        <f t="shared" si="45"/>
        <v>500</v>
      </c>
      <c r="R153" s="4">
        <f t="shared" si="46"/>
        <v>500000</v>
      </c>
      <c r="S153" s="4">
        <v>2543.08</v>
      </c>
      <c r="T153" s="4">
        <f t="shared" si="47"/>
        <v>25430.799999999999</v>
      </c>
      <c r="U153" s="4">
        <v>1861.92</v>
      </c>
      <c r="V153" s="4">
        <v>1200</v>
      </c>
    </row>
    <row r="154" spans="1:22" x14ac:dyDescent="0.35">
      <c r="A154" s="3">
        <v>39</v>
      </c>
      <c r="B154" s="2">
        <v>45982</v>
      </c>
      <c r="C154" s="4"/>
      <c r="D154" s="18"/>
      <c r="E154" s="4">
        <f t="shared" si="48"/>
        <v>4567</v>
      </c>
      <c r="F154" s="4">
        <v>4</v>
      </c>
      <c r="G154" s="14">
        <f t="shared" si="40"/>
        <v>8.7584847821326915E-4</v>
      </c>
      <c r="H154" s="4"/>
      <c r="I154" s="4">
        <f t="shared" si="41"/>
        <v>4563</v>
      </c>
      <c r="J154" s="4">
        <v>131</v>
      </c>
      <c r="K154" s="4">
        <f t="shared" si="42"/>
        <v>3930</v>
      </c>
      <c r="L154" s="4">
        <v>2</v>
      </c>
      <c r="M154" s="4">
        <v>0</v>
      </c>
      <c r="N154" s="4">
        <f>K154+L154-M154</f>
        <v>3932</v>
      </c>
      <c r="O154" s="14">
        <f t="shared" si="44"/>
        <v>0.86095905408364348</v>
      </c>
      <c r="P154" s="4">
        <v>11</v>
      </c>
      <c r="Q154" s="4">
        <f t="shared" si="45"/>
        <v>550</v>
      </c>
      <c r="R154" s="4">
        <f t="shared" si="46"/>
        <v>550000</v>
      </c>
      <c r="S154" s="4">
        <v>2543.08</v>
      </c>
      <c r="T154" s="4">
        <f t="shared" si="47"/>
        <v>27973.879999999997</v>
      </c>
      <c r="U154" s="4">
        <v>1861.92</v>
      </c>
      <c r="V154" s="4">
        <v>1200</v>
      </c>
    </row>
    <row r="155" spans="1:22" x14ac:dyDescent="0.35">
      <c r="A155" s="3">
        <v>39</v>
      </c>
      <c r="B155" s="2">
        <v>45983</v>
      </c>
      <c r="C155" s="4"/>
      <c r="D155" s="18"/>
      <c r="E155" s="4">
        <f t="shared" si="48"/>
        <v>4563</v>
      </c>
      <c r="F155" s="4">
        <v>3</v>
      </c>
      <c r="G155" s="14">
        <f t="shared" si="40"/>
        <v>6.5746219592373442E-4</v>
      </c>
      <c r="H155" s="4"/>
      <c r="I155" s="4">
        <f t="shared" si="41"/>
        <v>4560</v>
      </c>
      <c r="J155" s="4">
        <v>131</v>
      </c>
      <c r="K155" s="4">
        <f t="shared" si="42"/>
        <v>3930</v>
      </c>
      <c r="L155" s="4">
        <v>3</v>
      </c>
      <c r="M155" s="4">
        <v>0</v>
      </c>
      <c r="N155" s="4">
        <f t="shared" ref="N155:N163" si="49">K155+L155-M155</f>
        <v>3933</v>
      </c>
      <c r="O155" s="14">
        <f t="shared" si="44"/>
        <v>0.86193293885601574</v>
      </c>
      <c r="P155" s="4">
        <v>11</v>
      </c>
      <c r="Q155" s="4">
        <f t="shared" si="45"/>
        <v>550</v>
      </c>
      <c r="R155" s="4">
        <f t="shared" si="46"/>
        <v>550000</v>
      </c>
      <c r="S155" s="4">
        <v>2543.08</v>
      </c>
      <c r="T155" s="4">
        <f t="shared" si="47"/>
        <v>27973.879999999997</v>
      </c>
      <c r="U155" s="4">
        <v>1861.92</v>
      </c>
      <c r="V155" s="4">
        <v>1200</v>
      </c>
    </row>
    <row r="156" spans="1:22" x14ac:dyDescent="0.35">
      <c r="A156" s="3">
        <v>39</v>
      </c>
      <c r="B156" s="2">
        <v>45984</v>
      </c>
      <c r="C156" s="4"/>
      <c r="D156" s="18"/>
      <c r="E156" s="4">
        <f t="shared" si="48"/>
        <v>4560</v>
      </c>
      <c r="F156" s="4">
        <v>4</v>
      </c>
      <c r="G156" s="14">
        <f t="shared" si="40"/>
        <v>8.7719298245614037E-4</v>
      </c>
      <c r="H156" s="4"/>
      <c r="I156" s="4">
        <f t="shared" si="41"/>
        <v>4556</v>
      </c>
      <c r="J156" s="4">
        <v>130</v>
      </c>
      <c r="K156" s="4">
        <f t="shared" si="42"/>
        <v>3900</v>
      </c>
      <c r="L156" s="4">
        <v>2</v>
      </c>
      <c r="M156" s="4">
        <v>0</v>
      </c>
      <c r="N156" s="4">
        <f t="shared" si="49"/>
        <v>3902</v>
      </c>
      <c r="O156" s="14">
        <f t="shared" si="44"/>
        <v>0.85570175438596496</v>
      </c>
      <c r="P156" s="4">
        <v>11</v>
      </c>
      <c r="Q156" s="4">
        <f t="shared" si="45"/>
        <v>550</v>
      </c>
      <c r="R156" s="4">
        <f t="shared" si="46"/>
        <v>550000</v>
      </c>
      <c r="S156" s="4">
        <v>2543.08</v>
      </c>
      <c r="T156" s="4">
        <f t="shared" si="47"/>
        <v>27973.879999999997</v>
      </c>
      <c r="U156" s="4">
        <v>1861.92</v>
      </c>
      <c r="V156" s="4">
        <v>1200</v>
      </c>
    </row>
    <row r="157" spans="1:22" x14ac:dyDescent="0.35">
      <c r="A157" s="3">
        <v>39</v>
      </c>
      <c r="B157" s="2">
        <v>45985</v>
      </c>
      <c r="C157" s="4"/>
      <c r="D157" s="18"/>
      <c r="E157" s="4">
        <f t="shared" si="48"/>
        <v>4556</v>
      </c>
      <c r="F157" s="4">
        <v>3</v>
      </c>
      <c r="G157" s="14">
        <f t="shared" si="40"/>
        <v>6.5847234416154519E-4</v>
      </c>
      <c r="H157" s="4"/>
      <c r="I157" s="4">
        <f t="shared" si="41"/>
        <v>4553</v>
      </c>
      <c r="J157" s="4">
        <v>132</v>
      </c>
      <c r="K157" s="4">
        <f t="shared" si="42"/>
        <v>3960</v>
      </c>
      <c r="L157" s="4">
        <v>2</v>
      </c>
      <c r="M157" s="4">
        <v>0</v>
      </c>
      <c r="N157" s="4">
        <f t="shared" si="49"/>
        <v>3962</v>
      </c>
      <c r="O157" s="14">
        <f t="shared" si="44"/>
        <v>0.86962247585601404</v>
      </c>
      <c r="P157" s="4">
        <v>11</v>
      </c>
      <c r="Q157" s="4">
        <f t="shared" si="45"/>
        <v>550</v>
      </c>
      <c r="R157" s="4">
        <f t="shared" si="46"/>
        <v>550000</v>
      </c>
      <c r="S157" s="4">
        <v>2543.08</v>
      </c>
      <c r="T157" s="4">
        <f t="shared" si="47"/>
        <v>27973.879999999997</v>
      </c>
      <c r="U157" s="4">
        <v>1861.92</v>
      </c>
      <c r="V157" s="4">
        <v>1200</v>
      </c>
    </row>
    <row r="158" spans="1:22" x14ac:dyDescent="0.35">
      <c r="A158" s="3">
        <v>40</v>
      </c>
      <c r="B158" s="2">
        <v>45986</v>
      </c>
      <c r="C158" s="4"/>
      <c r="D158" s="18"/>
      <c r="E158" s="4">
        <f t="shared" si="48"/>
        <v>4553</v>
      </c>
      <c r="F158" s="4">
        <v>2</v>
      </c>
      <c r="G158" s="14">
        <f t="shared" si="40"/>
        <v>4.392708104546453E-4</v>
      </c>
      <c r="H158" s="4"/>
      <c r="I158" s="4">
        <f t="shared" si="41"/>
        <v>4551</v>
      </c>
      <c r="J158" s="4">
        <v>132</v>
      </c>
      <c r="K158" s="4">
        <f t="shared" si="42"/>
        <v>3960</v>
      </c>
      <c r="L158" s="4">
        <v>2</v>
      </c>
      <c r="M158" s="4">
        <v>0</v>
      </c>
      <c r="N158" s="4">
        <f t="shared" si="49"/>
        <v>3962</v>
      </c>
      <c r="O158" s="14">
        <f t="shared" si="44"/>
        <v>0.87019547551065235</v>
      </c>
      <c r="P158" s="4">
        <v>11</v>
      </c>
      <c r="Q158" s="4">
        <f t="shared" si="45"/>
        <v>550</v>
      </c>
      <c r="R158" s="4">
        <f t="shared" si="46"/>
        <v>550000</v>
      </c>
      <c r="S158" s="4">
        <v>2543.08</v>
      </c>
      <c r="T158" s="4">
        <f t="shared" si="47"/>
        <v>27973.879999999997</v>
      </c>
      <c r="U158" s="4">
        <v>1861.92</v>
      </c>
      <c r="V158" s="4">
        <v>1300</v>
      </c>
    </row>
    <row r="159" spans="1:22" x14ac:dyDescent="0.35">
      <c r="A159" s="3">
        <v>40</v>
      </c>
      <c r="B159" s="2">
        <v>45987</v>
      </c>
      <c r="C159" s="4"/>
      <c r="D159" s="18"/>
      <c r="E159" s="4">
        <f t="shared" si="48"/>
        <v>4551</v>
      </c>
      <c r="F159" s="4">
        <v>2</v>
      </c>
      <c r="G159" s="14">
        <f t="shared" si="40"/>
        <v>4.3946385409800046E-4</v>
      </c>
      <c r="H159" s="4"/>
      <c r="I159" s="4">
        <f t="shared" si="41"/>
        <v>4549</v>
      </c>
      <c r="J159" s="4">
        <v>133</v>
      </c>
      <c r="K159" s="4">
        <f t="shared" si="42"/>
        <v>3990</v>
      </c>
      <c r="L159" s="4">
        <v>2</v>
      </c>
      <c r="M159" s="4">
        <v>0</v>
      </c>
      <c r="N159" s="4">
        <f t="shared" si="49"/>
        <v>3992</v>
      </c>
      <c r="O159" s="14">
        <f t="shared" si="44"/>
        <v>0.87716985277960891</v>
      </c>
      <c r="P159" s="4">
        <v>11</v>
      </c>
      <c r="Q159" s="4">
        <f t="shared" si="45"/>
        <v>550</v>
      </c>
      <c r="R159" s="4">
        <f t="shared" si="46"/>
        <v>550000</v>
      </c>
      <c r="S159" s="4">
        <v>2543.08</v>
      </c>
      <c r="T159" s="4">
        <f t="shared" si="47"/>
        <v>27973.879999999997</v>
      </c>
      <c r="U159" s="4">
        <v>1861.92</v>
      </c>
      <c r="V159" s="4">
        <v>1200</v>
      </c>
    </row>
    <row r="160" spans="1:22" x14ac:dyDescent="0.35">
      <c r="A160" s="3">
        <v>40</v>
      </c>
      <c r="B160" s="2">
        <v>45988</v>
      </c>
      <c r="C160" s="4"/>
      <c r="D160" s="18"/>
      <c r="E160" s="4">
        <f t="shared" si="48"/>
        <v>4549</v>
      </c>
      <c r="F160" s="4">
        <v>1</v>
      </c>
      <c r="G160" s="14">
        <f t="shared" si="40"/>
        <v>2.1982853374367993E-4</v>
      </c>
      <c r="H160" s="4"/>
      <c r="I160" s="4">
        <f t="shared" si="41"/>
        <v>4548</v>
      </c>
      <c r="J160" s="4">
        <v>134</v>
      </c>
      <c r="K160" s="4">
        <f t="shared" si="42"/>
        <v>4020</v>
      </c>
      <c r="L160" s="4">
        <v>0</v>
      </c>
      <c r="M160" s="4">
        <v>0</v>
      </c>
      <c r="N160" s="4">
        <f t="shared" si="49"/>
        <v>4020</v>
      </c>
      <c r="O160" s="14">
        <f t="shared" si="44"/>
        <v>0.88371070564959331</v>
      </c>
      <c r="P160" s="4">
        <v>11</v>
      </c>
      <c r="Q160" s="4">
        <f t="shared" si="45"/>
        <v>550</v>
      </c>
      <c r="R160" s="4">
        <f t="shared" si="46"/>
        <v>550000</v>
      </c>
      <c r="S160" s="4">
        <v>2543.08</v>
      </c>
      <c r="T160" s="4">
        <f t="shared" si="47"/>
        <v>27973.879999999997</v>
      </c>
      <c r="U160" s="4">
        <v>1861.92</v>
      </c>
      <c r="V160" s="4">
        <v>1300</v>
      </c>
    </row>
    <row r="161" spans="1:22" x14ac:dyDescent="0.35">
      <c r="A161" s="3">
        <v>40</v>
      </c>
      <c r="B161" s="2">
        <v>45989</v>
      </c>
      <c r="C161" s="4"/>
      <c r="D161" s="18"/>
      <c r="E161" s="4">
        <f t="shared" si="48"/>
        <v>4548</v>
      </c>
      <c r="F161" s="4">
        <v>2</v>
      </c>
      <c r="G161" s="14">
        <f t="shared" si="40"/>
        <v>4.3975373790677223E-4</v>
      </c>
      <c r="H161" s="4"/>
      <c r="I161" s="4">
        <f t="shared" si="41"/>
        <v>4546</v>
      </c>
      <c r="J161" s="4">
        <v>135</v>
      </c>
      <c r="K161" s="4">
        <f t="shared" si="42"/>
        <v>4050</v>
      </c>
      <c r="L161" s="4">
        <v>0</v>
      </c>
      <c r="M161" s="4">
        <v>0</v>
      </c>
      <c r="N161" s="4">
        <f t="shared" si="49"/>
        <v>4050</v>
      </c>
      <c r="O161" s="14">
        <f t="shared" si="44"/>
        <v>0.89050131926121368</v>
      </c>
      <c r="P161" s="4">
        <v>11</v>
      </c>
      <c r="Q161" s="4">
        <f t="shared" si="45"/>
        <v>550</v>
      </c>
      <c r="R161" s="4">
        <f t="shared" si="46"/>
        <v>550000</v>
      </c>
      <c r="S161" s="4">
        <v>2543.08</v>
      </c>
      <c r="T161" s="4">
        <f t="shared" si="47"/>
        <v>27973.879999999997</v>
      </c>
      <c r="U161" s="4">
        <v>1861.92</v>
      </c>
      <c r="V161" s="4">
        <v>1200</v>
      </c>
    </row>
    <row r="162" spans="1:22" x14ac:dyDescent="0.35">
      <c r="A162" s="3">
        <v>40</v>
      </c>
      <c r="B162" s="2">
        <v>45990</v>
      </c>
      <c r="C162" s="4"/>
      <c r="D162" s="18"/>
      <c r="E162" s="4">
        <f t="shared" si="48"/>
        <v>4546</v>
      </c>
      <c r="F162" s="4">
        <v>2</v>
      </c>
      <c r="G162" s="14">
        <f t="shared" si="40"/>
        <v>4.399472063352398E-4</v>
      </c>
      <c r="H162" s="4"/>
      <c r="I162" s="4">
        <f t="shared" si="41"/>
        <v>4544</v>
      </c>
      <c r="J162" s="4">
        <v>135</v>
      </c>
      <c r="K162" s="4">
        <f t="shared" si="42"/>
        <v>4050</v>
      </c>
      <c r="L162" s="4">
        <v>0</v>
      </c>
      <c r="M162" s="4">
        <v>0</v>
      </c>
      <c r="N162" s="4">
        <f t="shared" si="49"/>
        <v>4050</v>
      </c>
      <c r="O162" s="14">
        <f t="shared" si="44"/>
        <v>0.89089309282886053</v>
      </c>
      <c r="P162" s="4">
        <v>11</v>
      </c>
      <c r="Q162" s="4">
        <f t="shared" si="45"/>
        <v>550</v>
      </c>
      <c r="R162" s="4">
        <f t="shared" si="46"/>
        <v>550000</v>
      </c>
      <c r="S162" s="4">
        <v>2543.08</v>
      </c>
      <c r="T162" s="4">
        <f t="shared" si="47"/>
        <v>27973.879999999997</v>
      </c>
      <c r="U162" s="4">
        <v>1861.92</v>
      </c>
      <c r="V162" s="4">
        <v>1200</v>
      </c>
    </row>
    <row r="163" spans="1:22" x14ac:dyDescent="0.35">
      <c r="A163" s="3">
        <v>40</v>
      </c>
      <c r="B163" s="2">
        <v>45991</v>
      </c>
      <c r="C163" s="4"/>
      <c r="D163" s="18"/>
      <c r="E163" s="4">
        <f t="shared" si="48"/>
        <v>4544</v>
      </c>
      <c r="F163" s="4">
        <v>3</v>
      </c>
      <c r="G163" s="14">
        <f t="shared" si="40"/>
        <v>6.6021126760563379E-4</v>
      </c>
      <c r="H163" s="4"/>
      <c r="I163" s="4">
        <f t="shared" si="41"/>
        <v>4541</v>
      </c>
      <c r="J163" s="4">
        <v>135</v>
      </c>
      <c r="K163" s="4">
        <f t="shared" si="42"/>
        <v>4050</v>
      </c>
      <c r="L163" s="4">
        <v>0</v>
      </c>
      <c r="M163" s="4">
        <v>0</v>
      </c>
      <c r="N163" s="4">
        <f t="shared" si="49"/>
        <v>4050</v>
      </c>
      <c r="O163" s="14">
        <f t="shared" si="44"/>
        <v>0.89128521126760563</v>
      </c>
      <c r="P163" s="4">
        <v>11</v>
      </c>
      <c r="Q163" s="4">
        <f t="shared" si="45"/>
        <v>550</v>
      </c>
      <c r="R163" s="4">
        <f t="shared" si="46"/>
        <v>550000</v>
      </c>
      <c r="S163" s="4">
        <v>2543.08</v>
      </c>
      <c r="T163" s="4">
        <f t="shared" si="47"/>
        <v>27973.879999999997</v>
      </c>
      <c r="U163" s="4">
        <v>1861.92</v>
      </c>
      <c r="V163" s="4">
        <v>1700</v>
      </c>
    </row>
    <row r="164" spans="1:22" x14ac:dyDescent="0.35">
      <c r="A164" s="3"/>
      <c r="B164" s="2"/>
      <c r="C164" s="4"/>
      <c r="D164" s="18"/>
      <c r="E164" s="4"/>
      <c r="F164" s="4">
        <f>SUM(F134:F163)</f>
        <v>85</v>
      </c>
      <c r="G164" s="14"/>
      <c r="H164" s="4"/>
      <c r="I164" s="4"/>
      <c r="J164" s="4"/>
      <c r="K164" s="4"/>
      <c r="L164" s="4"/>
      <c r="M164" s="4"/>
      <c r="N164" s="4"/>
      <c r="O164" s="14"/>
      <c r="P164" s="4"/>
      <c r="Q164" s="4"/>
      <c r="R164" s="4"/>
      <c r="S164" s="4"/>
      <c r="T164" s="4"/>
    </row>
    <row r="165" spans="1:22" x14ac:dyDescent="0.35">
      <c r="A165" s="3"/>
      <c r="B165" s="2"/>
      <c r="C165" s="4"/>
      <c r="D165" s="18"/>
      <c r="E165" s="4"/>
      <c r="F165" s="4"/>
      <c r="G165" s="14"/>
      <c r="H165" s="4"/>
      <c r="I165" s="4"/>
      <c r="J165" s="4"/>
      <c r="K165" s="4"/>
      <c r="L165" s="4"/>
      <c r="M165" s="4"/>
      <c r="N165" s="4"/>
      <c r="O165" s="14"/>
      <c r="P165" s="4"/>
      <c r="Q165" s="4"/>
      <c r="R165" s="4"/>
      <c r="S165" s="4"/>
      <c r="T165" s="4"/>
    </row>
    <row r="166" spans="1:22" x14ac:dyDescent="0.35">
      <c r="B166" s="37" t="s">
        <v>1</v>
      </c>
      <c r="C166" s="38" t="s">
        <v>19</v>
      </c>
      <c r="D166" s="38" t="s">
        <v>18</v>
      </c>
      <c r="E166" s="39" t="s">
        <v>2</v>
      </c>
      <c r="F166" s="40" t="s">
        <v>3</v>
      </c>
      <c r="G166" s="41" t="s">
        <v>4</v>
      </c>
      <c r="H166" s="40" t="s">
        <v>5</v>
      </c>
      <c r="I166" s="42" t="s">
        <v>6</v>
      </c>
      <c r="J166" s="43" t="s">
        <v>7</v>
      </c>
      <c r="K166" s="40" t="s">
        <v>8</v>
      </c>
      <c r="L166" s="40" t="s">
        <v>9</v>
      </c>
      <c r="M166" s="40" t="s">
        <v>10</v>
      </c>
      <c r="N166" s="40" t="s">
        <v>11</v>
      </c>
      <c r="O166" s="44" t="s">
        <v>12</v>
      </c>
      <c r="P166" s="43" t="s">
        <v>13</v>
      </c>
      <c r="Q166" s="40" t="s">
        <v>14</v>
      </c>
      <c r="R166" s="45" t="s">
        <v>15</v>
      </c>
      <c r="S166" s="46" t="s">
        <v>16</v>
      </c>
      <c r="T166" s="47" t="s">
        <v>17</v>
      </c>
      <c r="U166" s="48" t="s">
        <v>21</v>
      </c>
      <c r="V166" s="48" t="s">
        <v>23</v>
      </c>
    </row>
    <row r="167" spans="1:22" x14ac:dyDescent="0.35">
      <c r="A167" s="3">
        <v>40</v>
      </c>
      <c r="B167" s="2">
        <v>45992</v>
      </c>
      <c r="C167" s="18"/>
      <c r="D167" s="18"/>
      <c r="E167" s="4">
        <v>4541</v>
      </c>
      <c r="F167" s="4">
        <v>2</v>
      </c>
      <c r="G167" s="14">
        <f t="shared" ref="G167:G197" si="50">F167/E167</f>
        <v>4.4043162299053072E-4</v>
      </c>
      <c r="H167" s="4"/>
      <c r="I167" s="4">
        <f t="shared" ref="I167:I197" si="51">E167-F167-H167</f>
        <v>4539</v>
      </c>
      <c r="J167" s="4">
        <v>136</v>
      </c>
      <c r="K167" s="4">
        <f t="shared" ref="K167:K197" si="52">J167*30</f>
        <v>4080</v>
      </c>
      <c r="L167" s="4">
        <v>0</v>
      </c>
      <c r="M167" s="4">
        <v>0</v>
      </c>
      <c r="N167" s="4">
        <f t="shared" ref="N167:N172" si="53">K167+L167-M167</f>
        <v>4080</v>
      </c>
      <c r="O167" s="14">
        <f t="shared" ref="O167:O197" si="54">N167/E167</f>
        <v>0.89848051090068271</v>
      </c>
      <c r="P167" s="4">
        <v>10</v>
      </c>
      <c r="Q167" s="4">
        <f t="shared" ref="Q167:Q182" si="55">P167*50</f>
        <v>500</v>
      </c>
      <c r="R167" s="4">
        <f t="shared" ref="R167:R197" si="56">Q167*1000</f>
        <v>500000</v>
      </c>
      <c r="S167" s="4">
        <v>2541.33</v>
      </c>
      <c r="T167" s="4">
        <f t="shared" ref="T167:T182" si="57">P167*S167</f>
        <v>25413.3</v>
      </c>
      <c r="U167" s="4">
        <v>1861.92</v>
      </c>
      <c r="V167" s="4">
        <v>900</v>
      </c>
    </row>
    <row r="168" spans="1:22" x14ac:dyDescent="0.35">
      <c r="A168" s="3">
        <v>41</v>
      </c>
      <c r="B168" s="2">
        <v>45993</v>
      </c>
      <c r="C168" s="4"/>
      <c r="D168" s="18"/>
      <c r="E168" s="4">
        <f t="shared" ref="E168:E183" si="58">I167</f>
        <v>4539</v>
      </c>
      <c r="F168" s="4">
        <v>2</v>
      </c>
      <c r="G168" s="14">
        <f t="shared" si="50"/>
        <v>4.4062568847763823E-4</v>
      </c>
      <c r="H168" s="4"/>
      <c r="I168" s="4">
        <f t="shared" si="51"/>
        <v>4537</v>
      </c>
      <c r="J168" s="4">
        <v>136</v>
      </c>
      <c r="K168" s="4">
        <f t="shared" si="52"/>
        <v>4080</v>
      </c>
      <c r="L168" s="4">
        <v>0</v>
      </c>
      <c r="M168" s="4">
        <v>0</v>
      </c>
      <c r="N168" s="4">
        <f t="shared" si="53"/>
        <v>4080</v>
      </c>
      <c r="O168" s="14">
        <f t="shared" si="54"/>
        <v>0.898876404494382</v>
      </c>
      <c r="P168" s="4">
        <v>10</v>
      </c>
      <c r="Q168" s="4">
        <f t="shared" si="55"/>
        <v>500</v>
      </c>
      <c r="R168" s="4">
        <f t="shared" si="56"/>
        <v>500000</v>
      </c>
      <c r="S168" s="4">
        <v>2541.33</v>
      </c>
      <c r="T168" s="4">
        <f t="shared" si="57"/>
        <v>25413.3</v>
      </c>
      <c r="U168" s="4">
        <v>1861.92</v>
      </c>
      <c r="V168" s="4"/>
    </row>
    <row r="169" spans="1:22" x14ac:dyDescent="0.35">
      <c r="A169" s="3">
        <v>41</v>
      </c>
      <c r="B169" s="2">
        <v>45994</v>
      </c>
      <c r="C169" s="19"/>
      <c r="D169" s="19"/>
      <c r="E169" s="4">
        <f t="shared" si="58"/>
        <v>4537</v>
      </c>
      <c r="F169" s="4">
        <v>2</v>
      </c>
      <c r="G169" s="14">
        <f t="shared" si="50"/>
        <v>4.4081992506061276E-4</v>
      </c>
      <c r="H169" s="7"/>
      <c r="I169" s="4">
        <f t="shared" si="51"/>
        <v>4535</v>
      </c>
      <c r="J169" s="4">
        <v>135</v>
      </c>
      <c r="K169" s="4">
        <f t="shared" si="52"/>
        <v>4050</v>
      </c>
      <c r="L169" s="4">
        <v>0</v>
      </c>
      <c r="M169" s="4">
        <v>0</v>
      </c>
      <c r="N169" s="4">
        <f t="shared" si="53"/>
        <v>4050</v>
      </c>
      <c r="O169" s="14">
        <f t="shared" si="54"/>
        <v>0.89266034824774076</v>
      </c>
      <c r="P169" s="4">
        <v>10</v>
      </c>
      <c r="Q169" s="4">
        <f t="shared" si="55"/>
        <v>500</v>
      </c>
      <c r="R169" s="4">
        <f t="shared" si="56"/>
        <v>500000</v>
      </c>
      <c r="S169" s="4">
        <v>2541.33</v>
      </c>
      <c r="T169" s="4">
        <f t="shared" si="57"/>
        <v>25413.3</v>
      </c>
      <c r="U169" s="4">
        <v>1861.92</v>
      </c>
      <c r="V169" s="4">
        <v>1100</v>
      </c>
    </row>
    <row r="170" spans="1:22" x14ac:dyDescent="0.35">
      <c r="A170" s="3">
        <v>41</v>
      </c>
      <c r="B170" s="2">
        <v>45995</v>
      </c>
      <c r="C170" s="4"/>
      <c r="D170" s="18"/>
      <c r="E170" s="4">
        <f t="shared" si="58"/>
        <v>4535</v>
      </c>
      <c r="F170" s="4">
        <v>2</v>
      </c>
      <c r="G170" s="14">
        <f t="shared" si="50"/>
        <v>4.4101433296582141E-4</v>
      </c>
      <c r="H170" s="4"/>
      <c r="I170" s="4">
        <f t="shared" si="51"/>
        <v>4533</v>
      </c>
      <c r="J170" s="4">
        <v>134</v>
      </c>
      <c r="K170" s="4">
        <f t="shared" si="52"/>
        <v>4020</v>
      </c>
      <c r="L170" s="4">
        <v>0</v>
      </c>
      <c r="M170" s="4">
        <v>0</v>
      </c>
      <c r="N170" s="4">
        <f t="shared" si="53"/>
        <v>4020</v>
      </c>
      <c r="O170" s="14">
        <f t="shared" si="54"/>
        <v>0.88643880926130103</v>
      </c>
      <c r="P170" s="4">
        <v>10</v>
      </c>
      <c r="Q170" s="4">
        <f t="shared" si="55"/>
        <v>500</v>
      </c>
      <c r="R170" s="4">
        <f t="shared" si="56"/>
        <v>500000</v>
      </c>
      <c r="S170" s="4">
        <v>2541.33</v>
      </c>
      <c r="T170" s="4">
        <f t="shared" si="57"/>
        <v>25413.3</v>
      </c>
      <c r="U170" s="4">
        <v>1861.92</v>
      </c>
      <c r="V170" s="4">
        <v>1400</v>
      </c>
    </row>
    <row r="171" spans="1:22" x14ac:dyDescent="0.35">
      <c r="A171" s="3">
        <v>41</v>
      </c>
      <c r="B171" s="2">
        <v>45996</v>
      </c>
      <c r="C171" s="4"/>
      <c r="D171" s="18"/>
      <c r="E171" s="4">
        <f t="shared" si="58"/>
        <v>4533</v>
      </c>
      <c r="F171" s="4">
        <v>2</v>
      </c>
      <c r="G171" s="14">
        <f t="shared" si="50"/>
        <v>4.4120891242003087E-4</v>
      </c>
      <c r="H171" s="4"/>
      <c r="I171" s="4">
        <f t="shared" si="51"/>
        <v>4531</v>
      </c>
      <c r="J171" s="4">
        <v>134</v>
      </c>
      <c r="K171" s="4">
        <f t="shared" si="52"/>
        <v>4020</v>
      </c>
      <c r="L171" s="4">
        <v>0</v>
      </c>
      <c r="M171" s="4">
        <v>0</v>
      </c>
      <c r="N171" s="4">
        <f t="shared" si="53"/>
        <v>4020</v>
      </c>
      <c r="O171" s="14">
        <f t="shared" si="54"/>
        <v>0.88682991396426203</v>
      </c>
      <c r="P171" s="4">
        <v>10</v>
      </c>
      <c r="Q171" s="4">
        <f t="shared" si="55"/>
        <v>500</v>
      </c>
      <c r="R171" s="4">
        <f t="shared" si="56"/>
        <v>500000</v>
      </c>
      <c r="S171" s="4">
        <v>2541.33</v>
      </c>
      <c r="T171" s="4">
        <f t="shared" si="57"/>
        <v>25413.3</v>
      </c>
      <c r="U171" s="4">
        <v>1861.92</v>
      </c>
      <c r="V171" s="4">
        <v>1400</v>
      </c>
    </row>
    <row r="172" spans="1:22" x14ac:dyDescent="0.35">
      <c r="A172" s="3">
        <v>41</v>
      </c>
      <c r="B172" s="2">
        <v>45997</v>
      </c>
      <c r="C172" s="4"/>
      <c r="D172" s="18"/>
      <c r="E172" s="4">
        <f t="shared" si="58"/>
        <v>4531</v>
      </c>
      <c r="F172" s="4">
        <v>1</v>
      </c>
      <c r="G172" s="14">
        <f t="shared" si="50"/>
        <v>2.2070183182520416E-4</v>
      </c>
      <c r="H172" s="4"/>
      <c r="I172" s="4">
        <f t="shared" si="51"/>
        <v>4530</v>
      </c>
      <c r="J172" s="4">
        <v>134</v>
      </c>
      <c r="K172" s="4">
        <f t="shared" si="52"/>
        <v>4020</v>
      </c>
      <c r="L172" s="4">
        <v>0</v>
      </c>
      <c r="M172" s="4">
        <v>0</v>
      </c>
      <c r="N172" s="4">
        <f t="shared" si="53"/>
        <v>4020</v>
      </c>
      <c r="O172" s="14">
        <f t="shared" si="54"/>
        <v>0.88722136393732065</v>
      </c>
      <c r="P172" s="4">
        <v>10</v>
      </c>
      <c r="Q172" s="4">
        <f t="shared" si="55"/>
        <v>500</v>
      </c>
      <c r="R172" s="4">
        <f t="shared" si="56"/>
        <v>500000</v>
      </c>
      <c r="S172" s="4">
        <v>2541.33</v>
      </c>
      <c r="T172" s="4">
        <f t="shared" si="57"/>
        <v>25413.3</v>
      </c>
      <c r="U172" s="4">
        <v>1861.92</v>
      </c>
      <c r="V172" s="4">
        <v>1200</v>
      </c>
    </row>
    <row r="173" spans="1:22" x14ac:dyDescent="0.35">
      <c r="A173" s="3">
        <v>41</v>
      </c>
      <c r="B173" s="2">
        <v>45998</v>
      </c>
      <c r="C173" s="4"/>
      <c r="D173" s="18"/>
      <c r="E173" s="4">
        <f t="shared" si="58"/>
        <v>4530</v>
      </c>
      <c r="F173" s="4">
        <v>2</v>
      </c>
      <c r="G173" s="14">
        <f t="shared" si="50"/>
        <v>4.4150110375275938E-4</v>
      </c>
      <c r="H173" s="4"/>
      <c r="I173" s="4">
        <f t="shared" si="51"/>
        <v>4528</v>
      </c>
      <c r="J173" s="4">
        <v>132</v>
      </c>
      <c r="K173" s="4">
        <f t="shared" si="52"/>
        <v>3960</v>
      </c>
      <c r="L173" s="4">
        <v>0</v>
      </c>
      <c r="M173" s="4">
        <v>0</v>
      </c>
      <c r="N173" s="4">
        <f>K173+L173-M173</f>
        <v>3960</v>
      </c>
      <c r="O173" s="14">
        <f t="shared" si="54"/>
        <v>0.8741721854304636</v>
      </c>
      <c r="P173" s="4">
        <v>10</v>
      </c>
      <c r="Q173" s="4">
        <f t="shared" si="55"/>
        <v>500</v>
      </c>
      <c r="R173" s="4">
        <f t="shared" si="56"/>
        <v>500000</v>
      </c>
      <c r="S173" s="4">
        <v>2541.33</v>
      </c>
      <c r="T173" s="4">
        <f t="shared" si="57"/>
        <v>25413.3</v>
      </c>
      <c r="U173" s="4">
        <v>1861.92</v>
      </c>
      <c r="V173" s="4">
        <v>1400</v>
      </c>
    </row>
    <row r="174" spans="1:22" x14ac:dyDescent="0.35">
      <c r="A174" s="3">
        <v>41</v>
      </c>
      <c r="B174" s="2">
        <v>45999</v>
      </c>
      <c r="C174" s="4"/>
      <c r="D174" s="18"/>
      <c r="E174" s="4">
        <f t="shared" si="58"/>
        <v>4528</v>
      </c>
      <c r="F174" s="4">
        <v>1</v>
      </c>
      <c r="G174" s="14">
        <f t="shared" si="50"/>
        <v>2.2084805653710247E-4</v>
      </c>
      <c r="H174" s="4"/>
      <c r="I174" s="4">
        <f t="shared" si="51"/>
        <v>4527</v>
      </c>
      <c r="J174" s="4">
        <v>133</v>
      </c>
      <c r="K174" s="4">
        <f t="shared" si="52"/>
        <v>3990</v>
      </c>
      <c r="L174" s="4">
        <v>0</v>
      </c>
      <c r="M174" s="4">
        <v>0</v>
      </c>
      <c r="N174" s="4">
        <f>K174+L174-M174</f>
        <v>3990</v>
      </c>
      <c r="O174" s="14">
        <f t="shared" si="54"/>
        <v>0.88118374558303891</v>
      </c>
      <c r="P174" s="4">
        <v>10</v>
      </c>
      <c r="Q174" s="4">
        <f t="shared" si="55"/>
        <v>500</v>
      </c>
      <c r="R174" s="4">
        <f t="shared" si="56"/>
        <v>500000</v>
      </c>
      <c r="S174" s="4">
        <v>2541.33</v>
      </c>
      <c r="T174" s="4">
        <f t="shared" si="57"/>
        <v>25413.3</v>
      </c>
      <c r="U174" s="4">
        <v>1861.92</v>
      </c>
      <c r="V174" s="4">
        <v>1300</v>
      </c>
    </row>
    <row r="175" spans="1:22" x14ac:dyDescent="0.35">
      <c r="A175" s="3">
        <v>42</v>
      </c>
      <c r="B175" s="2">
        <v>46000</v>
      </c>
      <c r="C175" s="4"/>
      <c r="D175" s="18"/>
      <c r="E175" s="4">
        <f t="shared" si="58"/>
        <v>4527</v>
      </c>
      <c r="F175" s="4">
        <v>0</v>
      </c>
      <c r="G175" s="14">
        <f t="shared" si="50"/>
        <v>0</v>
      </c>
      <c r="H175" s="4"/>
      <c r="I175" s="4">
        <f t="shared" si="51"/>
        <v>4527</v>
      </c>
      <c r="J175" s="4">
        <v>134</v>
      </c>
      <c r="K175" s="4">
        <f t="shared" si="52"/>
        <v>4020</v>
      </c>
      <c r="L175" s="4">
        <v>1</v>
      </c>
      <c r="M175" s="4">
        <v>0</v>
      </c>
      <c r="N175" s="4">
        <f>K175+L175-M175</f>
        <v>4021</v>
      </c>
      <c r="O175" s="14">
        <f t="shared" si="54"/>
        <v>0.88822619836536343</v>
      </c>
      <c r="P175" s="4">
        <v>10</v>
      </c>
      <c r="Q175" s="4">
        <f t="shared" si="55"/>
        <v>500</v>
      </c>
      <c r="R175" s="4">
        <f t="shared" si="56"/>
        <v>500000</v>
      </c>
      <c r="S175" s="4">
        <v>2541.33</v>
      </c>
      <c r="T175" s="4">
        <f t="shared" si="57"/>
        <v>25413.3</v>
      </c>
      <c r="U175" s="4">
        <v>1861.92</v>
      </c>
      <c r="V175" s="4">
        <v>1300</v>
      </c>
    </row>
    <row r="176" spans="1:22" x14ac:dyDescent="0.35">
      <c r="A176" s="3">
        <v>42</v>
      </c>
      <c r="B176" s="2">
        <v>46001</v>
      </c>
      <c r="C176" s="4"/>
      <c r="D176" s="18"/>
      <c r="E176" s="4">
        <f t="shared" si="58"/>
        <v>4527</v>
      </c>
      <c r="F176" s="4">
        <v>0</v>
      </c>
      <c r="G176" s="14">
        <f t="shared" si="50"/>
        <v>0</v>
      </c>
      <c r="H176" s="4"/>
      <c r="I176" s="4">
        <f t="shared" si="51"/>
        <v>4527</v>
      </c>
      <c r="J176" s="4">
        <v>134</v>
      </c>
      <c r="K176" s="4">
        <f t="shared" si="52"/>
        <v>4020</v>
      </c>
      <c r="L176" s="4">
        <v>1</v>
      </c>
      <c r="M176" s="4">
        <v>0</v>
      </c>
      <c r="N176" s="4">
        <f>K176+L176-M176</f>
        <v>4021</v>
      </c>
      <c r="O176" s="14">
        <f t="shared" si="54"/>
        <v>0.88822619836536343</v>
      </c>
      <c r="P176" s="4">
        <v>10</v>
      </c>
      <c r="Q176" s="4">
        <f t="shared" si="55"/>
        <v>500</v>
      </c>
      <c r="R176" s="4">
        <f t="shared" si="56"/>
        <v>500000</v>
      </c>
      <c r="S176" s="4">
        <v>2541.33</v>
      </c>
      <c r="T176" s="4">
        <f t="shared" si="57"/>
        <v>25413.3</v>
      </c>
      <c r="U176" s="4">
        <v>1861.92</v>
      </c>
      <c r="V176" s="4">
        <v>1300</v>
      </c>
    </row>
    <row r="177" spans="1:22" x14ac:dyDescent="0.35">
      <c r="A177" s="3">
        <v>42</v>
      </c>
      <c r="B177" s="2">
        <v>46002</v>
      </c>
      <c r="C177" s="4"/>
      <c r="D177" s="18"/>
      <c r="E177" s="4">
        <f t="shared" si="58"/>
        <v>4527</v>
      </c>
      <c r="F177" s="4">
        <v>0</v>
      </c>
      <c r="G177" s="14">
        <f t="shared" si="50"/>
        <v>0</v>
      </c>
      <c r="H177" s="4"/>
      <c r="I177" s="4">
        <f t="shared" si="51"/>
        <v>4527</v>
      </c>
      <c r="J177" s="4">
        <v>134</v>
      </c>
      <c r="K177" s="4">
        <f t="shared" si="52"/>
        <v>4020</v>
      </c>
      <c r="L177" s="4">
        <v>0</v>
      </c>
      <c r="M177" s="4">
        <v>0</v>
      </c>
      <c r="N177" s="4">
        <f t="shared" ref="N177:N197" si="59">K177+L177-M177</f>
        <v>4020</v>
      </c>
      <c r="O177" s="14">
        <f t="shared" si="54"/>
        <v>0.88800530152418822</v>
      </c>
      <c r="P177" s="4">
        <v>10</v>
      </c>
      <c r="Q177" s="4">
        <f t="shared" si="55"/>
        <v>500</v>
      </c>
      <c r="R177" s="4">
        <f t="shared" si="56"/>
        <v>500000</v>
      </c>
      <c r="S177" s="4">
        <v>2541.33</v>
      </c>
      <c r="T177" s="4">
        <f t="shared" si="57"/>
        <v>25413.3</v>
      </c>
      <c r="U177" s="4">
        <v>1861.92</v>
      </c>
      <c r="V177" s="4">
        <v>1300</v>
      </c>
    </row>
    <row r="178" spans="1:22" x14ac:dyDescent="0.35">
      <c r="A178" s="3">
        <v>42</v>
      </c>
      <c r="B178" s="2">
        <v>46003</v>
      </c>
      <c r="C178" s="4"/>
      <c r="D178" s="18"/>
      <c r="E178" s="4">
        <f t="shared" si="58"/>
        <v>4527</v>
      </c>
      <c r="F178" s="4">
        <v>1</v>
      </c>
      <c r="G178" s="14">
        <f t="shared" si="50"/>
        <v>2.2089684117517121E-4</v>
      </c>
      <c r="H178" s="4"/>
      <c r="I178" s="4">
        <f t="shared" si="51"/>
        <v>4526</v>
      </c>
      <c r="J178" s="4">
        <v>134</v>
      </c>
      <c r="K178" s="4">
        <f t="shared" si="52"/>
        <v>4020</v>
      </c>
      <c r="L178" s="4">
        <v>0</v>
      </c>
      <c r="M178" s="4">
        <v>0</v>
      </c>
      <c r="N178" s="4">
        <f t="shared" si="59"/>
        <v>4020</v>
      </c>
      <c r="O178" s="14">
        <f t="shared" si="54"/>
        <v>0.88800530152418822</v>
      </c>
      <c r="P178" s="4">
        <v>10</v>
      </c>
      <c r="Q178" s="4">
        <f t="shared" si="55"/>
        <v>500</v>
      </c>
      <c r="R178" s="4">
        <f t="shared" si="56"/>
        <v>500000</v>
      </c>
      <c r="S178" s="4">
        <v>2541.33</v>
      </c>
      <c r="T178" s="4">
        <f t="shared" si="57"/>
        <v>25413.3</v>
      </c>
      <c r="U178" s="4">
        <v>1861.92</v>
      </c>
      <c r="V178" s="4">
        <v>1300</v>
      </c>
    </row>
    <row r="179" spans="1:22" x14ac:dyDescent="0.35">
      <c r="A179" s="3">
        <v>42</v>
      </c>
      <c r="B179" s="2">
        <v>46004</v>
      </c>
      <c r="C179" s="4"/>
      <c r="D179" s="18"/>
      <c r="E179" s="4">
        <f t="shared" si="58"/>
        <v>4526</v>
      </c>
      <c r="F179" s="4">
        <v>1</v>
      </c>
      <c r="G179" s="14">
        <f t="shared" si="50"/>
        <v>2.2094564737074681E-4</v>
      </c>
      <c r="H179" s="4"/>
      <c r="I179" s="4">
        <f t="shared" si="51"/>
        <v>4525</v>
      </c>
      <c r="J179" s="4">
        <v>135</v>
      </c>
      <c r="K179" s="4">
        <f t="shared" si="52"/>
        <v>4050</v>
      </c>
      <c r="L179" s="4">
        <v>0</v>
      </c>
      <c r="M179" s="4">
        <v>0</v>
      </c>
      <c r="N179" s="4">
        <f t="shared" si="59"/>
        <v>4050</v>
      </c>
      <c r="O179" s="14">
        <f t="shared" si="54"/>
        <v>0.89482987185152452</v>
      </c>
      <c r="P179" s="4">
        <v>10</v>
      </c>
      <c r="Q179" s="4">
        <f t="shared" si="55"/>
        <v>500</v>
      </c>
      <c r="R179" s="4">
        <f t="shared" si="56"/>
        <v>500000</v>
      </c>
      <c r="S179" s="4">
        <v>2541.33</v>
      </c>
      <c r="T179" s="4">
        <f t="shared" si="57"/>
        <v>25413.3</v>
      </c>
      <c r="U179" s="4">
        <v>1861.92</v>
      </c>
      <c r="V179" s="4">
        <v>1100</v>
      </c>
    </row>
    <row r="180" spans="1:22" x14ac:dyDescent="0.35">
      <c r="A180" s="3">
        <v>42</v>
      </c>
      <c r="B180" s="2">
        <v>46005</v>
      </c>
      <c r="C180" s="4"/>
      <c r="D180" s="18"/>
      <c r="E180" s="4">
        <f t="shared" si="58"/>
        <v>4525</v>
      </c>
      <c r="F180" s="4">
        <v>1</v>
      </c>
      <c r="G180" s="14">
        <f t="shared" si="50"/>
        <v>2.2099447513812155E-4</v>
      </c>
      <c r="H180" s="4"/>
      <c r="I180" s="4">
        <f t="shared" si="51"/>
        <v>4524</v>
      </c>
      <c r="J180" s="4">
        <v>135</v>
      </c>
      <c r="K180" s="4">
        <f t="shared" si="52"/>
        <v>4050</v>
      </c>
      <c r="L180" s="4">
        <v>0</v>
      </c>
      <c r="M180" s="4">
        <v>0</v>
      </c>
      <c r="N180" s="4">
        <f t="shared" si="59"/>
        <v>4050</v>
      </c>
      <c r="O180" s="14">
        <f t="shared" si="54"/>
        <v>0.89502762430939231</v>
      </c>
      <c r="P180" s="4">
        <v>10</v>
      </c>
      <c r="Q180" s="4">
        <f t="shared" si="55"/>
        <v>500</v>
      </c>
      <c r="R180" s="4">
        <f t="shared" si="56"/>
        <v>500000</v>
      </c>
      <c r="S180" s="4">
        <v>2541.33</v>
      </c>
      <c r="T180" s="4">
        <f t="shared" si="57"/>
        <v>25413.3</v>
      </c>
      <c r="U180" s="4">
        <v>1861.92</v>
      </c>
      <c r="V180" s="4">
        <v>1200</v>
      </c>
    </row>
    <row r="181" spans="1:22" x14ac:dyDescent="0.35">
      <c r="A181" s="3">
        <v>42</v>
      </c>
      <c r="B181" s="2">
        <v>46006</v>
      </c>
      <c r="C181" s="4"/>
      <c r="D181" s="18"/>
      <c r="E181" s="4">
        <f t="shared" si="58"/>
        <v>4524</v>
      </c>
      <c r="F181" s="4">
        <v>0</v>
      </c>
      <c r="G181" s="14">
        <f t="shared" si="50"/>
        <v>0</v>
      </c>
      <c r="H181" s="4"/>
      <c r="I181" s="4">
        <f t="shared" si="51"/>
        <v>4524</v>
      </c>
      <c r="J181" s="4">
        <v>134</v>
      </c>
      <c r="K181" s="4">
        <f t="shared" si="52"/>
        <v>4020</v>
      </c>
      <c r="L181" s="4">
        <v>0</v>
      </c>
      <c r="M181" s="4">
        <v>0</v>
      </c>
      <c r="N181" s="4">
        <f t="shared" si="59"/>
        <v>4020</v>
      </c>
      <c r="O181" s="14">
        <f t="shared" si="54"/>
        <v>0.8885941644562334</v>
      </c>
      <c r="P181" s="4">
        <v>11</v>
      </c>
      <c r="Q181" s="4">
        <f t="shared" si="55"/>
        <v>550</v>
      </c>
      <c r="R181" s="4">
        <f t="shared" si="56"/>
        <v>550000</v>
      </c>
      <c r="S181" s="4">
        <v>2541.33</v>
      </c>
      <c r="T181" s="4">
        <f t="shared" si="57"/>
        <v>27954.629999999997</v>
      </c>
      <c r="U181" s="4">
        <v>1861.92</v>
      </c>
      <c r="V181" s="4">
        <v>2300</v>
      </c>
    </row>
    <row r="182" spans="1:22" x14ac:dyDescent="0.35">
      <c r="A182" s="3">
        <v>43</v>
      </c>
      <c r="B182" s="2">
        <v>46007</v>
      </c>
      <c r="C182" s="4"/>
      <c r="D182" s="18"/>
      <c r="E182" s="4">
        <f t="shared" si="58"/>
        <v>4524</v>
      </c>
      <c r="F182" s="4">
        <v>0</v>
      </c>
      <c r="G182" s="14">
        <f t="shared" si="50"/>
        <v>0</v>
      </c>
      <c r="H182" s="4"/>
      <c r="I182" s="4">
        <f t="shared" si="51"/>
        <v>4524</v>
      </c>
      <c r="J182" s="4">
        <v>133</v>
      </c>
      <c r="K182" s="4">
        <f t="shared" si="52"/>
        <v>3990</v>
      </c>
      <c r="L182" s="4">
        <v>0</v>
      </c>
      <c r="M182" s="4">
        <v>0</v>
      </c>
      <c r="N182" s="4">
        <f t="shared" si="59"/>
        <v>3990</v>
      </c>
      <c r="O182" s="14">
        <f t="shared" si="54"/>
        <v>0.88196286472148544</v>
      </c>
      <c r="P182" s="4">
        <v>11</v>
      </c>
      <c r="Q182" s="4">
        <f t="shared" si="55"/>
        <v>550</v>
      </c>
      <c r="R182" s="4">
        <f t="shared" si="56"/>
        <v>550000</v>
      </c>
      <c r="S182" s="4">
        <v>2541.33</v>
      </c>
      <c r="T182" s="4">
        <f t="shared" si="57"/>
        <v>27954.629999999997</v>
      </c>
      <c r="U182" s="4">
        <v>1861.92</v>
      </c>
      <c r="V182" s="4">
        <v>1200</v>
      </c>
    </row>
    <row r="183" spans="1:22" x14ac:dyDescent="0.35">
      <c r="A183" s="3">
        <v>43</v>
      </c>
      <c r="B183" s="2">
        <v>46008</v>
      </c>
      <c r="C183" s="4"/>
      <c r="D183" s="18"/>
      <c r="E183" s="4">
        <f t="shared" si="58"/>
        <v>4524</v>
      </c>
      <c r="F183" s="4">
        <v>1</v>
      </c>
      <c r="G183" s="14">
        <f t="shared" si="50"/>
        <v>2.2104332449160034E-4</v>
      </c>
      <c r="H183" s="4"/>
      <c r="I183" s="4">
        <f t="shared" si="51"/>
        <v>4523</v>
      </c>
      <c r="J183" s="4">
        <v>133</v>
      </c>
      <c r="K183" s="4">
        <f t="shared" si="52"/>
        <v>3990</v>
      </c>
      <c r="L183" s="4">
        <v>0</v>
      </c>
      <c r="M183" s="4">
        <v>0</v>
      </c>
      <c r="N183" s="4">
        <f t="shared" si="59"/>
        <v>3990</v>
      </c>
      <c r="O183" s="14">
        <f t="shared" si="54"/>
        <v>0.88196286472148544</v>
      </c>
      <c r="P183" s="4">
        <v>11</v>
      </c>
      <c r="Q183" s="4">
        <f t="shared" ref="Q183:Q197" si="60">P183*50</f>
        <v>550</v>
      </c>
      <c r="R183" s="4">
        <f t="shared" si="56"/>
        <v>550000</v>
      </c>
      <c r="S183" s="4">
        <v>2541.33</v>
      </c>
      <c r="T183" s="4">
        <f t="shared" ref="T183:T197" si="61">P183*S183</f>
        <v>27954.629999999997</v>
      </c>
      <c r="U183" s="4">
        <v>1861.92</v>
      </c>
      <c r="V183" s="4">
        <v>1100</v>
      </c>
    </row>
    <row r="184" spans="1:22" x14ac:dyDescent="0.35">
      <c r="A184" s="3">
        <v>43</v>
      </c>
      <c r="B184" s="2">
        <v>46009</v>
      </c>
      <c r="C184" s="4"/>
      <c r="D184" s="18"/>
      <c r="E184" s="4">
        <f t="shared" ref="E184:E197" si="62">I183</f>
        <v>4523</v>
      </c>
      <c r="F184" s="4">
        <v>1</v>
      </c>
      <c r="G184" s="14">
        <f t="shared" si="50"/>
        <v>2.2109219544550078E-4</v>
      </c>
      <c r="H184" s="4"/>
      <c r="I184" s="4">
        <f t="shared" si="51"/>
        <v>4522</v>
      </c>
      <c r="J184" s="4">
        <v>133</v>
      </c>
      <c r="K184" s="4">
        <f t="shared" si="52"/>
        <v>3990</v>
      </c>
      <c r="L184" s="4">
        <v>0</v>
      </c>
      <c r="M184" s="4">
        <v>0</v>
      </c>
      <c r="N184" s="4">
        <f t="shared" si="59"/>
        <v>3990</v>
      </c>
      <c r="O184" s="14">
        <f t="shared" si="54"/>
        <v>0.88215785982754813</v>
      </c>
      <c r="P184" s="4">
        <v>11</v>
      </c>
      <c r="Q184" s="4">
        <f t="shared" si="60"/>
        <v>550</v>
      </c>
      <c r="R184" s="4">
        <f t="shared" si="56"/>
        <v>550000</v>
      </c>
      <c r="S184" s="4">
        <v>2541.33</v>
      </c>
      <c r="T184" s="4">
        <f t="shared" si="61"/>
        <v>27954.629999999997</v>
      </c>
      <c r="U184" s="4">
        <v>1861.92</v>
      </c>
      <c r="V184" s="4">
        <v>1200</v>
      </c>
    </row>
    <row r="185" spans="1:22" x14ac:dyDescent="0.35">
      <c r="A185" s="3">
        <v>43</v>
      </c>
      <c r="B185" s="2">
        <v>46010</v>
      </c>
      <c r="C185" s="4"/>
      <c r="D185" s="18"/>
      <c r="E185" s="4">
        <f t="shared" si="62"/>
        <v>4522</v>
      </c>
      <c r="F185" s="4">
        <v>0</v>
      </c>
      <c r="G185" s="14">
        <f t="shared" si="50"/>
        <v>0</v>
      </c>
      <c r="H185" s="4"/>
      <c r="I185" s="4">
        <f t="shared" si="51"/>
        <v>4522</v>
      </c>
      <c r="J185" s="4">
        <v>131</v>
      </c>
      <c r="K185" s="4">
        <f t="shared" si="52"/>
        <v>3930</v>
      </c>
      <c r="L185" s="4">
        <v>0</v>
      </c>
      <c r="M185" s="4">
        <v>0</v>
      </c>
      <c r="N185" s="4">
        <f t="shared" si="59"/>
        <v>3930</v>
      </c>
      <c r="O185" s="14">
        <f t="shared" si="54"/>
        <v>0.86908447589562143</v>
      </c>
      <c r="P185" s="4">
        <v>10</v>
      </c>
      <c r="Q185" s="4">
        <f t="shared" si="60"/>
        <v>500</v>
      </c>
      <c r="R185" s="4">
        <f t="shared" si="56"/>
        <v>500000</v>
      </c>
      <c r="S185" s="4">
        <v>2541.33</v>
      </c>
      <c r="T185" s="4">
        <f t="shared" si="61"/>
        <v>25413.3</v>
      </c>
      <c r="U185" s="4">
        <v>1861.92</v>
      </c>
      <c r="V185" s="4">
        <v>1300</v>
      </c>
    </row>
    <row r="186" spans="1:22" x14ac:dyDescent="0.35">
      <c r="A186" s="3">
        <v>43</v>
      </c>
      <c r="B186" s="2">
        <v>46011</v>
      </c>
      <c r="C186" s="4"/>
      <c r="D186" s="18"/>
      <c r="E186" s="4">
        <f t="shared" si="62"/>
        <v>4522</v>
      </c>
      <c r="F186" s="4">
        <v>1</v>
      </c>
      <c r="G186" s="14">
        <f t="shared" si="50"/>
        <v>2.2114108801415304E-4</v>
      </c>
      <c r="H186" s="4"/>
      <c r="I186" s="4">
        <f t="shared" si="51"/>
        <v>4521</v>
      </c>
      <c r="J186" s="4">
        <v>133</v>
      </c>
      <c r="K186" s="4">
        <f t="shared" si="52"/>
        <v>3990</v>
      </c>
      <c r="L186" s="4">
        <v>0</v>
      </c>
      <c r="M186" s="4">
        <v>0</v>
      </c>
      <c r="N186" s="4">
        <f t="shared" si="59"/>
        <v>3990</v>
      </c>
      <c r="O186" s="14">
        <f t="shared" si="54"/>
        <v>0.88235294117647056</v>
      </c>
      <c r="P186" s="4">
        <v>11</v>
      </c>
      <c r="Q186" s="4">
        <f t="shared" si="60"/>
        <v>550</v>
      </c>
      <c r="R186" s="4">
        <f t="shared" si="56"/>
        <v>550000</v>
      </c>
      <c r="S186" s="4">
        <v>2541.33</v>
      </c>
      <c r="T186" s="4">
        <f t="shared" si="61"/>
        <v>27954.629999999997</v>
      </c>
      <c r="U186" s="4">
        <v>1861.92</v>
      </c>
      <c r="V186" s="4">
        <v>1100</v>
      </c>
    </row>
    <row r="187" spans="1:22" x14ac:dyDescent="0.35">
      <c r="A187" s="3">
        <v>43</v>
      </c>
      <c r="B187" s="2">
        <v>46012</v>
      </c>
      <c r="C187" s="4"/>
      <c r="D187" s="18"/>
      <c r="E187" s="4">
        <f t="shared" si="62"/>
        <v>4521</v>
      </c>
      <c r="F187" s="4">
        <v>1</v>
      </c>
      <c r="G187" s="14">
        <f t="shared" si="50"/>
        <v>2.2119000221190003E-4</v>
      </c>
      <c r="H187" s="4"/>
      <c r="I187" s="4">
        <f t="shared" si="51"/>
        <v>4520</v>
      </c>
      <c r="J187" s="4">
        <v>133</v>
      </c>
      <c r="K187" s="4">
        <f t="shared" si="52"/>
        <v>3990</v>
      </c>
      <c r="L187" s="4">
        <v>0</v>
      </c>
      <c r="M187" s="4">
        <v>0</v>
      </c>
      <c r="N187" s="4">
        <f t="shared" si="59"/>
        <v>3990</v>
      </c>
      <c r="O187" s="14">
        <f t="shared" si="54"/>
        <v>0.88254810882548107</v>
      </c>
      <c r="P187" s="4">
        <v>11</v>
      </c>
      <c r="Q187" s="4">
        <f t="shared" si="60"/>
        <v>550</v>
      </c>
      <c r="R187" s="4">
        <f t="shared" si="56"/>
        <v>550000</v>
      </c>
      <c r="S187" s="4">
        <v>2541.33</v>
      </c>
      <c r="T187" s="4">
        <f t="shared" si="61"/>
        <v>27954.629999999997</v>
      </c>
      <c r="U187" s="4">
        <v>1861.92</v>
      </c>
      <c r="V187" s="4">
        <v>200</v>
      </c>
    </row>
    <row r="188" spans="1:22" x14ac:dyDescent="0.35">
      <c r="A188" s="3">
        <v>43</v>
      </c>
      <c r="B188" s="2">
        <v>46013</v>
      </c>
      <c r="C188" s="4"/>
      <c r="D188" s="18"/>
      <c r="E188" s="4">
        <f t="shared" si="62"/>
        <v>4520</v>
      </c>
      <c r="F188" s="4">
        <v>0</v>
      </c>
      <c r="G188" s="14">
        <f t="shared" si="50"/>
        <v>0</v>
      </c>
      <c r="H188" s="4"/>
      <c r="I188" s="4">
        <f t="shared" si="51"/>
        <v>4520</v>
      </c>
      <c r="J188" s="4">
        <v>133</v>
      </c>
      <c r="K188" s="4">
        <f t="shared" si="52"/>
        <v>3990</v>
      </c>
      <c r="L188" s="4">
        <v>0</v>
      </c>
      <c r="M188" s="4">
        <v>0</v>
      </c>
      <c r="N188" s="4">
        <f t="shared" si="59"/>
        <v>3990</v>
      </c>
      <c r="O188" s="14">
        <f t="shared" si="54"/>
        <v>0.88274336283185839</v>
      </c>
      <c r="P188" s="4">
        <v>11</v>
      </c>
      <c r="Q188" s="4">
        <f t="shared" si="60"/>
        <v>550</v>
      </c>
      <c r="R188" s="4">
        <f t="shared" si="56"/>
        <v>550000</v>
      </c>
      <c r="S188" s="4">
        <v>2541.33</v>
      </c>
      <c r="T188" s="4">
        <f t="shared" si="61"/>
        <v>27954.629999999997</v>
      </c>
      <c r="U188" s="4">
        <v>1861.92</v>
      </c>
      <c r="V188" s="4">
        <v>800</v>
      </c>
    </row>
    <row r="189" spans="1:22" x14ac:dyDescent="0.35">
      <c r="A189" s="3">
        <v>44</v>
      </c>
      <c r="B189" s="2">
        <v>46014</v>
      </c>
      <c r="C189" s="4"/>
      <c r="D189" s="18"/>
      <c r="E189" s="4">
        <f t="shared" si="62"/>
        <v>4520</v>
      </c>
      <c r="F189" s="4">
        <v>1</v>
      </c>
      <c r="G189" s="14">
        <f t="shared" si="50"/>
        <v>2.2123893805309734E-4</v>
      </c>
      <c r="H189" s="4"/>
      <c r="I189" s="4">
        <f t="shared" si="51"/>
        <v>4519</v>
      </c>
      <c r="J189" s="4">
        <v>135</v>
      </c>
      <c r="K189" s="4">
        <f t="shared" si="52"/>
        <v>4050</v>
      </c>
      <c r="L189" s="4">
        <v>0</v>
      </c>
      <c r="M189" s="4">
        <v>0</v>
      </c>
      <c r="N189" s="4">
        <f t="shared" si="59"/>
        <v>4050</v>
      </c>
      <c r="O189" s="14">
        <f t="shared" si="54"/>
        <v>0.89601769911504425</v>
      </c>
      <c r="P189" s="4">
        <v>10</v>
      </c>
      <c r="Q189" s="4">
        <f t="shared" si="60"/>
        <v>500</v>
      </c>
      <c r="R189" s="4">
        <f t="shared" si="56"/>
        <v>500000</v>
      </c>
      <c r="S189" s="4">
        <v>2541.33</v>
      </c>
      <c r="T189" s="4">
        <f t="shared" si="61"/>
        <v>25413.3</v>
      </c>
      <c r="U189" s="4">
        <v>1861.92</v>
      </c>
      <c r="V189" s="4">
        <v>1100</v>
      </c>
    </row>
    <row r="190" spans="1:22" x14ac:dyDescent="0.35">
      <c r="A190" s="3">
        <v>44</v>
      </c>
      <c r="B190" s="2">
        <v>46015</v>
      </c>
      <c r="C190" s="4"/>
      <c r="D190" s="18"/>
      <c r="E190" s="4">
        <f t="shared" si="62"/>
        <v>4519</v>
      </c>
      <c r="F190" s="4">
        <v>1</v>
      </c>
      <c r="G190" s="14">
        <f t="shared" si="50"/>
        <v>2.2128789555211331E-4</v>
      </c>
      <c r="H190" s="4"/>
      <c r="I190" s="4">
        <f t="shared" si="51"/>
        <v>4518</v>
      </c>
      <c r="J190" s="4">
        <v>135</v>
      </c>
      <c r="K190" s="4">
        <f t="shared" si="52"/>
        <v>4050</v>
      </c>
      <c r="L190" s="4">
        <v>0</v>
      </c>
      <c r="M190" s="4">
        <v>0</v>
      </c>
      <c r="N190" s="4">
        <f t="shared" si="59"/>
        <v>4050</v>
      </c>
      <c r="O190" s="14">
        <f t="shared" si="54"/>
        <v>0.89621597698605882</v>
      </c>
      <c r="P190" s="4">
        <v>10</v>
      </c>
      <c r="Q190" s="4">
        <f t="shared" si="60"/>
        <v>500</v>
      </c>
      <c r="R190" s="4">
        <f t="shared" si="56"/>
        <v>500000</v>
      </c>
      <c r="S190" s="4">
        <v>2541.33</v>
      </c>
      <c r="T190" s="4">
        <f t="shared" si="61"/>
        <v>25413.3</v>
      </c>
      <c r="U190" s="4">
        <v>1861.92</v>
      </c>
      <c r="V190" s="4">
        <v>1200</v>
      </c>
    </row>
    <row r="191" spans="1:22" x14ac:dyDescent="0.35">
      <c r="A191" s="3">
        <v>44</v>
      </c>
      <c r="B191" s="2">
        <v>46016</v>
      </c>
      <c r="C191" s="4"/>
      <c r="D191" s="18"/>
      <c r="E191" s="4">
        <f t="shared" si="62"/>
        <v>4518</v>
      </c>
      <c r="F191" s="4">
        <v>1</v>
      </c>
      <c r="G191" s="14">
        <f t="shared" si="50"/>
        <v>2.2133687472332891E-4</v>
      </c>
      <c r="H191" s="4"/>
      <c r="I191" s="4">
        <f t="shared" si="51"/>
        <v>4517</v>
      </c>
      <c r="J191" s="4">
        <v>134</v>
      </c>
      <c r="K191" s="4">
        <f t="shared" si="52"/>
        <v>4020</v>
      </c>
      <c r="L191" s="4">
        <v>0</v>
      </c>
      <c r="M191" s="4">
        <v>0</v>
      </c>
      <c r="N191" s="4">
        <f t="shared" si="59"/>
        <v>4020</v>
      </c>
      <c r="O191" s="14">
        <f t="shared" si="54"/>
        <v>0.88977423638778219</v>
      </c>
      <c r="P191" s="4">
        <v>11</v>
      </c>
      <c r="Q191" s="4">
        <f t="shared" si="60"/>
        <v>550</v>
      </c>
      <c r="R191" s="4">
        <f t="shared" si="56"/>
        <v>550000</v>
      </c>
      <c r="S191" s="4">
        <v>2541.33</v>
      </c>
      <c r="T191" s="4">
        <f t="shared" si="61"/>
        <v>27954.629999999997</v>
      </c>
      <c r="U191" s="4">
        <v>1861.92</v>
      </c>
      <c r="V191" s="4">
        <v>1100</v>
      </c>
    </row>
    <row r="192" spans="1:22" x14ac:dyDescent="0.35">
      <c r="A192" s="3">
        <v>44</v>
      </c>
      <c r="B192" s="2">
        <v>46017</v>
      </c>
      <c r="C192" s="4"/>
      <c r="D192" s="18"/>
      <c r="E192" s="4">
        <f t="shared" si="62"/>
        <v>4517</v>
      </c>
      <c r="F192" s="4">
        <v>1</v>
      </c>
      <c r="G192" s="14">
        <f t="shared" si="50"/>
        <v>2.2138587558113792E-4</v>
      </c>
      <c r="H192" s="4"/>
      <c r="I192" s="4">
        <f t="shared" si="51"/>
        <v>4516</v>
      </c>
      <c r="J192" s="4">
        <v>134</v>
      </c>
      <c r="K192" s="4">
        <f t="shared" si="52"/>
        <v>4020</v>
      </c>
      <c r="L192" s="4">
        <v>0</v>
      </c>
      <c r="M192" s="4">
        <v>0</v>
      </c>
      <c r="N192" s="4">
        <f t="shared" si="59"/>
        <v>4020</v>
      </c>
      <c r="O192" s="14">
        <f t="shared" si="54"/>
        <v>0.88997121983617444</v>
      </c>
      <c r="P192" s="4">
        <v>11</v>
      </c>
      <c r="Q192" s="4">
        <f t="shared" si="60"/>
        <v>550</v>
      </c>
      <c r="R192" s="4">
        <f t="shared" si="56"/>
        <v>550000</v>
      </c>
      <c r="S192" s="4">
        <v>2541.33</v>
      </c>
      <c r="T192" s="4">
        <f t="shared" si="61"/>
        <v>27954.629999999997</v>
      </c>
      <c r="U192" s="4">
        <v>1861.92</v>
      </c>
      <c r="V192" s="4">
        <v>1300</v>
      </c>
    </row>
    <row r="193" spans="1:22" x14ac:dyDescent="0.35">
      <c r="A193" s="3">
        <v>44</v>
      </c>
      <c r="B193" s="2">
        <v>46018</v>
      </c>
      <c r="C193" s="4"/>
      <c r="D193" s="18"/>
      <c r="E193" s="4">
        <f t="shared" si="62"/>
        <v>4516</v>
      </c>
      <c r="F193" s="4">
        <v>0</v>
      </c>
      <c r="G193" s="14">
        <f t="shared" si="50"/>
        <v>0</v>
      </c>
      <c r="H193" s="4"/>
      <c r="I193" s="4">
        <f t="shared" si="51"/>
        <v>4516</v>
      </c>
      <c r="J193" s="4">
        <v>134</v>
      </c>
      <c r="K193" s="4">
        <f t="shared" si="52"/>
        <v>4020</v>
      </c>
      <c r="L193" s="4">
        <v>0</v>
      </c>
      <c r="M193" s="4">
        <v>0</v>
      </c>
      <c r="N193" s="4">
        <f t="shared" si="59"/>
        <v>4020</v>
      </c>
      <c r="O193" s="14">
        <f t="shared" si="54"/>
        <v>0.89016829052258639</v>
      </c>
      <c r="P193" s="4">
        <v>11</v>
      </c>
      <c r="Q193" s="4">
        <f t="shared" si="60"/>
        <v>550</v>
      </c>
      <c r="R193" s="4">
        <f t="shared" si="56"/>
        <v>550000</v>
      </c>
      <c r="S193" s="4">
        <v>2724.71</v>
      </c>
      <c r="T193" s="4">
        <f t="shared" si="61"/>
        <v>29971.81</v>
      </c>
      <c r="U193" s="4">
        <v>1861.92</v>
      </c>
      <c r="V193" s="4">
        <v>1300</v>
      </c>
    </row>
    <row r="194" spans="1:22" x14ac:dyDescent="0.35">
      <c r="A194" s="3">
        <v>44</v>
      </c>
      <c r="B194" s="2">
        <v>46019</v>
      </c>
      <c r="C194" s="4"/>
      <c r="D194" s="18"/>
      <c r="E194" s="4">
        <f t="shared" si="62"/>
        <v>4516</v>
      </c>
      <c r="F194" s="4">
        <v>1</v>
      </c>
      <c r="G194" s="14">
        <f t="shared" si="50"/>
        <v>2.2143489813994686E-4</v>
      </c>
      <c r="H194" s="4"/>
      <c r="I194" s="4">
        <f t="shared" si="51"/>
        <v>4515</v>
      </c>
      <c r="J194" s="4">
        <v>134</v>
      </c>
      <c r="K194" s="4">
        <f t="shared" si="52"/>
        <v>4020</v>
      </c>
      <c r="L194" s="4">
        <v>0</v>
      </c>
      <c r="M194" s="4">
        <v>0</v>
      </c>
      <c r="N194" s="4">
        <f t="shared" si="59"/>
        <v>4020</v>
      </c>
      <c r="O194" s="14">
        <f t="shared" si="54"/>
        <v>0.89016829052258639</v>
      </c>
      <c r="P194" s="4">
        <v>11</v>
      </c>
      <c r="Q194" s="4">
        <f t="shared" si="60"/>
        <v>550</v>
      </c>
      <c r="R194" s="4">
        <f t="shared" si="56"/>
        <v>550000</v>
      </c>
      <c r="S194" s="4">
        <v>2724.71</v>
      </c>
      <c r="T194" s="4">
        <f t="shared" si="61"/>
        <v>29971.81</v>
      </c>
      <c r="U194" s="4">
        <v>1861.92</v>
      </c>
      <c r="V194" s="4">
        <v>1200</v>
      </c>
    </row>
    <row r="195" spans="1:22" x14ac:dyDescent="0.35">
      <c r="A195" s="3">
        <v>44</v>
      </c>
      <c r="B195" s="2">
        <v>46020</v>
      </c>
      <c r="C195" s="4"/>
      <c r="D195" s="18"/>
      <c r="E195" s="4">
        <f t="shared" si="62"/>
        <v>4515</v>
      </c>
      <c r="F195" s="4">
        <v>1</v>
      </c>
      <c r="G195" s="14">
        <f t="shared" si="50"/>
        <v>2.2148394241417498E-4</v>
      </c>
      <c r="H195" s="4"/>
      <c r="I195" s="4">
        <f t="shared" si="51"/>
        <v>4514</v>
      </c>
      <c r="J195" s="4">
        <v>133</v>
      </c>
      <c r="K195" s="4">
        <f t="shared" si="52"/>
        <v>3990</v>
      </c>
      <c r="L195" s="4">
        <v>0</v>
      </c>
      <c r="M195" s="4">
        <v>0</v>
      </c>
      <c r="N195" s="4">
        <f t="shared" si="59"/>
        <v>3990</v>
      </c>
      <c r="O195" s="14">
        <f t="shared" si="54"/>
        <v>0.88372093023255816</v>
      </c>
      <c r="P195" s="4">
        <v>11</v>
      </c>
      <c r="Q195" s="4">
        <f t="shared" si="60"/>
        <v>550</v>
      </c>
      <c r="R195" s="4">
        <f t="shared" si="56"/>
        <v>550000</v>
      </c>
      <c r="S195" s="4">
        <v>2724.71</v>
      </c>
      <c r="T195" s="4">
        <f t="shared" si="61"/>
        <v>29971.81</v>
      </c>
      <c r="U195" s="4">
        <v>1861.92</v>
      </c>
      <c r="V195" s="4">
        <v>1200</v>
      </c>
    </row>
    <row r="196" spans="1:22" x14ac:dyDescent="0.35">
      <c r="A196" s="3">
        <v>45</v>
      </c>
      <c r="B196" s="2">
        <v>46021</v>
      </c>
      <c r="C196" s="4"/>
      <c r="D196" s="18"/>
      <c r="E196" s="4">
        <f t="shared" si="62"/>
        <v>4514</v>
      </c>
      <c r="F196" s="4">
        <v>1</v>
      </c>
      <c r="G196" s="14">
        <f t="shared" si="50"/>
        <v>2.2153300841825432E-4</v>
      </c>
      <c r="H196" s="4"/>
      <c r="I196" s="4">
        <f t="shared" si="51"/>
        <v>4513</v>
      </c>
      <c r="J196" s="4">
        <v>132</v>
      </c>
      <c r="K196" s="4">
        <f t="shared" si="52"/>
        <v>3960</v>
      </c>
      <c r="L196" s="4">
        <v>0</v>
      </c>
      <c r="M196" s="4">
        <v>0</v>
      </c>
      <c r="N196" s="4">
        <f t="shared" si="59"/>
        <v>3960</v>
      </c>
      <c r="O196" s="14">
        <f t="shared" si="54"/>
        <v>0.87727071333628714</v>
      </c>
      <c r="P196" s="4">
        <v>11</v>
      </c>
      <c r="Q196" s="4">
        <f t="shared" si="60"/>
        <v>550</v>
      </c>
      <c r="R196" s="4">
        <f t="shared" si="56"/>
        <v>550000</v>
      </c>
      <c r="S196" s="4">
        <v>2724.71</v>
      </c>
      <c r="T196" s="4">
        <f t="shared" si="61"/>
        <v>29971.81</v>
      </c>
      <c r="U196" s="4">
        <v>1861.92</v>
      </c>
      <c r="V196" s="4">
        <v>800</v>
      </c>
    </row>
    <row r="197" spans="1:22" x14ac:dyDescent="0.35">
      <c r="A197" s="3">
        <v>45</v>
      </c>
      <c r="B197" s="2">
        <v>46022</v>
      </c>
      <c r="C197" s="4"/>
      <c r="D197" s="18"/>
      <c r="E197" s="4">
        <f t="shared" si="62"/>
        <v>4513</v>
      </c>
      <c r="F197" s="4">
        <v>0</v>
      </c>
      <c r="G197" s="14">
        <f t="shared" si="50"/>
        <v>0</v>
      </c>
      <c r="H197" s="4"/>
      <c r="I197" s="4">
        <f t="shared" si="51"/>
        <v>4513</v>
      </c>
      <c r="J197" s="4">
        <v>129</v>
      </c>
      <c r="K197" s="4">
        <f t="shared" si="52"/>
        <v>3870</v>
      </c>
      <c r="L197" s="4">
        <v>0</v>
      </c>
      <c r="M197" s="4">
        <v>0</v>
      </c>
      <c r="N197" s="4">
        <f t="shared" si="59"/>
        <v>3870</v>
      </c>
      <c r="O197" s="14">
        <f t="shared" si="54"/>
        <v>0.85752271216485709</v>
      </c>
      <c r="P197" s="4">
        <v>11</v>
      </c>
      <c r="Q197" s="4">
        <f t="shared" si="60"/>
        <v>550</v>
      </c>
      <c r="R197" s="4">
        <f t="shared" si="56"/>
        <v>550000</v>
      </c>
      <c r="S197" s="4">
        <v>2724.71</v>
      </c>
      <c r="T197" s="4">
        <f t="shared" si="61"/>
        <v>29971.81</v>
      </c>
      <c r="U197" s="4">
        <v>1861.92</v>
      </c>
      <c r="V197" s="4">
        <v>1200</v>
      </c>
    </row>
    <row r="198" spans="1:22" x14ac:dyDescent="0.35">
      <c r="A198" s="3"/>
      <c r="B198" s="2"/>
      <c r="C198" s="4"/>
      <c r="D198" s="18"/>
      <c r="E198" s="4"/>
      <c r="F198" s="4">
        <f>SUM(F167:F197)</f>
        <v>28</v>
      </c>
      <c r="G198" s="14"/>
      <c r="H198" s="4"/>
      <c r="I198" s="4"/>
      <c r="J198" s="4"/>
      <c r="K198" s="4"/>
      <c r="L198" s="4"/>
      <c r="M198" s="4"/>
      <c r="N198" s="4"/>
      <c r="O198" s="14"/>
      <c r="P198" s="4"/>
      <c r="Q198" s="4"/>
      <c r="R198" s="4"/>
      <c r="S198" s="4"/>
      <c r="T198" s="4"/>
    </row>
    <row r="199" spans="1:22" x14ac:dyDescent="0.35">
      <c r="A199" s="3"/>
      <c r="B199" s="2"/>
      <c r="C199" s="4"/>
      <c r="D199" s="18"/>
      <c r="E199" s="4"/>
      <c r="F199" s="4"/>
      <c r="G199" s="14"/>
      <c r="H199" s="4"/>
      <c r="I199" s="4"/>
      <c r="J199" s="4"/>
      <c r="K199" s="4"/>
      <c r="L199" s="4"/>
      <c r="M199" s="4"/>
      <c r="N199" s="4"/>
      <c r="O199" s="14"/>
      <c r="P199" s="4"/>
      <c r="Q199" s="4"/>
      <c r="R199" s="4"/>
      <c r="S199" s="4"/>
      <c r="T199" s="4"/>
    </row>
    <row r="200" spans="1:22" x14ac:dyDescent="0.35">
      <c r="B200" s="37" t="s">
        <v>1</v>
      </c>
      <c r="C200" s="38" t="s">
        <v>19</v>
      </c>
      <c r="D200" s="38" t="s">
        <v>18</v>
      </c>
      <c r="E200" s="39" t="s">
        <v>2</v>
      </c>
      <c r="F200" s="40" t="s">
        <v>3</v>
      </c>
      <c r="G200" s="41" t="s">
        <v>4</v>
      </c>
      <c r="H200" s="40" t="s">
        <v>5</v>
      </c>
      <c r="I200" s="42" t="s">
        <v>6</v>
      </c>
      <c r="J200" s="43" t="s">
        <v>7</v>
      </c>
      <c r="K200" s="40" t="s">
        <v>8</v>
      </c>
      <c r="L200" s="40" t="s">
        <v>9</v>
      </c>
      <c r="M200" s="40" t="s">
        <v>10</v>
      </c>
      <c r="N200" s="40" t="s">
        <v>11</v>
      </c>
      <c r="O200" s="44" t="s">
        <v>12</v>
      </c>
      <c r="P200" s="43" t="s">
        <v>13</v>
      </c>
      <c r="Q200" s="40" t="s">
        <v>14</v>
      </c>
      <c r="R200" s="45" t="s">
        <v>15</v>
      </c>
      <c r="S200" s="46" t="s">
        <v>16</v>
      </c>
      <c r="T200" s="47" t="s">
        <v>17</v>
      </c>
      <c r="U200" s="48" t="s">
        <v>21</v>
      </c>
      <c r="V200" s="48" t="s">
        <v>23</v>
      </c>
    </row>
    <row r="201" spans="1:22" x14ac:dyDescent="0.35">
      <c r="A201" s="3">
        <v>45</v>
      </c>
      <c r="B201" s="2">
        <v>46023</v>
      </c>
      <c r="C201" s="18"/>
      <c r="D201" s="18"/>
      <c r="E201" s="4">
        <v>4513</v>
      </c>
      <c r="F201" s="4">
        <v>1</v>
      </c>
      <c r="G201" s="14">
        <f t="shared" ref="G201:G231" si="63">F201/E201</f>
        <v>2.2158209616662973E-4</v>
      </c>
      <c r="H201" s="4"/>
      <c r="I201" s="4">
        <f t="shared" ref="I201:I230" si="64">E201-F201-H201</f>
        <v>4512</v>
      </c>
      <c r="J201" s="4">
        <v>126</v>
      </c>
      <c r="K201" s="4">
        <f t="shared" ref="K201:K231" si="65">J201*30</f>
        <v>3780</v>
      </c>
      <c r="L201" s="4">
        <v>0</v>
      </c>
      <c r="M201" s="4">
        <v>0</v>
      </c>
      <c r="N201" s="4">
        <f t="shared" ref="N201:N214" si="66">K201+L201-M201</f>
        <v>3780</v>
      </c>
      <c r="O201" s="14">
        <f t="shared" ref="O201:O231" si="67">N201/E201</f>
        <v>0.83758032350986045</v>
      </c>
      <c r="P201" s="4">
        <v>11</v>
      </c>
      <c r="Q201" s="4">
        <f t="shared" ref="Q201:Q231" si="68">P201*50</f>
        <v>550</v>
      </c>
      <c r="R201" s="4">
        <f t="shared" ref="R201:R231" si="69">Q201*1000</f>
        <v>550000</v>
      </c>
      <c r="S201" s="4">
        <v>2724.71</v>
      </c>
      <c r="T201" s="4">
        <f t="shared" ref="T201:T231" si="70">P201*S201</f>
        <v>29971.81</v>
      </c>
      <c r="U201" s="4">
        <v>1861.92</v>
      </c>
      <c r="V201" s="4">
        <v>1200</v>
      </c>
    </row>
    <row r="202" spans="1:22" x14ac:dyDescent="0.35">
      <c r="A202" s="3">
        <v>45</v>
      </c>
      <c r="B202" s="2">
        <v>46024</v>
      </c>
      <c r="C202" s="4"/>
      <c r="D202" s="18"/>
      <c r="E202" s="4">
        <f t="shared" ref="E202:E231" si="71">I201</f>
        <v>4512</v>
      </c>
      <c r="F202" s="4">
        <v>1</v>
      </c>
      <c r="G202" s="14">
        <f t="shared" si="63"/>
        <v>2.2163120567375886E-4</v>
      </c>
      <c r="H202" s="4"/>
      <c r="I202" s="4">
        <f t="shared" si="64"/>
        <v>4511</v>
      </c>
      <c r="J202" s="4">
        <v>131</v>
      </c>
      <c r="K202" s="4">
        <f t="shared" si="65"/>
        <v>3930</v>
      </c>
      <c r="L202" s="4">
        <v>0</v>
      </c>
      <c r="M202" s="4">
        <v>0</v>
      </c>
      <c r="N202" s="4">
        <f t="shared" si="66"/>
        <v>3930</v>
      </c>
      <c r="O202" s="14">
        <f t="shared" si="67"/>
        <v>0.87101063829787229</v>
      </c>
      <c r="P202" s="4">
        <v>11</v>
      </c>
      <c r="Q202" s="4">
        <f t="shared" si="68"/>
        <v>550</v>
      </c>
      <c r="R202" s="4">
        <f t="shared" si="69"/>
        <v>550000</v>
      </c>
      <c r="S202" s="4">
        <v>2724.71</v>
      </c>
      <c r="T202" s="4">
        <f t="shared" si="70"/>
        <v>29971.81</v>
      </c>
      <c r="U202" s="4">
        <v>1861.92</v>
      </c>
      <c r="V202" s="4">
        <v>1300</v>
      </c>
    </row>
    <row r="203" spans="1:22" x14ac:dyDescent="0.35">
      <c r="A203" s="3">
        <v>45</v>
      </c>
      <c r="B203" s="2">
        <v>46025</v>
      </c>
      <c r="C203" s="19"/>
      <c r="D203" s="19"/>
      <c r="E203" s="4">
        <f t="shared" si="71"/>
        <v>4511</v>
      </c>
      <c r="F203" s="4">
        <v>2</v>
      </c>
      <c r="G203" s="14">
        <f t="shared" si="63"/>
        <v>4.4336067390822432E-4</v>
      </c>
      <c r="H203" s="7"/>
      <c r="I203" s="4">
        <f t="shared" si="64"/>
        <v>4509</v>
      </c>
      <c r="J203" s="4">
        <v>132</v>
      </c>
      <c r="K203" s="4">
        <f t="shared" si="65"/>
        <v>3960</v>
      </c>
      <c r="L203" s="4">
        <v>0</v>
      </c>
      <c r="M203" s="4">
        <v>0</v>
      </c>
      <c r="N203" s="4">
        <f t="shared" si="66"/>
        <v>3960</v>
      </c>
      <c r="O203" s="14">
        <f t="shared" si="67"/>
        <v>0.87785413433828419</v>
      </c>
      <c r="P203" s="4">
        <v>11</v>
      </c>
      <c r="Q203" s="4">
        <f t="shared" si="68"/>
        <v>550</v>
      </c>
      <c r="R203" s="4">
        <f t="shared" si="69"/>
        <v>550000</v>
      </c>
      <c r="S203" s="4">
        <v>2724.71</v>
      </c>
      <c r="T203" s="4">
        <f t="shared" si="70"/>
        <v>29971.81</v>
      </c>
      <c r="U203" s="4">
        <v>1861.92</v>
      </c>
      <c r="V203" s="4">
        <v>1300</v>
      </c>
    </row>
    <row r="204" spans="1:22" x14ac:dyDescent="0.35">
      <c r="A204" s="3">
        <v>45</v>
      </c>
      <c r="B204" s="2">
        <v>46026</v>
      </c>
      <c r="C204" s="4"/>
      <c r="D204" s="18"/>
      <c r="E204" s="4">
        <f t="shared" si="71"/>
        <v>4509</v>
      </c>
      <c r="F204" s="4">
        <v>1</v>
      </c>
      <c r="G204" s="14">
        <f t="shared" si="63"/>
        <v>2.2177866489243733E-4</v>
      </c>
      <c r="H204" s="4"/>
      <c r="I204" s="4">
        <f t="shared" si="64"/>
        <v>4508</v>
      </c>
      <c r="J204" s="4">
        <v>133</v>
      </c>
      <c r="K204" s="4">
        <f t="shared" si="65"/>
        <v>3990</v>
      </c>
      <c r="L204" s="4">
        <v>0</v>
      </c>
      <c r="M204" s="4">
        <v>0</v>
      </c>
      <c r="N204" s="4">
        <f t="shared" si="66"/>
        <v>3990</v>
      </c>
      <c r="O204" s="14">
        <f t="shared" si="67"/>
        <v>0.88489687292082497</v>
      </c>
      <c r="P204" s="4">
        <v>11</v>
      </c>
      <c r="Q204" s="4">
        <f t="shared" si="68"/>
        <v>550</v>
      </c>
      <c r="R204" s="4">
        <f t="shared" si="69"/>
        <v>550000</v>
      </c>
      <c r="S204" s="4">
        <v>2724.71</v>
      </c>
      <c r="T204" s="4">
        <f t="shared" si="70"/>
        <v>29971.81</v>
      </c>
      <c r="U204" s="4">
        <v>1861.92</v>
      </c>
      <c r="V204" s="4">
        <v>1200</v>
      </c>
    </row>
    <row r="205" spans="1:22" x14ac:dyDescent="0.35">
      <c r="A205" s="3">
        <v>45</v>
      </c>
      <c r="B205" s="2">
        <v>46027</v>
      </c>
      <c r="C205" s="4"/>
      <c r="D205" s="18"/>
      <c r="E205" s="4">
        <f t="shared" si="71"/>
        <v>4508</v>
      </c>
      <c r="F205" s="4">
        <v>1</v>
      </c>
      <c r="G205" s="14">
        <f t="shared" si="63"/>
        <v>2.2182786157941438E-4</v>
      </c>
      <c r="H205" s="4"/>
      <c r="I205" s="4">
        <f t="shared" si="64"/>
        <v>4507</v>
      </c>
      <c r="J205" s="4">
        <v>133</v>
      </c>
      <c r="K205" s="4">
        <f t="shared" si="65"/>
        <v>3990</v>
      </c>
      <c r="L205" s="4">
        <v>1</v>
      </c>
      <c r="M205" s="4">
        <v>0</v>
      </c>
      <c r="N205" s="4">
        <f t="shared" si="66"/>
        <v>3991</v>
      </c>
      <c r="O205" s="14">
        <f t="shared" si="67"/>
        <v>0.88531499556344273</v>
      </c>
      <c r="P205" s="4">
        <v>10</v>
      </c>
      <c r="Q205" s="4">
        <f t="shared" si="68"/>
        <v>500</v>
      </c>
      <c r="R205" s="4">
        <f t="shared" si="69"/>
        <v>500000</v>
      </c>
      <c r="S205" s="4">
        <v>2724.71</v>
      </c>
      <c r="T205" s="4">
        <f t="shared" si="70"/>
        <v>27247.1</v>
      </c>
      <c r="U205" s="4">
        <v>1861.92</v>
      </c>
      <c r="V205" s="4">
        <v>1200</v>
      </c>
    </row>
    <row r="206" spans="1:22" x14ac:dyDescent="0.35">
      <c r="A206" s="3">
        <v>46</v>
      </c>
      <c r="B206" s="2">
        <v>46028</v>
      </c>
      <c r="C206" s="4"/>
      <c r="D206" s="18"/>
      <c r="E206" s="4">
        <f t="shared" si="71"/>
        <v>4507</v>
      </c>
      <c r="F206" s="4">
        <v>0</v>
      </c>
      <c r="G206" s="14">
        <f t="shared" si="63"/>
        <v>0</v>
      </c>
      <c r="H206" s="4"/>
      <c r="I206" s="4">
        <f t="shared" si="64"/>
        <v>4507</v>
      </c>
      <c r="J206" s="4">
        <v>133</v>
      </c>
      <c r="K206" s="4">
        <f t="shared" si="65"/>
        <v>3990</v>
      </c>
      <c r="L206" s="4">
        <v>0</v>
      </c>
      <c r="M206" s="4">
        <v>0</v>
      </c>
      <c r="N206" s="4">
        <f t="shared" si="66"/>
        <v>3990</v>
      </c>
      <c r="O206" s="14">
        <f t="shared" si="67"/>
        <v>0.88528954958952744</v>
      </c>
      <c r="P206" s="4">
        <v>11</v>
      </c>
      <c r="Q206" s="4">
        <f t="shared" si="68"/>
        <v>550</v>
      </c>
      <c r="R206" s="4">
        <f t="shared" si="69"/>
        <v>550000</v>
      </c>
      <c r="S206" s="4">
        <v>2724.71</v>
      </c>
      <c r="T206" s="4">
        <f t="shared" si="70"/>
        <v>29971.81</v>
      </c>
      <c r="U206" s="4">
        <v>1861.92</v>
      </c>
      <c r="V206" s="4">
        <v>1200</v>
      </c>
    </row>
    <row r="207" spans="1:22" x14ac:dyDescent="0.35">
      <c r="A207" s="3">
        <v>46</v>
      </c>
      <c r="B207" s="2">
        <v>46029</v>
      </c>
      <c r="C207" s="4"/>
      <c r="D207" s="18"/>
      <c r="E207" s="4">
        <f t="shared" si="71"/>
        <v>4507</v>
      </c>
      <c r="F207" s="4">
        <v>1</v>
      </c>
      <c r="G207" s="14">
        <f t="shared" si="63"/>
        <v>2.2187708009762592E-4</v>
      </c>
      <c r="H207" s="4"/>
      <c r="I207" s="4">
        <f t="shared" si="64"/>
        <v>4506</v>
      </c>
      <c r="J207" s="4">
        <v>133</v>
      </c>
      <c r="K207" s="4">
        <f t="shared" si="65"/>
        <v>3990</v>
      </c>
      <c r="L207" s="4">
        <v>0</v>
      </c>
      <c r="M207" s="4">
        <v>0</v>
      </c>
      <c r="N207" s="4">
        <f t="shared" si="66"/>
        <v>3990</v>
      </c>
      <c r="O207" s="14">
        <f t="shared" si="67"/>
        <v>0.88528954958952744</v>
      </c>
      <c r="P207" s="4">
        <v>11</v>
      </c>
      <c r="Q207" s="4">
        <f t="shared" si="68"/>
        <v>550</v>
      </c>
      <c r="R207" s="4">
        <f t="shared" si="69"/>
        <v>550000</v>
      </c>
      <c r="S207" s="4">
        <v>2726.71</v>
      </c>
      <c r="T207" s="4">
        <f t="shared" si="70"/>
        <v>29993.81</v>
      </c>
      <c r="U207" s="4">
        <v>1861.92</v>
      </c>
      <c r="V207" s="4">
        <v>1300</v>
      </c>
    </row>
    <row r="208" spans="1:22" x14ac:dyDescent="0.35">
      <c r="A208" s="3">
        <v>46</v>
      </c>
      <c r="B208" s="2">
        <v>46030</v>
      </c>
      <c r="C208" s="4"/>
      <c r="D208" s="18"/>
      <c r="E208" s="4">
        <f t="shared" si="71"/>
        <v>4506</v>
      </c>
      <c r="F208" s="4">
        <v>1</v>
      </c>
      <c r="G208" s="14">
        <f t="shared" si="63"/>
        <v>2.2192632046160674E-4</v>
      </c>
      <c r="H208" s="4"/>
      <c r="I208" s="4">
        <f t="shared" si="64"/>
        <v>4505</v>
      </c>
      <c r="J208" s="4">
        <v>131</v>
      </c>
      <c r="K208" s="4">
        <f t="shared" si="65"/>
        <v>3930</v>
      </c>
      <c r="L208" s="4">
        <v>0</v>
      </c>
      <c r="M208" s="4">
        <v>0</v>
      </c>
      <c r="N208" s="4">
        <f t="shared" si="66"/>
        <v>3930</v>
      </c>
      <c r="O208" s="14">
        <f t="shared" si="67"/>
        <v>0.87217043941411454</v>
      </c>
      <c r="P208" s="4">
        <v>11</v>
      </c>
      <c r="Q208" s="4">
        <f t="shared" si="68"/>
        <v>550</v>
      </c>
      <c r="R208" s="4">
        <f t="shared" si="69"/>
        <v>550000</v>
      </c>
      <c r="S208" s="4">
        <v>2842.71</v>
      </c>
      <c r="T208" s="4">
        <f t="shared" si="70"/>
        <v>31269.81</v>
      </c>
      <c r="U208" s="4">
        <v>1861.92</v>
      </c>
      <c r="V208" s="4">
        <v>1300</v>
      </c>
    </row>
    <row r="209" spans="1:22" x14ac:dyDescent="0.35">
      <c r="A209" s="3">
        <v>46</v>
      </c>
      <c r="B209" s="2">
        <v>46031</v>
      </c>
      <c r="C209" s="4"/>
      <c r="D209" s="18"/>
      <c r="E209" s="4">
        <f t="shared" si="71"/>
        <v>4505</v>
      </c>
      <c r="F209" s="4">
        <v>1</v>
      </c>
      <c r="G209" s="14">
        <f t="shared" si="63"/>
        <v>2.2197558268590456E-4</v>
      </c>
      <c r="H209" s="4"/>
      <c r="I209" s="4">
        <f t="shared" si="64"/>
        <v>4504</v>
      </c>
      <c r="J209" s="4">
        <v>132</v>
      </c>
      <c r="K209" s="4">
        <f t="shared" si="65"/>
        <v>3960</v>
      </c>
      <c r="L209" s="4">
        <v>0</v>
      </c>
      <c r="M209" s="4">
        <v>0</v>
      </c>
      <c r="N209" s="4">
        <f t="shared" si="66"/>
        <v>3960</v>
      </c>
      <c r="O209" s="14">
        <f t="shared" si="67"/>
        <v>0.87902330743618207</v>
      </c>
      <c r="P209" s="4">
        <v>11</v>
      </c>
      <c r="Q209" s="4">
        <f t="shared" si="68"/>
        <v>550</v>
      </c>
      <c r="R209" s="4">
        <f t="shared" si="69"/>
        <v>550000</v>
      </c>
      <c r="S209" s="4">
        <v>2842.71</v>
      </c>
      <c r="T209" s="4">
        <f t="shared" si="70"/>
        <v>31269.81</v>
      </c>
      <c r="U209" s="4">
        <v>1861.92</v>
      </c>
      <c r="V209" s="4">
        <v>1100</v>
      </c>
    </row>
    <row r="210" spans="1:22" x14ac:dyDescent="0.35">
      <c r="A210" s="3">
        <v>46</v>
      </c>
      <c r="B210" s="2">
        <v>46032</v>
      </c>
      <c r="C210" s="4"/>
      <c r="D210" s="18"/>
      <c r="E210" s="4">
        <f t="shared" si="71"/>
        <v>4504</v>
      </c>
      <c r="F210" s="4">
        <v>1</v>
      </c>
      <c r="G210" s="14">
        <f t="shared" si="63"/>
        <v>2.2202486678507994E-4</v>
      </c>
      <c r="H210" s="4"/>
      <c r="I210" s="4">
        <f t="shared" si="64"/>
        <v>4503</v>
      </c>
      <c r="J210" s="4">
        <v>133</v>
      </c>
      <c r="K210" s="4">
        <f t="shared" si="65"/>
        <v>3990</v>
      </c>
      <c r="L210" s="4">
        <v>0</v>
      </c>
      <c r="M210" s="4">
        <v>0</v>
      </c>
      <c r="N210" s="4">
        <f t="shared" si="66"/>
        <v>3990</v>
      </c>
      <c r="O210" s="14">
        <f t="shared" si="67"/>
        <v>0.88587921847246887</v>
      </c>
      <c r="P210" s="4">
        <v>11</v>
      </c>
      <c r="Q210" s="4">
        <f t="shared" si="68"/>
        <v>550</v>
      </c>
      <c r="R210" s="4">
        <f t="shared" si="69"/>
        <v>550000</v>
      </c>
      <c r="S210" s="4">
        <v>2842.71</v>
      </c>
      <c r="T210" s="4">
        <f t="shared" si="70"/>
        <v>31269.81</v>
      </c>
      <c r="U210" s="4">
        <v>1861.92</v>
      </c>
      <c r="V210" s="4">
        <v>1300</v>
      </c>
    </row>
    <row r="211" spans="1:22" x14ac:dyDescent="0.35">
      <c r="A211" s="3">
        <v>46</v>
      </c>
      <c r="B211" s="2">
        <v>46033</v>
      </c>
      <c r="C211" s="4"/>
      <c r="D211" s="18"/>
      <c r="E211" s="4">
        <f t="shared" si="71"/>
        <v>4503</v>
      </c>
      <c r="F211" s="4">
        <v>0</v>
      </c>
      <c r="G211" s="14">
        <f t="shared" si="63"/>
        <v>0</v>
      </c>
      <c r="H211" s="4"/>
      <c r="I211" s="4">
        <f t="shared" si="64"/>
        <v>4503</v>
      </c>
      <c r="J211" s="4">
        <v>133</v>
      </c>
      <c r="K211" s="4">
        <f t="shared" si="65"/>
        <v>3990</v>
      </c>
      <c r="L211" s="4">
        <v>0</v>
      </c>
      <c r="M211" s="4">
        <v>0</v>
      </c>
      <c r="N211" s="4">
        <f t="shared" si="66"/>
        <v>3990</v>
      </c>
      <c r="O211" s="14">
        <f t="shared" si="67"/>
        <v>0.88607594936708856</v>
      </c>
      <c r="P211" s="4">
        <v>11</v>
      </c>
      <c r="Q211" s="4">
        <f t="shared" si="68"/>
        <v>550</v>
      </c>
      <c r="R211" s="4">
        <f t="shared" si="69"/>
        <v>550000</v>
      </c>
      <c r="S211" s="4">
        <v>2842.71</v>
      </c>
      <c r="T211" s="4">
        <f t="shared" si="70"/>
        <v>31269.81</v>
      </c>
      <c r="U211" s="4">
        <v>1861.92</v>
      </c>
      <c r="V211" s="4">
        <v>1200</v>
      </c>
    </row>
    <row r="212" spans="1:22" x14ac:dyDescent="0.35">
      <c r="A212" s="3">
        <v>46</v>
      </c>
      <c r="B212" s="2">
        <v>46034</v>
      </c>
      <c r="C212" s="4"/>
      <c r="D212" s="18"/>
      <c r="E212" s="4">
        <f t="shared" si="71"/>
        <v>4503</v>
      </c>
      <c r="F212" s="4">
        <v>0</v>
      </c>
      <c r="G212" s="14">
        <f t="shared" si="63"/>
        <v>0</v>
      </c>
      <c r="H212" s="4"/>
      <c r="I212" s="4">
        <f t="shared" si="64"/>
        <v>4503</v>
      </c>
      <c r="J212" s="4">
        <v>133</v>
      </c>
      <c r="K212" s="4">
        <f t="shared" si="65"/>
        <v>3990</v>
      </c>
      <c r="L212" s="4">
        <v>0</v>
      </c>
      <c r="M212" s="4">
        <v>0</v>
      </c>
      <c r="N212" s="4">
        <f t="shared" si="66"/>
        <v>3990</v>
      </c>
      <c r="O212" s="14">
        <f t="shared" si="67"/>
        <v>0.88607594936708856</v>
      </c>
      <c r="P212" s="4">
        <v>11</v>
      </c>
      <c r="Q212" s="4">
        <f t="shared" si="68"/>
        <v>550</v>
      </c>
      <c r="R212" s="4">
        <f t="shared" si="69"/>
        <v>550000</v>
      </c>
      <c r="S212" s="4">
        <v>2815.33</v>
      </c>
      <c r="T212" s="4">
        <f t="shared" si="70"/>
        <v>30968.629999999997</v>
      </c>
      <c r="U212" s="4">
        <v>1861.92</v>
      </c>
      <c r="V212" s="4">
        <v>1200</v>
      </c>
    </row>
    <row r="213" spans="1:22" x14ac:dyDescent="0.35">
      <c r="A213" s="3">
        <v>47</v>
      </c>
      <c r="B213" s="2">
        <v>46035</v>
      </c>
      <c r="C213" s="4"/>
      <c r="D213" s="18"/>
      <c r="E213" s="4">
        <f t="shared" si="71"/>
        <v>4503</v>
      </c>
      <c r="F213" s="4">
        <v>2</v>
      </c>
      <c r="G213" s="14">
        <f t="shared" si="63"/>
        <v>4.4414834554741284E-4</v>
      </c>
      <c r="H213" s="4"/>
      <c r="I213" s="4">
        <f t="shared" si="64"/>
        <v>4501</v>
      </c>
      <c r="J213" s="4">
        <v>133</v>
      </c>
      <c r="K213" s="4">
        <f t="shared" si="65"/>
        <v>3990</v>
      </c>
      <c r="L213" s="4">
        <v>0</v>
      </c>
      <c r="M213" s="4">
        <v>0</v>
      </c>
      <c r="N213" s="4">
        <f t="shared" si="66"/>
        <v>3990</v>
      </c>
      <c r="O213" s="14">
        <f t="shared" si="67"/>
        <v>0.88607594936708856</v>
      </c>
      <c r="P213" s="4">
        <v>11</v>
      </c>
      <c r="Q213" s="4">
        <f t="shared" si="68"/>
        <v>550</v>
      </c>
      <c r="R213" s="4">
        <f t="shared" si="69"/>
        <v>550000</v>
      </c>
      <c r="S213" s="4">
        <v>2815.33</v>
      </c>
      <c r="T213" s="4">
        <f t="shared" si="70"/>
        <v>30968.629999999997</v>
      </c>
      <c r="U213" s="4">
        <v>1861.92</v>
      </c>
      <c r="V213" s="4">
        <v>1300</v>
      </c>
    </row>
    <row r="214" spans="1:22" x14ac:dyDescent="0.35">
      <c r="A214" s="3">
        <v>47</v>
      </c>
      <c r="B214" s="2">
        <v>46036</v>
      </c>
      <c r="C214" s="4"/>
      <c r="D214" s="18"/>
      <c r="E214" s="4">
        <f t="shared" si="71"/>
        <v>4501</v>
      </c>
      <c r="F214" s="4">
        <v>0</v>
      </c>
      <c r="G214" s="14">
        <f t="shared" si="63"/>
        <v>0</v>
      </c>
      <c r="H214" s="4"/>
      <c r="I214" s="4">
        <f t="shared" si="64"/>
        <v>4501</v>
      </c>
      <c r="J214" s="4">
        <v>133</v>
      </c>
      <c r="K214" s="4">
        <f t="shared" si="65"/>
        <v>3990</v>
      </c>
      <c r="L214" s="4">
        <v>0</v>
      </c>
      <c r="M214" s="4">
        <v>0</v>
      </c>
      <c r="N214" s="4">
        <f t="shared" si="66"/>
        <v>3990</v>
      </c>
      <c r="O214" s="14">
        <f t="shared" si="67"/>
        <v>0.88646967340590976</v>
      </c>
      <c r="P214" s="4">
        <v>11</v>
      </c>
      <c r="Q214" s="4">
        <f t="shared" si="68"/>
        <v>550</v>
      </c>
      <c r="R214" s="4">
        <f t="shared" si="69"/>
        <v>550000</v>
      </c>
      <c r="S214" s="4">
        <v>2815.33</v>
      </c>
      <c r="T214" s="4">
        <f t="shared" si="70"/>
        <v>30968.629999999997</v>
      </c>
      <c r="U214" s="4">
        <v>1861.92</v>
      </c>
      <c r="V214" s="4">
        <v>1200</v>
      </c>
    </row>
    <row r="215" spans="1:22" x14ac:dyDescent="0.35">
      <c r="A215" s="3">
        <v>47</v>
      </c>
      <c r="B215" s="2">
        <v>46037</v>
      </c>
      <c r="C215" s="4"/>
      <c r="D215" s="18"/>
      <c r="E215" s="4">
        <f t="shared" si="71"/>
        <v>4501</v>
      </c>
      <c r="F215" s="4">
        <v>0</v>
      </c>
      <c r="G215" s="14">
        <f t="shared" si="63"/>
        <v>0</v>
      </c>
      <c r="H215" s="4"/>
      <c r="I215" s="4">
        <f t="shared" si="64"/>
        <v>4501</v>
      </c>
      <c r="J215" s="4">
        <v>133</v>
      </c>
      <c r="K215" s="4">
        <f t="shared" si="65"/>
        <v>3990</v>
      </c>
      <c r="L215" s="4">
        <v>0</v>
      </c>
      <c r="M215" s="4">
        <v>0</v>
      </c>
      <c r="N215" s="4">
        <f t="shared" ref="N215:N231" si="72">K215+L215-M215</f>
        <v>3990</v>
      </c>
      <c r="O215" s="14">
        <f t="shared" si="67"/>
        <v>0.88646967340590976</v>
      </c>
      <c r="P215" s="4">
        <v>11</v>
      </c>
      <c r="Q215" s="4">
        <f t="shared" si="68"/>
        <v>550</v>
      </c>
      <c r="R215" s="4">
        <f t="shared" si="69"/>
        <v>550000</v>
      </c>
      <c r="S215" s="4">
        <v>2813.33</v>
      </c>
      <c r="T215" s="4">
        <f t="shared" si="70"/>
        <v>30946.629999999997</v>
      </c>
      <c r="U215" s="4">
        <v>1861.92</v>
      </c>
      <c r="V215" s="4">
        <v>2100</v>
      </c>
    </row>
    <row r="216" spans="1:22" x14ac:dyDescent="0.35">
      <c r="A216" s="3">
        <v>47</v>
      </c>
      <c r="B216" s="2">
        <v>46038</v>
      </c>
      <c r="C216" s="4"/>
      <c r="D216" s="18"/>
      <c r="E216" s="4">
        <f t="shared" si="71"/>
        <v>4501</v>
      </c>
      <c r="F216" s="4">
        <v>1</v>
      </c>
      <c r="G216" s="14">
        <f t="shared" si="63"/>
        <v>2.2217285047767163E-4</v>
      </c>
      <c r="H216" s="4"/>
      <c r="I216" s="4">
        <f t="shared" si="64"/>
        <v>4500</v>
      </c>
      <c r="J216" s="4">
        <v>133</v>
      </c>
      <c r="K216" s="4">
        <f t="shared" si="65"/>
        <v>3990</v>
      </c>
      <c r="L216" s="4">
        <v>0</v>
      </c>
      <c r="M216" s="4">
        <v>0</v>
      </c>
      <c r="N216" s="4">
        <f t="shared" si="72"/>
        <v>3990</v>
      </c>
      <c r="O216" s="14">
        <f t="shared" si="67"/>
        <v>0.88646967340590976</v>
      </c>
      <c r="P216" s="4">
        <v>11</v>
      </c>
      <c r="Q216" s="4">
        <f t="shared" si="68"/>
        <v>550</v>
      </c>
      <c r="R216" s="4">
        <f t="shared" si="69"/>
        <v>550000</v>
      </c>
      <c r="S216" s="4">
        <v>2813.33</v>
      </c>
      <c r="T216" s="4">
        <f t="shared" si="70"/>
        <v>30946.629999999997</v>
      </c>
      <c r="U216" s="4">
        <v>1861.92</v>
      </c>
      <c r="V216" s="4">
        <v>900</v>
      </c>
    </row>
    <row r="217" spans="1:22" x14ac:dyDescent="0.35">
      <c r="A217" s="3">
        <v>47</v>
      </c>
      <c r="B217" s="2">
        <v>46039</v>
      </c>
      <c r="C217" s="4"/>
      <c r="D217" s="18"/>
      <c r="E217" s="4">
        <f t="shared" si="71"/>
        <v>4500</v>
      </c>
      <c r="F217" s="4">
        <v>0</v>
      </c>
      <c r="G217" s="14">
        <f t="shared" si="63"/>
        <v>0</v>
      </c>
      <c r="H217" s="4"/>
      <c r="I217" s="4">
        <f t="shared" si="64"/>
        <v>4500</v>
      </c>
      <c r="J217" s="4">
        <v>132</v>
      </c>
      <c r="K217" s="4">
        <f t="shared" si="65"/>
        <v>3960</v>
      </c>
      <c r="L217" s="4">
        <v>0</v>
      </c>
      <c r="M217" s="4">
        <v>0</v>
      </c>
      <c r="N217" s="4">
        <f t="shared" si="72"/>
        <v>3960</v>
      </c>
      <c r="O217" s="14">
        <f t="shared" si="67"/>
        <v>0.88</v>
      </c>
      <c r="P217" s="4">
        <v>11</v>
      </c>
      <c r="Q217" s="4">
        <f t="shared" si="68"/>
        <v>550</v>
      </c>
      <c r="R217" s="4">
        <f t="shared" si="69"/>
        <v>550000</v>
      </c>
      <c r="S217" s="4">
        <v>2859.83</v>
      </c>
      <c r="T217" s="4">
        <f t="shared" si="70"/>
        <v>31458.129999999997</v>
      </c>
      <c r="U217" s="4">
        <v>1861.92</v>
      </c>
      <c r="V217" s="4">
        <v>1200</v>
      </c>
    </row>
    <row r="218" spans="1:22" x14ac:dyDescent="0.35">
      <c r="A218" s="3">
        <v>47</v>
      </c>
      <c r="B218" s="2">
        <v>46040</v>
      </c>
      <c r="C218" s="4"/>
      <c r="D218" s="18"/>
      <c r="E218" s="4">
        <f t="shared" si="71"/>
        <v>4500</v>
      </c>
      <c r="F218" s="4">
        <v>1</v>
      </c>
      <c r="G218" s="14">
        <f t="shared" si="63"/>
        <v>2.2222222222222223E-4</v>
      </c>
      <c r="H218" s="4"/>
      <c r="I218" s="4">
        <f t="shared" si="64"/>
        <v>4499</v>
      </c>
      <c r="J218" s="4">
        <v>129</v>
      </c>
      <c r="K218" s="4">
        <f t="shared" si="65"/>
        <v>3870</v>
      </c>
      <c r="L218" s="4">
        <v>0</v>
      </c>
      <c r="M218" s="4">
        <v>0</v>
      </c>
      <c r="N218" s="4">
        <f t="shared" si="72"/>
        <v>3870</v>
      </c>
      <c r="O218" s="14">
        <f t="shared" si="67"/>
        <v>0.86</v>
      </c>
      <c r="P218" s="4">
        <v>11</v>
      </c>
      <c r="Q218" s="4">
        <f t="shared" si="68"/>
        <v>550</v>
      </c>
      <c r="R218" s="4">
        <f t="shared" si="69"/>
        <v>550000</v>
      </c>
      <c r="S218" s="4">
        <v>2859.83</v>
      </c>
      <c r="T218" s="4">
        <f t="shared" si="70"/>
        <v>31458.129999999997</v>
      </c>
      <c r="U218" s="4">
        <v>1861.92</v>
      </c>
      <c r="V218" s="4">
        <v>1100</v>
      </c>
    </row>
    <row r="219" spans="1:22" x14ac:dyDescent="0.35">
      <c r="A219" s="3">
        <v>47</v>
      </c>
      <c r="B219" s="2">
        <v>46041</v>
      </c>
      <c r="C219" s="4"/>
      <c r="D219" s="18"/>
      <c r="E219" s="4">
        <f t="shared" si="71"/>
        <v>4499</v>
      </c>
      <c r="F219" s="4">
        <v>1</v>
      </c>
      <c r="G219" s="14">
        <f t="shared" si="63"/>
        <v>2.2227161591464769E-4</v>
      </c>
      <c r="H219" s="4"/>
      <c r="I219" s="4">
        <f t="shared" si="64"/>
        <v>4498</v>
      </c>
      <c r="J219" s="4">
        <v>131</v>
      </c>
      <c r="K219" s="4">
        <f t="shared" si="65"/>
        <v>3930</v>
      </c>
      <c r="L219" s="4">
        <v>0</v>
      </c>
      <c r="M219" s="4">
        <v>0</v>
      </c>
      <c r="N219" s="4">
        <f t="shared" si="72"/>
        <v>3930</v>
      </c>
      <c r="O219" s="14">
        <f t="shared" si="67"/>
        <v>0.87352745054456549</v>
      </c>
      <c r="P219" s="4">
        <v>11</v>
      </c>
      <c r="Q219" s="4">
        <f t="shared" si="68"/>
        <v>550</v>
      </c>
      <c r="R219" s="4">
        <f t="shared" si="69"/>
        <v>550000</v>
      </c>
      <c r="S219" s="4">
        <v>2859.83</v>
      </c>
      <c r="T219" s="4">
        <f t="shared" si="70"/>
        <v>31458.129999999997</v>
      </c>
      <c r="U219" s="4">
        <v>1861.92</v>
      </c>
      <c r="V219" s="4">
        <v>1300</v>
      </c>
    </row>
    <row r="220" spans="1:22" x14ac:dyDescent="0.35">
      <c r="A220" s="3">
        <v>48</v>
      </c>
      <c r="B220" s="2">
        <v>46042</v>
      </c>
      <c r="C220" s="4"/>
      <c r="D220" s="18"/>
      <c r="E220" s="4">
        <f t="shared" si="71"/>
        <v>4498</v>
      </c>
      <c r="F220" s="4">
        <v>2</v>
      </c>
      <c r="G220" s="14">
        <f t="shared" si="63"/>
        <v>4.4464206313917296E-4</v>
      </c>
      <c r="H220" s="4"/>
      <c r="I220" s="4">
        <f t="shared" si="64"/>
        <v>4496</v>
      </c>
      <c r="J220" s="4">
        <v>133</v>
      </c>
      <c r="K220" s="4">
        <f t="shared" si="65"/>
        <v>3990</v>
      </c>
      <c r="L220" s="4">
        <v>1</v>
      </c>
      <c r="M220" s="4">
        <v>0</v>
      </c>
      <c r="N220" s="4">
        <f t="shared" si="72"/>
        <v>3991</v>
      </c>
      <c r="O220" s="14">
        <f t="shared" si="67"/>
        <v>0.88728323699421963</v>
      </c>
      <c r="P220" s="4">
        <v>11</v>
      </c>
      <c r="Q220" s="4">
        <f t="shared" si="68"/>
        <v>550</v>
      </c>
      <c r="R220" s="4">
        <f t="shared" si="69"/>
        <v>550000</v>
      </c>
      <c r="S220" s="4">
        <v>2859.83</v>
      </c>
      <c r="T220" s="4">
        <f t="shared" si="70"/>
        <v>31458.129999999997</v>
      </c>
      <c r="U220" s="4">
        <v>1861.92</v>
      </c>
      <c r="V220" s="4">
        <v>1000</v>
      </c>
    </row>
    <row r="221" spans="1:22" x14ac:dyDescent="0.35">
      <c r="A221" s="3">
        <v>48</v>
      </c>
      <c r="B221" s="2">
        <v>46043</v>
      </c>
      <c r="C221" s="4"/>
      <c r="D221" s="18"/>
      <c r="E221" s="4">
        <f t="shared" si="71"/>
        <v>4496</v>
      </c>
      <c r="F221" s="4">
        <v>1</v>
      </c>
      <c r="G221" s="14">
        <f t="shared" si="63"/>
        <v>2.2241992882562276E-4</v>
      </c>
      <c r="H221" s="4"/>
      <c r="I221" s="4">
        <f t="shared" si="64"/>
        <v>4495</v>
      </c>
      <c r="J221" s="4">
        <v>132</v>
      </c>
      <c r="K221" s="4">
        <f t="shared" si="65"/>
        <v>3960</v>
      </c>
      <c r="L221" s="4">
        <v>1</v>
      </c>
      <c r="M221" s="4">
        <v>0</v>
      </c>
      <c r="N221" s="4">
        <f t="shared" si="72"/>
        <v>3961</v>
      </c>
      <c r="O221" s="14">
        <f t="shared" si="67"/>
        <v>0.88100533807829184</v>
      </c>
      <c r="P221" s="4">
        <v>10</v>
      </c>
      <c r="Q221" s="4">
        <f t="shared" si="68"/>
        <v>500</v>
      </c>
      <c r="R221" s="4">
        <f t="shared" si="69"/>
        <v>500000</v>
      </c>
      <c r="S221" s="4">
        <v>2859.83</v>
      </c>
      <c r="T221" s="4">
        <f t="shared" si="70"/>
        <v>28598.3</v>
      </c>
      <c r="U221" s="4">
        <v>1861.92</v>
      </c>
      <c r="V221" s="4">
        <v>1300</v>
      </c>
    </row>
    <row r="222" spans="1:22" x14ac:dyDescent="0.35">
      <c r="A222" s="3">
        <v>48</v>
      </c>
      <c r="B222" s="2">
        <v>46044</v>
      </c>
      <c r="C222" s="4"/>
      <c r="D222" s="18"/>
      <c r="E222" s="4">
        <f t="shared" si="71"/>
        <v>4495</v>
      </c>
      <c r="F222" s="4">
        <v>2</v>
      </c>
      <c r="G222" s="14">
        <f t="shared" si="63"/>
        <v>4.449388209121246E-4</v>
      </c>
      <c r="H222" s="4"/>
      <c r="I222" s="4">
        <f t="shared" si="64"/>
        <v>4493</v>
      </c>
      <c r="J222" s="4">
        <v>130</v>
      </c>
      <c r="K222" s="4">
        <f t="shared" si="65"/>
        <v>3900</v>
      </c>
      <c r="L222" s="4">
        <v>1</v>
      </c>
      <c r="M222" s="4">
        <v>0</v>
      </c>
      <c r="N222" s="4">
        <f t="shared" si="72"/>
        <v>3901</v>
      </c>
      <c r="O222" s="14">
        <f t="shared" si="67"/>
        <v>0.86785317018909902</v>
      </c>
      <c r="P222" s="4">
        <v>10</v>
      </c>
      <c r="Q222" s="4">
        <f t="shared" si="68"/>
        <v>500</v>
      </c>
      <c r="R222" s="4">
        <f t="shared" si="69"/>
        <v>500000</v>
      </c>
      <c r="S222" s="4">
        <v>2859.83</v>
      </c>
      <c r="T222" s="4">
        <f t="shared" si="70"/>
        <v>28598.3</v>
      </c>
      <c r="U222" s="4">
        <v>1861.92</v>
      </c>
      <c r="V222" s="4">
        <v>800</v>
      </c>
    </row>
    <row r="223" spans="1:22" x14ac:dyDescent="0.35">
      <c r="A223" s="3">
        <v>48</v>
      </c>
      <c r="B223" s="2">
        <v>46045</v>
      </c>
      <c r="C223" s="4"/>
      <c r="D223" s="18"/>
      <c r="E223" s="4">
        <f t="shared" si="71"/>
        <v>4493</v>
      </c>
      <c r="F223" s="4">
        <v>3</v>
      </c>
      <c r="G223" s="14">
        <f t="shared" si="63"/>
        <v>6.6770531938571112E-4</v>
      </c>
      <c r="H223" s="4"/>
      <c r="I223" s="4">
        <f t="shared" si="64"/>
        <v>4490</v>
      </c>
      <c r="J223" s="4">
        <v>128</v>
      </c>
      <c r="K223" s="4">
        <f t="shared" si="65"/>
        <v>3840</v>
      </c>
      <c r="L223" s="4">
        <v>1</v>
      </c>
      <c r="M223" s="4">
        <v>0</v>
      </c>
      <c r="N223" s="4">
        <f t="shared" si="72"/>
        <v>3841</v>
      </c>
      <c r="O223" s="14">
        <f t="shared" si="67"/>
        <v>0.85488537725350544</v>
      </c>
      <c r="P223" s="4">
        <v>10</v>
      </c>
      <c r="Q223" s="4">
        <f t="shared" si="68"/>
        <v>500</v>
      </c>
      <c r="R223" s="4">
        <f t="shared" si="69"/>
        <v>500000</v>
      </c>
      <c r="S223" s="4">
        <v>2821.08</v>
      </c>
      <c r="T223" s="4">
        <f t="shared" si="70"/>
        <v>28210.799999999999</v>
      </c>
      <c r="U223" s="4">
        <v>1861.92</v>
      </c>
      <c r="V223" s="4">
        <v>1500</v>
      </c>
    </row>
    <row r="224" spans="1:22" x14ac:dyDescent="0.35">
      <c r="A224" s="3">
        <v>48</v>
      </c>
      <c r="B224" s="2">
        <v>46046</v>
      </c>
      <c r="C224" s="4"/>
      <c r="D224" s="18"/>
      <c r="E224" s="4">
        <f t="shared" si="71"/>
        <v>4490</v>
      </c>
      <c r="F224" s="4">
        <v>2</v>
      </c>
      <c r="G224" s="14">
        <f t="shared" si="63"/>
        <v>4.4543429844097997E-4</v>
      </c>
      <c r="H224" s="4"/>
      <c r="I224" s="4">
        <f t="shared" si="64"/>
        <v>4488</v>
      </c>
      <c r="J224" s="4">
        <v>121</v>
      </c>
      <c r="K224" s="4">
        <f t="shared" si="65"/>
        <v>3630</v>
      </c>
      <c r="L224" s="4">
        <v>1</v>
      </c>
      <c r="M224" s="4">
        <v>0</v>
      </c>
      <c r="N224" s="4">
        <f t="shared" si="72"/>
        <v>3631</v>
      </c>
      <c r="O224" s="14">
        <f t="shared" si="67"/>
        <v>0.80868596881959909</v>
      </c>
      <c r="P224" s="4">
        <v>10</v>
      </c>
      <c r="Q224" s="4">
        <f t="shared" si="68"/>
        <v>500</v>
      </c>
      <c r="R224" s="4">
        <f t="shared" si="69"/>
        <v>500000</v>
      </c>
      <c r="S224" s="4">
        <v>2821.08</v>
      </c>
      <c r="T224" s="4">
        <f t="shared" si="70"/>
        <v>28210.799999999999</v>
      </c>
      <c r="U224" s="4">
        <v>1861.92</v>
      </c>
      <c r="V224" s="4">
        <v>1200</v>
      </c>
    </row>
    <row r="225" spans="1:22" x14ac:dyDescent="0.35">
      <c r="A225" s="3">
        <v>48</v>
      </c>
      <c r="B225" s="2">
        <v>46047</v>
      </c>
      <c r="C225" s="4"/>
      <c r="D225" s="18"/>
      <c r="E225" s="4">
        <f t="shared" si="71"/>
        <v>4488</v>
      </c>
      <c r="F225" s="4">
        <v>1</v>
      </c>
      <c r="G225" s="14">
        <f t="shared" si="63"/>
        <v>2.2281639928698751E-4</v>
      </c>
      <c r="H225" s="4">
        <v>17</v>
      </c>
      <c r="I225" s="4">
        <f t="shared" si="64"/>
        <v>4470</v>
      </c>
      <c r="J225" s="4">
        <v>126</v>
      </c>
      <c r="K225" s="4">
        <f t="shared" si="65"/>
        <v>3780</v>
      </c>
      <c r="L225" s="4">
        <v>0</v>
      </c>
      <c r="M225" s="4">
        <v>0</v>
      </c>
      <c r="N225" s="4">
        <f t="shared" si="72"/>
        <v>3780</v>
      </c>
      <c r="O225" s="14">
        <f t="shared" si="67"/>
        <v>0.84224598930481287</v>
      </c>
      <c r="P225" s="4">
        <v>10</v>
      </c>
      <c r="Q225" s="4">
        <f t="shared" si="68"/>
        <v>500</v>
      </c>
      <c r="R225" s="4">
        <f t="shared" si="69"/>
        <v>500000</v>
      </c>
      <c r="S225" s="4">
        <v>2821.08</v>
      </c>
      <c r="T225" s="4">
        <f t="shared" si="70"/>
        <v>28210.799999999999</v>
      </c>
      <c r="U225" s="4">
        <v>1861.92</v>
      </c>
      <c r="V225" s="4">
        <v>1300</v>
      </c>
    </row>
    <row r="226" spans="1:22" x14ac:dyDescent="0.35">
      <c r="A226" s="3">
        <v>48</v>
      </c>
      <c r="B226" s="2">
        <v>46048</v>
      </c>
      <c r="C226" s="4"/>
      <c r="D226" s="18"/>
      <c r="E226" s="4">
        <f t="shared" si="71"/>
        <v>4470</v>
      </c>
      <c r="F226" s="4">
        <v>2</v>
      </c>
      <c r="G226" s="14">
        <f t="shared" si="63"/>
        <v>4.4742729306487697E-4</v>
      </c>
      <c r="H226" s="4"/>
      <c r="I226" s="4">
        <f t="shared" si="64"/>
        <v>4468</v>
      </c>
      <c r="J226" s="4">
        <v>128</v>
      </c>
      <c r="K226" s="4">
        <f t="shared" si="65"/>
        <v>3840</v>
      </c>
      <c r="L226" s="4">
        <v>0</v>
      </c>
      <c r="M226" s="4">
        <v>0</v>
      </c>
      <c r="N226" s="4">
        <f t="shared" si="72"/>
        <v>3840</v>
      </c>
      <c r="O226" s="14">
        <f t="shared" si="67"/>
        <v>0.85906040268456374</v>
      </c>
      <c r="P226" s="4">
        <v>10</v>
      </c>
      <c r="Q226" s="4">
        <f t="shared" si="68"/>
        <v>500</v>
      </c>
      <c r="R226" s="4">
        <f t="shared" si="69"/>
        <v>500000</v>
      </c>
      <c r="S226" s="4">
        <v>2821.08</v>
      </c>
      <c r="T226" s="4">
        <f t="shared" si="70"/>
        <v>28210.799999999999</v>
      </c>
      <c r="U226" s="4">
        <v>1861.92</v>
      </c>
      <c r="V226" s="4">
        <v>1300</v>
      </c>
    </row>
    <row r="227" spans="1:22" x14ac:dyDescent="0.35">
      <c r="A227" s="3">
        <v>49</v>
      </c>
      <c r="B227" s="2">
        <v>46049</v>
      </c>
      <c r="C227" s="4"/>
      <c r="D227" s="18"/>
      <c r="E227" s="4">
        <f t="shared" si="71"/>
        <v>4468</v>
      </c>
      <c r="F227" s="4">
        <v>1</v>
      </c>
      <c r="G227" s="14">
        <f t="shared" si="63"/>
        <v>2.2381378692927484E-4</v>
      </c>
      <c r="H227" s="4"/>
      <c r="I227" s="4">
        <f t="shared" si="64"/>
        <v>4467</v>
      </c>
      <c r="J227" s="4">
        <v>128</v>
      </c>
      <c r="K227" s="4">
        <f t="shared" si="65"/>
        <v>3840</v>
      </c>
      <c r="L227" s="4">
        <v>0</v>
      </c>
      <c r="M227" s="4">
        <v>0</v>
      </c>
      <c r="N227" s="4">
        <f t="shared" si="72"/>
        <v>3840</v>
      </c>
      <c r="O227" s="14">
        <f t="shared" si="67"/>
        <v>0.85944494180841535</v>
      </c>
      <c r="P227" s="4">
        <v>11</v>
      </c>
      <c r="Q227" s="4">
        <f t="shared" si="68"/>
        <v>550</v>
      </c>
      <c r="R227" s="4">
        <f t="shared" si="69"/>
        <v>550000</v>
      </c>
      <c r="S227" s="4">
        <v>2821.08</v>
      </c>
      <c r="T227" s="4">
        <f t="shared" si="70"/>
        <v>31031.879999999997</v>
      </c>
      <c r="U227" s="4">
        <v>1861.92</v>
      </c>
      <c r="V227" s="4">
        <v>1300</v>
      </c>
    </row>
    <row r="228" spans="1:22" x14ac:dyDescent="0.35">
      <c r="A228" s="3">
        <v>49</v>
      </c>
      <c r="B228" s="2">
        <v>46050</v>
      </c>
      <c r="C228" s="4"/>
      <c r="D228" s="18"/>
      <c r="E228" s="4">
        <f t="shared" si="71"/>
        <v>4467</v>
      </c>
      <c r="F228" s="4">
        <v>0</v>
      </c>
      <c r="G228" s="14">
        <f t="shared" si="63"/>
        <v>0</v>
      </c>
      <c r="H228" s="4"/>
      <c r="I228" s="4">
        <f t="shared" si="64"/>
        <v>4467</v>
      </c>
      <c r="J228" s="4">
        <v>128</v>
      </c>
      <c r="K228" s="4">
        <f t="shared" si="65"/>
        <v>3840</v>
      </c>
      <c r="L228" s="4">
        <v>1</v>
      </c>
      <c r="M228" s="4">
        <v>0</v>
      </c>
      <c r="N228" s="4">
        <f t="shared" si="72"/>
        <v>3841</v>
      </c>
      <c r="O228" s="14">
        <f t="shared" si="67"/>
        <v>0.85986120438773228</v>
      </c>
      <c r="P228" s="4">
        <v>10</v>
      </c>
      <c r="Q228" s="4">
        <f t="shared" si="68"/>
        <v>500</v>
      </c>
      <c r="R228" s="4">
        <f t="shared" si="69"/>
        <v>500000</v>
      </c>
      <c r="S228" s="4">
        <v>2821.08</v>
      </c>
      <c r="T228" s="4">
        <f t="shared" si="70"/>
        <v>28210.799999999999</v>
      </c>
      <c r="U228" s="4">
        <v>1861.92</v>
      </c>
      <c r="V228" s="4">
        <v>1200</v>
      </c>
    </row>
    <row r="229" spans="1:22" x14ac:dyDescent="0.35">
      <c r="A229" s="3">
        <v>49</v>
      </c>
      <c r="B229" s="2">
        <v>46051</v>
      </c>
      <c r="C229" s="4"/>
      <c r="D229" s="18"/>
      <c r="E229" s="4">
        <f t="shared" si="71"/>
        <v>4467</v>
      </c>
      <c r="F229" s="4">
        <v>0</v>
      </c>
      <c r="G229" s="14">
        <f t="shared" si="63"/>
        <v>0</v>
      </c>
      <c r="H229" s="4"/>
      <c r="I229" s="4">
        <f t="shared" si="64"/>
        <v>4467</v>
      </c>
      <c r="J229" s="4">
        <v>127</v>
      </c>
      <c r="K229" s="4">
        <f t="shared" si="65"/>
        <v>3810</v>
      </c>
      <c r="L229" s="4">
        <v>0</v>
      </c>
      <c r="M229" s="4">
        <v>0</v>
      </c>
      <c r="N229" s="4">
        <f t="shared" si="72"/>
        <v>3810</v>
      </c>
      <c r="O229" s="14">
        <f t="shared" si="67"/>
        <v>0.85292142377434521</v>
      </c>
      <c r="P229" s="4">
        <v>10</v>
      </c>
      <c r="Q229" s="4">
        <f t="shared" si="68"/>
        <v>500</v>
      </c>
      <c r="R229" s="4">
        <f t="shared" si="69"/>
        <v>500000</v>
      </c>
      <c r="S229" s="4">
        <v>2821.08</v>
      </c>
      <c r="T229" s="4">
        <f t="shared" si="70"/>
        <v>28210.799999999999</v>
      </c>
      <c r="U229" s="4">
        <v>1861.92</v>
      </c>
      <c r="V229" s="4">
        <v>1200</v>
      </c>
    </row>
    <row r="230" spans="1:22" x14ac:dyDescent="0.35">
      <c r="A230" s="3">
        <v>49</v>
      </c>
      <c r="B230" s="2">
        <v>46052</v>
      </c>
      <c r="C230" s="4"/>
      <c r="D230" s="18"/>
      <c r="E230" s="4">
        <f t="shared" si="71"/>
        <v>4467</v>
      </c>
      <c r="F230" s="4">
        <v>0</v>
      </c>
      <c r="G230" s="14">
        <f t="shared" si="63"/>
        <v>0</v>
      </c>
      <c r="H230" s="4"/>
      <c r="I230" s="4">
        <f t="shared" si="64"/>
        <v>4467</v>
      </c>
      <c r="J230" s="4">
        <v>124</v>
      </c>
      <c r="K230" s="4">
        <f t="shared" si="65"/>
        <v>3720</v>
      </c>
      <c r="L230" s="4">
        <v>0</v>
      </c>
      <c r="M230" s="4">
        <v>0</v>
      </c>
      <c r="N230" s="4">
        <f t="shared" si="72"/>
        <v>3720</v>
      </c>
      <c r="O230" s="14">
        <f t="shared" si="67"/>
        <v>0.83277367360644727</v>
      </c>
      <c r="P230" s="4">
        <v>11</v>
      </c>
      <c r="Q230" s="4">
        <f t="shared" si="68"/>
        <v>550</v>
      </c>
      <c r="R230" s="4">
        <f t="shared" si="69"/>
        <v>550000</v>
      </c>
      <c r="S230" s="4">
        <v>2821.08</v>
      </c>
      <c r="T230" s="4">
        <f t="shared" si="70"/>
        <v>31031.879999999997</v>
      </c>
      <c r="U230" s="4">
        <v>1861.92</v>
      </c>
      <c r="V230" s="4">
        <v>1200</v>
      </c>
    </row>
    <row r="231" spans="1:22" x14ac:dyDescent="0.35">
      <c r="A231" s="3">
        <v>49</v>
      </c>
      <c r="B231" s="2">
        <v>46053</v>
      </c>
      <c r="C231" s="4"/>
      <c r="D231" s="18"/>
      <c r="E231" s="4">
        <f t="shared" si="71"/>
        <v>4467</v>
      </c>
      <c r="F231" s="4">
        <v>0</v>
      </c>
      <c r="G231" s="14">
        <f t="shared" si="63"/>
        <v>0</v>
      </c>
      <c r="H231" s="4">
        <v>-13</v>
      </c>
      <c r="I231" s="4">
        <f>E231-F231-H231</f>
        <v>4480</v>
      </c>
      <c r="J231" s="4">
        <v>126</v>
      </c>
      <c r="K231" s="4">
        <f t="shared" si="65"/>
        <v>3780</v>
      </c>
      <c r="L231" s="4">
        <v>0</v>
      </c>
      <c r="M231" s="4">
        <v>0</v>
      </c>
      <c r="N231" s="4">
        <f t="shared" si="72"/>
        <v>3780</v>
      </c>
      <c r="O231" s="14">
        <f t="shared" si="67"/>
        <v>0.8462055070517126</v>
      </c>
      <c r="P231" s="4">
        <v>11</v>
      </c>
      <c r="Q231" s="4">
        <f t="shared" si="68"/>
        <v>550</v>
      </c>
      <c r="R231" s="4">
        <f t="shared" si="69"/>
        <v>550000</v>
      </c>
      <c r="S231" s="4">
        <v>2821.08</v>
      </c>
      <c r="T231" s="4">
        <f t="shared" si="70"/>
        <v>31031.879999999997</v>
      </c>
      <c r="U231" s="4">
        <v>1861.92</v>
      </c>
      <c r="V231" s="4">
        <v>700</v>
      </c>
    </row>
    <row r="232" spans="1:22" x14ac:dyDescent="0.35">
      <c r="A232" s="3"/>
      <c r="B232" s="2"/>
      <c r="C232" s="4"/>
      <c r="D232" s="18"/>
      <c r="E232" s="4"/>
      <c r="F232" s="4">
        <f>SUM(F201:F231)</f>
        <v>29</v>
      </c>
      <c r="G232" s="14"/>
      <c r="H232" s="4"/>
      <c r="I232" s="4"/>
      <c r="J232" s="4"/>
      <c r="K232" s="4"/>
      <c r="L232" s="4"/>
      <c r="M232" s="4"/>
      <c r="N232" s="4"/>
      <c r="O232" s="14"/>
      <c r="P232" s="4"/>
      <c r="Q232" s="4"/>
      <c r="R232" s="4"/>
      <c r="S232" s="22"/>
      <c r="T232" s="4"/>
    </row>
    <row r="233" spans="1:22" x14ac:dyDescent="0.35">
      <c r="A233" s="3"/>
      <c r="B233" s="2"/>
      <c r="C233" s="4"/>
      <c r="D233" s="18"/>
      <c r="E233" s="4"/>
      <c r="F233" s="4"/>
      <c r="G233" s="14"/>
      <c r="H233" s="4"/>
      <c r="I233" s="4"/>
      <c r="J233" s="4"/>
      <c r="K233" s="4"/>
      <c r="L233" s="4"/>
      <c r="M233" s="4"/>
      <c r="N233" s="4"/>
      <c r="O233" s="14"/>
      <c r="P233" s="4"/>
      <c r="Q233" s="4"/>
      <c r="R233" s="4"/>
      <c r="S233" s="22"/>
      <c r="T233" s="4"/>
    </row>
    <row r="234" spans="1:22" x14ac:dyDescent="0.35">
      <c r="B234" s="37" t="s">
        <v>1</v>
      </c>
      <c r="C234" s="38" t="s">
        <v>19</v>
      </c>
      <c r="D234" s="38" t="s">
        <v>18</v>
      </c>
      <c r="E234" s="39" t="s">
        <v>2</v>
      </c>
      <c r="F234" s="40" t="s">
        <v>3</v>
      </c>
      <c r="G234" s="41" t="s">
        <v>4</v>
      </c>
      <c r="H234" s="40" t="s">
        <v>5</v>
      </c>
      <c r="I234" s="42" t="s">
        <v>6</v>
      </c>
      <c r="J234" s="43" t="s">
        <v>7</v>
      </c>
      <c r="K234" s="40" t="s">
        <v>8</v>
      </c>
      <c r="L234" s="40" t="s">
        <v>9</v>
      </c>
      <c r="M234" s="40" t="s">
        <v>10</v>
      </c>
      <c r="N234" s="40" t="s">
        <v>11</v>
      </c>
      <c r="O234" s="44" t="s">
        <v>12</v>
      </c>
      <c r="P234" s="43" t="s">
        <v>13</v>
      </c>
      <c r="Q234" s="40" t="s">
        <v>14</v>
      </c>
      <c r="R234" s="45" t="s">
        <v>15</v>
      </c>
      <c r="S234" s="46" t="s">
        <v>16</v>
      </c>
      <c r="T234" s="47" t="s">
        <v>17</v>
      </c>
      <c r="U234" s="48" t="s">
        <v>21</v>
      </c>
      <c r="V234" s="48" t="s">
        <v>23</v>
      </c>
    </row>
    <row r="235" spans="1:22" x14ac:dyDescent="0.35">
      <c r="A235" s="3">
        <v>49</v>
      </c>
      <c r="B235" s="2">
        <v>46054</v>
      </c>
      <c r="C235" s="18"/>
      <c r="D235" s="18"/>
      <c r="E235" s="4">
        <v>4480</v>
      </c>
      <c r="F235" s="4">
        <v>1</v>
      </c>
      <c r="G235" s="14">
        <f t="shared" ref="G235:G250" si="73">F235/E235</f>
        <v>2.2321428571428571E-4</v>
      </c>
      <c r="H235" s="4"/>
      <c r="I235" s="4">
        <f t="shared" ref="I235:I262" si="74">E235-F235-H235</f>
        <v>4479</v>
      </c>
      <c r="J235" s="4">
        <v>126</v>
      </c>
      <c r="K235" s="4">
        <f t="shared" ref="K235:K262" si="75">J235*30</f>
        <v>3780</v>
      </c>
      <c r="L235" s="4">
        <v>0</v>
      </c>
      <c r="M235" s="4">
        <v>0</v>
      </c>
      <c r="N235" s="4">
        <f t="shared" ref="N235:N262" si="76">K235+L235-M235</f>
        <v>3780</v>
      </c>
      <c r="O235" s="14">
        <f t="shared" ref="O235:O244" si="77">N235/E235</f>
        <v>0.84375</v>
      </c>
      <c r="P235" s="4">
        <v>11</v>
      </c>
      <c r="Q235" s="4">
        <f t="shared" ref="Q235:Q262" si="78">P235*50</f>
        <v>550</v>
      </c>
      <c r="R235" s="4">
        <f t="shared" ref="R235:R262" si="79">Q235*1000</f>
        <v>550000</v>
      </c>
      <c r="S235" s="4">
        <v>2821.08</v>
      </c>
      <c r="T235" s="4">
        <f t="shared" ref="T235:T262" si="80">P235*S235</f>
        <v>31031.879999999997</v>
      </c>
      <c r="U235" s="4">
        <v>1861.92</v>
      </c>
      <c r="V235" s="4">
        <v>1200</v>
      </c>
    </row>
    <row r="236" spans="1:22" x14ac:dyDescent="0.35">
      <c r="A236" s="3">
        <v>49</v>
      </c>
      <c r="B236" s="2">
        <v>46055</v>
      </c>
      <c r="C236" s="19"/>
      <c r="D236" s="19"/>
      <c r="E236" s="4">
        <f>I235</f>
        <v>4479</v>
      </c>
      <c r="F236" s="4">
        <v>0</v>
      </c>
      <c r="G236" s="14">
        <f t="shared" si="73"/>
        <v>0</v>
      </c>
      <c r="H236" s="7"/>
      <c r="I236" s="4">
        <f t="shared" si="74"/>
        <v>4479</v>
      </c>
      <c r="J236" s="4">
        <v>128</v>
      </c>
      <c r="K236" s="4">
        <f t="shared" si="75"/>
        <v>3840</v>
      </c>
      <c r="L236" s="4">
        <v>0</v>
      </c>
      <c r="M236" s="4">
        <v>0</v>
      </c>
      <c r="N236" s="4">
        <f t="shared" si="76"/>
        <v>3840</v>
      </c>
      <c r="O236" s="14">
        <f t="shared" si="77"/>
        <v>0.85733422638981915</v>
      </c>
      <c r="P236" s="4">
        <v>11</v>
      </c>
      <c r="Q236" s="4">
        <f t="shared" si="78"/>
        <v>550</v>
      </c>
      <c r="R236" s="4">
        <f t="shared" si="79"/>
        <v>550000</v>
      </c>
      <c r="S236" s="4">
        <v>2821.08</v>
      </c>
      <c r="T236" s="4">
        <f t="shared" si="80"/>
        <v>31031.879999999997</v>
      </c>
      <c r="U236" s="4">
        <v>1861.92</v>
      </c>
      <c r="V236" s="4">
        <v>2000</v>
      </c>
    </row>
    <row r="237" spans="1:22" x14ac:dyDescent="0.35">
      <c r="A237" s="3">
        <v>50</v>
      </c>
      <c r="B237" s="2">
        <v>46056</v>
      </c>
      <c r="C237" s="4"/>
      <c r="D237" s="18"/>
      <c r="E237" s="4">
        <f t="shared" ref="E237:E262" si="81">I236</f>
        <v>4479</v>
      </c>
      <c r="F237" s="4">
        <v>0</v>
      </c>
      <c r="G237" s="14">
        <f t="shared" si="73"/>
        <v>0</v>
      </c>
      <c r="H237" s="4"/>
      <c r="I237" s="4">
        <f t="shared" si="74"/>
        <v>4479</v>
      </c>
      <c r="J237" s="4">
        <v>129</v>
      </c>
      <c r="K237" s="4">
        <f t="shared" si="75"/>
        <v>3870</v>
      </c>
      <c r="L237" s="4">
        <v>0</v>
      </c>
      <c r="M237" s="4">
        <v>0</v>
      </c>
      <c r="N237" s="4">
        <f t="shared" si="76"/>
        <v>3870</v>
      </c>
      <c r="O237" s="14">
        <f t="shared" si="77"/>
        <v>0.86403215003348965</v>
      </c>
      <c r="P237" s="4">
        <v>10</v>
      </c>
      <c r="Q237" s="4">
        <f t="shared" si="78"/>
        <v>500</v>
      </c>
      <c r="R237" s="4">
        <f t="shared" si="79"/>
        <v>500000</v>
      </c>
      <c r="S237" s="4">
        <v>2821.08</v>
      </c>
      <c r="T237" s="4">
        <f t="shared" si="80"/>
        <v>28210.799999999999</v>
      </c>
      <c r="U237" s="4">
        <v>1861.92</v>
      </c>
      <c r="V237" s="4">
        <v>1200</v>
      </c>
    </row>
    <row r="238" spans="1:22" x14ac:dyDescent="0.35">
      <c r="A238" s="3">
        <v>50</v>
      </c>
      <c r="B238" s="2">
        <v>46057</v>
      </c>
      <c r="C238" s="4"/>
      <c r="D238" s="18"/>
      <c r="E238" s="4">
        <f t="shared" si="81"/>
        <v>4479</v>
      </c>
      <c r="F238" s="4">
        <v>2</v>
      </c>
      <c r="G238" s="14">
        <f t="shared" si="73"/>
        <v>4.4652824291136416E-4</v>
      </c>
      <c r="H238" s="4"/>
      <c r="I238" s="4">
        <f t="shared" si="74"/>
        <v>4477</v>
      </c>
      <c r="J238" s="4">
        <v>130</v>
      </c>
      <c r="K238" s="4">
        <f t="shared" si="75"/>
        <v>3900</v>
      </c>
      <c r="L238" s="4">
        <v>0</v>
      </c>
      <c r="M238" s="4">
        <v>0</v>
      </c>
      <c r="N238" s="4">
        <f t="shared" si="76"/>
        <v>3900</v>
      </c>
      <c r="O238" s="14">
        <f t="shared" si="77"/>
        <v>0.87073007367716004</v>
      </c>
      <c r="P238" s="4">
        <v>11</v>
      </c>
      <c r="Q238" s="4">
        <f t="shared" si="78"/>
        <v>550</v>
      </c>
      <c r="R238" s="4">
        <f t="shared" si="79"/>
        <v>550000</v>
      </c>
      <c r="S238" s="4">
        <v>2821.08</v>
      </c>
      <c r="T238" s="4">
        <f t="shared" si="80"/>
        <v>31031.879999999997</v>
      </c>
      <c r="U238" s="4">
        <v>1861.92</v>
      </c>
      <c r="V238" s="4">
        <v>1300</v>
      </c>
    </row>
    <row r="239" spans="1:22" x14ac:dyDescent="0.35">
      <c r="A239" s="3">
        <v>50</v>
      </c>
      <c r="B239" s="2">
        <v>46058</v>
      </c>
      <c r="C239" s="4"/>
      <c r="D239" s="18"/>
      <c r="E239" s="4">
        <f t="shared" si="81"/>
        <v>4477</v>
      </c>
      <c r="F239" s="4">
        <v>0</v>
      </c>
      <c r="G239" s="14">
        <f t="shared" si="73"/>
        <v>0</v>
      </c>
      <c r="H239" s="4"/>
      <c r="I239" s="4">
        <f t="shared" si="74"/>
        <v>4477</v>
      </c>
      <c r="J239" s="4">
        <v>130</v>
      </c>
      <c r="K239" s="4">
        <f t="shared" si="75"/>
        <v>3900</v>
      </c>
      <c r="L239" s="4">
        <v>0</v>
      </c>
      <c r="M239" s="4">
        <v>0</v>
      </c>
      <c r="N239" s="4">
        <f t="shared" si="76"/>
        <v>3900</v>
      </c>
      <c r="O239" s="14">
        <f t="shared" si="77"/>
        <v>0.87111905293723479</v>
      </c>
      <c r="P239" s="4">
        <v>11</v>
      </c>
      <c r="Q239" s="4">
        <f t="shared" si="78"/>
        <v>550</v>
      </c>
      <c r="R239" s="4">
        <f t="shared" si="79"/>
        <v>550000</v>
      </c>
      <c r="S239" s="4">
        <v>2810.83</v>
      </c>
      <c r="T239" s="4">
        <f t="shared" si="80"/>
        <v>30919.129999999997</v>
      </c>
      <c r="U239" s="4">
        <v>1861.92</v>
      </c>
      <c r="V239" s="4">
        <v>1300</v>
      </c>
    </row>
    <row r="240" spans="1:22" x14ac:dyDescent="0.35">
      <c r="A240" s="3">
        <v>50</v>
      </c>
      <c r="B240" s="2">
        <v>46059</v>
      </c>
      <c r="C240" s="4"/>
      <c r="D240" s="18"/>
      <c r="E240" s="4">
        <f t="shared" si="81"/>
        <v>4477</v>
      </c>
      <c r="F240" s="4">
        <v>1</v>
      </c>
      <c r="G240" s="14">
        <f t="shared" si="73"/>
        <v>2.2336385972749609E-4</v>
      </c>
      <c r="H240" s="4"/>
      <c r="I240" s="4">
        <f t="shared" si="74"/>
        <v>4476</v>
      </c>
      <c r="J240" s="4">
        <v>129</v>
      </c>
      <c r="K240" s="4">
        <f t="shared" si="75"/>
        <v>3870</v>
      </c>
      <c r="L240" s="4">
        <v>0</v>
      </c>
      <c r="M240" s="4">
        <v>0</v>
      </c>
      <c r="N240" s="4">
        <f t="shared" si="76"/>
        <v>3870</v>
      </c>
      <c r="O240" s="14">
        <f t="shared" si="77"/>
        <v>0.86441813714540983</v>
      </c>
      <c r="P240" s="4">
        <v>11</v>
      </c>
      <c r="Q240" s="4">
        <f t="shared" si="78"/>
        <v>550</v>
      </c>
      <c r="R240" s="4">
        <f t="shared" si="79"/>
        <v>550000</v>
      </c>
      <c r="S240" s="4">
        <v>2810.83</v>
      </c>
      <c r="T240" s="4">
        <f t="shared" si="80"/>
        <v>30919.129999999997</v>
      </c>
      <c r="U240" s="4">
        <v>1861.92</v>
      </c>
      <c r="V240" s="4">
        <v>1200</v>
      </c>
    </row>
    <row r="241" spans="1:22" x14ac:dyDescent="0.35">
      <c r="A241" s="3">
        <v>50</v>
      </c>
      <c r="B241" s="2">
        <v>46060</v>
      </c>
      <c r="C241" s="4"/>
      <c r="D241" s="18"/>
      <c r="E241" s="4">
        <f t="shared" si="81"/>
        <v>4476</v>
      </c>
      <c r="F241" s="4">
        <v>0</v>
      </c>
      <c r="G241" s="14">
        <f t="shared" si="73"/>
        <v>0</v>
      </c>
      <c r="H241" s="4"/>
      <c r="I241" s="4">
        <f t="shared" si="74"/>
        <v>4476</v>
      </c>
      <c r="J241" s="4">
        <v>128</v>
      </c>
      <c r="K241" s="4">
        <f t="shared" si="75"/>
        <v>3840</v>
      </c>
      <c r="L241" s="4">
        <v>0</v>
      </c>
      <c r="M241" s="4">
        <v>0</v>
      </c>
      <c r="N241" s="4">
        <f t="shared" si="76"/>
        <v>3840</v>
      </c>
      <c r="O241" s="14">
        <f t="shared" si="77"/>
        <v>0.85790884718498661</v>
      </c>
      <c r="P241" s="4">
        <v>10</v>
      </c>
      <c r="Q241" s="4">
        <f t="shared" si="78"/>
        <v>500</v>
      </c>
      <c r="R241" s="4">
        <f t="shared" si="79"/>
        <v>500000</v>
      </c>
      <c r="S241" s="4">
        <v>2810.83</v>
      </c>
      <c r="T241" s="4">
        <f t="shared" si="80"/>
        <v>28108.3</v>
      </c>
      <c r="U241" s="4">
        <v>1861.92</v>
      </c>
      <c r="V241" s="4">
        <v>1200</v>
      </c>
    </row>
    <row r="242" spans="1:22" x14ac:dyDescent="0.35">
      <c r="A242" s="3">
        <v>50</v>
      </c>
      <c r="B242" s="2">
        <v>46061</v>
      </c>
      <c r="C242" s="4"/>
      <c r="D242" s="18"/>
      <c r="E242" s="4">
        <f t="shared" si="81"/>
        <v>4476</v>
      </c>
      <c r="F242" s="4">
        <v>0</v>
      </c>
      <c r="G242" s="14">
        <f t="shared" si="73"/>
        <v>0</v>
      </c>
      <c r="H242" s="4"/>
      <c r="I242" s="4">
        <f t="shared" si="74"/>
        <v>4476</v>
      </c>
      <c r="J242" s="4">
        <v>128</v>
      </c>
      <c r="K242" s="4">
        <f t="shared" si="75"/>
        <v>3840</v>
      </c>
      <c r="L242" s="4">
        <v>0</v>
      </c>
      <c r="M242" s="4">
        <v>0</v>
      </c>
      <c r="N242" s="4">
        <f t="shared" si="76"/>
        <v>3840</v>
      </c>
      <c r="O242" s="14">
        <f t="shared" si="77"/>
        <v>0.85790884718498661</v>
      </c>
      <c r="P242" s="4">
        <v>11</v>
      </c>
      <c r="Q242" s="4">
        <f t="shared" si="78"/>
        <v>550</v>
      </c>
      <c r="R242" s="4">
        <f t="shared" si="79"/>
        <v>550000</v>
      </c>
      <c r="S242" s="4">
        <v>2810.83</v>
      </c>
      <c r="T242" s="4">
        <f t="shared" si="80"/>
        <v>30919.129999999997</v>
      </c>
      <c r="U242" s="4">
        <v>1861.92</v>
      </c>
      <c r="V242" s="4">
        <v>1200</v>
      </c>
    </row>
    <row r="243" spans="1:22" x14ac:dyDescent="0.35">
      <c r="A243" s="3">
        <v>50</v>
      </c>
      <c r="B243" s="2">
        <v>46062</v>
      </c>
      <c r="C243" s="4"/>
      <c r="D243" s="18"/>
      <c r="E243" s="4">
        <f t="shared" si="81"/>
        <v>4476</v>
      </c>
      <c r="F243" s="4">
        <v>0</v>
      </c>
      <c r="G243" s="14">
        <f t="shared" si="73"/>
        <v>0</v>
      </c>
      <c r="H243" s="4"/>
      <c r="I243" s="4">
        <f t="shared" si="74"/>
        <v>4476</v>
      </c>
      <c r="J243" s="4">
        <v>128</v>
      </c>
      <c r="K243" s="4">
        <f t="shared" si="75"/>
        <v>3840</v>
      </c>
      <c r="L243" s="4">
        <v>0</v>
      </c>
      <c r="M243" s="4">
        <v>0</v>
      </c>
      <c r="N243" s="4">
        <f t="shared" si="76"/>
        <v>3840</v>
      </c>
      <c r="O243" s="14">
        <f t="shared" si="77"/>
        <v>0.85790884718498661</v>
      </c>
      <c r="P243" s="4">
        <v>10</v>
      </c>
      <c r="Q243" s="4">
        <f t="shared" si="78"/>
        <v>500</v>
      </c>
      <c r="R243" s="4">
        <f t="shared" si="79"/>
        <v>500000</v>
      </c>
      <c r="S243" s="4">
        <v>2810.83</v>
      </c>
      <c r="T243" s="4">
        <f t="shared" si="80"/>
        <v>28108.3</v>
      </c>
      <c r="U243" s="4">
        <v>1861.92</v>
      </c>
      <c r="V243" s="4">
        <v>1100</v>
      </c>
    </row>
    <row r="244" spans="1:22" x14ac:dyDescent="0.35">
      <c r="A244" s="3">
        <v>51</v>
      </c>
      <c r="B244" s="2">
        <v>46063</v>
      </c>
      <c r="C244" s="4"/>
      <c r="D244" s="18"/>
      <c r="E244" s="4">
        <f t="shared" si="81"/>
        <v>4476</v>
      </c>
      <c r="F244" s="4">
        <v>0</v>
      </c>
      <c r="G244" s="14">
        <f t="shared" si="73"/>
        <v>0</v>
      </c>
      <c r="H244" s="4"/>
      <c r="I244" s="4">
        <f t="shared" si="74"/>
        <v>4476</v>
      </c>
      <c r="J244" s="4">
        <v>127</v>
      </c>
      <c r="K244" s="4">
        <f t="shared" si="75"/>
        <v>3810</v>
      </c>
      <c r="L244" s="4">
        <v>0</v>
      </c>
      <c r="M244" s="4">
        <v>0</v>
      </c>
      <c r="N244" s="4">
        <f t="shared" si="76"/>
        <v>3810</v>
      </c>
      <c r="O244" s="14">
        <f t="shared" si="77"/>
        <v>0.8512064343163539</v>
      </c>
      <c r="P244" s="4">
        <v>10</v>
      </c>
      <c r="Q244" s="4">
        <f t="shared" si="78"/>
        <v>500</v>
      </c>
      <c r="R244" s="4">
        <f t="shared" si="79"/>
        <v>500000</v>
      </c>
      <c r="S244" s="4">
        <v>2810.83</v>
      </c>
      <c r="T244" s="4">
        <f t="shared" si="80"/>
        <v>28108.3</v>
      </c>
      <c r="U244" s="4">
        <v>1861.92</v>
      </c>
      <c r="V244" s="4">
        <v>1100</v>
      </c>
    </row>
    <row r="245" spans="1:22" x14ac:dyDescent="0.35">
      <c r="A245" s="3">
        <v>51</v>
      </c>
      <c r="B245" s="2">
        <v>46064</v>
      </c>
      <c r="C245" s="4"/>
      <c r="D245" s="18"/>
      <c r="E245" s="4">
        <f t="shared" si="81"/>
        <v>4476</v>
      </c>
      <c r="F245" s="4">
        <v>1</v>
      </c>
      <c r="G245" s="14">
        <f t="shared" si="73"/>
        <v>2.2341376228775692E-4</v>
      </c>
      <c r="H245" s="4"/>
      <c r="I245" s="4">
        <f t="shared" si="74"/>
        <v>4475</v>
      </c>
      <c r="J245" s="4">
        <v>127</v>
      </c>
      <c r="K245" s="4">
        <f t="shared" si="75"/>
        <v>3810</v>
      </c>
      <c r="L245" s="4">
        <v>0</v>
      </c>
      <c r="M245" s="4">
        <v>0</v>
      </c>
      <c r="N245" s="4">
        <f t="shared" si="76"/>
        <v>3810</v>
      </c>
      <c r="O245" s="14">
        <f t="shared" ref="O245:O257" si="82">N245/E245</f>
        <v>0.8512064343163539</v>
      </c>
      <c r="P245" s="4">
        <v>10</v>
      </c>
      <c r="Q245" s="4">
        <f t="shared" si="78"/>
        <v>500</v>
      </c>
      <c r="R245" s="4">
        <f t="shared" si="79"/>
        <v>500000</v>
      </c>
      <c r="S245" s="4">
        <v>2809.08</v>
      </c>
      <c r="T245" s="4">
        <f t="shared" si="80"/>
        <v>28090.799999999999</v>
      </c>
      <c r="U245" s="4">
        <v>1861.92</v>
      </c>
      <c r="V245" s="4">
        <v>1300</v>
      </c>
    </row>
    <row r="246" spans="1:22" x14ac:dyDescent="0.35">
      <c r="A246" s="3">
        <v>51</v>
      </c>
      <c r="B246" s="2">
        <v>46065</v>
      </c>
      <c r="C246" s="4"/>
      <c r="D246" s="18"/>
      <c r="E246" s="4">
        <f t="shared" si="81"/>
        <v>4475</v>
      </c>
      <c r="F246" s="4">
        <v>1</v>
      </c>
      <c r="G246" s="14">
        <f t="shared" si="73"/>
        <v>2.2346368715083799E-4</v>
      </c>
      <c r="H246" s="4"/>
      <c r="I246" s="4">
        <f t="shared" si="74"/>
        <v>4474</v>
      </c>
      <c r="J246" s="4">
        <v>127</v>
      </c>
      <c r="K246" s="4">
        <f t="shared" si="75"/>
        <v>3810</v>
      </c>
      <c r="L246" s="4">
        <v>0</v>
      </c>
      <c r="M246" s="4">
        <v>0</v>
      </c>
      <c r="N246" s="4">
        <f t="shared" si="76"/>
        <v>3810</v>
      </c>
      <c r="O246" s="14">
        <f t="shared" si="82"/>
        <v>0.85139664804469273</v>
      </c>
      <c r="P246" s="4">
        <v>11</v>
      </c>
      <c r="Q246" s="4">
        <f t="shared" si="78"/>
        <v>550</v>
      </c>
      <c r="R246" s="4">
        <f t="shared" si="79"/>
        <v>550000</v>
      </c>
      <c r="S246" s="4">
        <v>2809.08</v>
      </c>
      <c r="T246" s="4">
        <f t="shared" si="80"/>
        <v>30899.879999999997</v>
      </c>
      <c r="U246" s="4">
        <v>1861.92</v>
      </c>
      <c r="V246" s="4">
        <v>1100</v>
      </c>
    </row>
    <row r="247" spans="1:22" x14ac:dyDescent="0.35">
      <c r="A247" s="3">
        <v>51</v>
      </c>
      <c r="B247" s="2">
        <v>46066</v>
      </c>
      <c r="C247" s="4"/>
      <c r="D247" s="18"/>
      <c r="E247" s="4">
        <f t="shared" si="81"/>
        <v>4474</v>
      </c>
      <c r="F247" s="4">
        <v>1</v>
      </c>
      <c r="G247" s="14">
        <f t="shared" si="73"/>
        <v>2.2351363433169424E-4</v>
      </c>
      <c r="H247" s="4"/>
      <c r="I247" s="4">
        <f t="shared" si="74"/>
        <v>4473</v>
      </c>
      <c r="J247" s="4">
        <v>128</v>
      </c>
      <c r="K247" s="4">
        <f t="shared" si="75"/>
        <v>3840</v>
      </c>
      <c r="L247" s="4">
        <v>0</v>
      </c>
      <c r="M247" s="4">
        <v>0</v>
      </c>
      <c r="N247" s="4">
        <f t="shared" si="76"/>
        <v>3840</v>
      </c>
      <c r="O247" s="14">
        <f t="shared" si="82"/>
        <v>0.85829235583370589</v>
      </c>
      <c r="P247" s="4">
        <v>11</v>
      </c>
      <c r="Q247" s="4">
        <f t="shared" si="78"/>
        <v>550</v>
      </c>
      <c r="R247" s="4">
        <f t="shared" si="79"/>
        <v>550000</v>
      </c>
      <c r="S247" s="4">
        <v>2809.08</v>
      </c>
      <c r="T247" s="4">
        <f t="shared" si="80"/>
        <v>30899.879999999997</v>
      </c>
      <c r="U247" s="4">
        <v>1861.92</v>
      </c>
      <c r="V247" s="4">
        <v>1100</v>
      </c>
    </row>
    <row r="248" spans="1:22" x14ac:dyDescent="0.35">
      <c r="A248" s="3">
        <v>51</v>
      </c>
      <c r="B248" s="2">
        <v>46067</v>
      </c>
      <c r="C248" s="4"/>
      <c r="D248" s="18"/>
      <c r="E248" s="4">
        <f t="shared" si="81"/>
        <v>4473</v>
      </c>
      <c r="F248" s="4">
        <v>1</v>
      </c>
      <c r="G248" s="14">
        <f t="shared" si="73"/>
        <v>2.23563603845294E-4</v>
      </c>
      <c r="H248" s="4"/>
      <c r="I248" s="4">
        <f t="shared" si="74"/>
        <v>4472</v>
      </c>
      <c r="J248" s="4">
        <v>128</v>
      </c>
      <c r="K248" s="4">
        <f t="shared" si="75"/>
        <v>3840</v>
      </c>
      <c r="L248" s="4">
        <v>0</v>
      </c>
      <c r="M248" s="4">
        <v>0</v>
      </c>
      <c r="N248" s="4">
        <f t="shared" si="76"/>
        <v>3840</v>
      </c>
      <c r="O248" s="14">
        <f t="shared" si="82"/>
        <v>0.85848423876592894</v>
      </c>
      <c r="P248" s="4">
        <v>11</v>
      </c>
      <c r="Q248" s="4">
        <f t="shared" si="78"/>
        <v>550</v>
      </c>
      <c r="R248" s="4">
        <f t="shared" si="79"/>
        <v>550000</v>
      </c>
      <c r="S248" s="4">
        <v>2809.08</v>
      </c>
      <c r="T248" s="4">
        <f t="shared" si="80"/>
        <v>30899.879999999997</v>
      </c>
      <c r="U248" s="4">
        <v>1861.92</v>
      </c>
      <c r="V248" s="4">
        <v>2200</v>
      </c>
    </row>
    <row r="249" spans="1:22" x14ac:dyDescent="0.35">
      <c r="A249" s="3">
        <v>51</v>
      </c>
      <c r="B249" s="2">
        <v>46068</v>
      </c>
      <c r="C249" s="4"/>
      <c r="D249" s="18"/>
      <c r="E249" s="4">
        <f t="shared" si="81"/>
        <v>4472</v>
      </c>
      <c r="F249" s="4">
        <v>0</v>
      </c>
      <c r="G249" s="14">
        <f t="shared" si="73"/>
        <v>0</v>
      </c>
      <c r="H249" s="4"/>
      <c r="I249" s="4">
        <f t="shared" si="74"/>
        <v>4472</v>
      </c>
      <c r="J249" s="4">
        <v>129</v>
      </c>
      <c r="K249" s="4">
        <f t="shared" si="75"/>
        <v>3870</v>
      </c>
      <c r="L249" s="4">
        <v>0</v>
      </c>
      <c r="M249" s="4">
        <v>0</v>
      </c>
      <c r="N249" s="4">
        <f t="shared" si="76"/>
        <v>3870</v>
      </c>
      <c r="O249" s="14">
        <f t="shared" si="82"/>
        <v>0.86538461538461542</v>
      </c>
      <c r="P249" s="4">
        <v>10</v>
      </c>
      <c r="Q249" s="4">
        <f t="shared" si="78"/>
        <v>500</v>
      </c>
      <c r="R249" s="4">
        <f t="shared" si="79"/>
        <v>500000</v>
      </c>
      <c r="S249" s="4">
        <v>2847.83</v>
      </c>
      <c r="T249" s="4">
        <f t="shared" si="80"/>
        <v>28478.3</v>
      </c>
      <c r="U249" s="4">
        <v>1861.92</v>
      </c>
      <c r="V249" s="4">
        <v>1100</v>
      </c>
    </row>
    <row r="250" spans="1:22" x14ac:dyDescent="0.35">
      <c r="A250" s="3">
        <v>51</v>
      </c>
      <c r="B250" s="2">
        <v>46069</v>
      </c>
      <c r="C250" s="4"/>
      <c r="D250" s="18"/>
      <c r="E250" s="4">
        <f t="shared" si="81"/>
        <v>4472</v>
      </c>
      <c r="F250" s="4">
        <v>0</v>
      </c>
      <c r="G250" s="14">
        <f t="shared" si="73"/>
        <v>0</v>
      </c>
      <c r="H250" s="4"/>
      <c r="I250" s="4">
        <f t="shared" si="74"/>
        <v>4472</v>
      </c>
      <c r="J250" s="4">
        <v>129</v>
      </c>
      <c r="K250" s="4">
        <f t="shared" si="75"/>
        <v>3870</v>
      </c>
      <c r="L250" s="4">
        <v>0</v>
      </c>
      <c r="M250" s="4">
        <v>0</v>
      </c>
      <c r="N250" s="4">
        <f t="shared" si="76"/>
        <v>3870</v>
      </c>
      <c r="O250" s="14">
        <f t="shared" si="82"/>
        <v>0.86538461538461542</v>
      </c>
      <c r="P250" s="4">
        <v>10</v>
      </c>
      <c r="Q250" s="4">
        <f t="shared" si="78"/>
        <v>500</v>
      </c>
      <c r="R250" s="4">
        <f t="shared" si="79"/>
        <v>500000</v>
      </c>
      <c r="S250" s="4">
        <v>2847.83</v>
      </c>
      <c r="T250" s="4">
        <f t="shared" si="80"/>
        <v>28478.3</v>
      </c>
      <c r="U250" s="4">
        <v>1861.92</v>
      </c>
      <c r="V250" s="4">
        <v>1200</v>
      </c>
    </row>
    <row r="251" spans="1:22" x14ac:dyDescent="0.35">
      <c r="A251" s="3">
        <v>52</v>
      </c>
      <c r="B251" s="2">
        <v>46070</v>
      </c>
      <c r="C251" s="4"/>
      <c r="D251" s="18"/>
      <c r="E251" s="4">
        <f t="shared" si="81"/>
        <v>4472</v>
      </c>
      <c r="F251" s="4">
        <v>1</v>
      </c>
      <c r="G251" s="14">
        <f>F251/E251</f>
        <v>2.2361359570661896E-4</v>
      </c>
      <c r="H251" s="4"/>
      <c r="I251" s="4">
        <f t="shared" si="74"/>
        <v>4471</v>
      </c>
      <c r="J251" s="4">
        <v>129</v>
      </c>
      <c r="K251" s="4">
        <f t="shared" si="75"/>
        <v>3870</v>
      </c>
      <c r="L251" s="4">
        <v>0</v>
      </c>
      <c r="M251" s="4">
        <v>0</v>
      </c>
      <c r="N251" s="4">
        <f t="shared" si="76"/>
        <v>3870</v>
      </c>
      <c r="O251" s="14">
        <f t="shared" si="82"/>
        <v>0.86538461538461542</v>
      </c>
      <c r="P251" s="4">
        <v>11</v>
      </c>
      <c r="Q251" s="4">
        <f t="shared" si="78"/>
        <v>550</v>
      </c>
      <c r="R251" s="4">
        <f t="shared" si="79"/>
        <v>550000</v>
      </c>
      <c r="S251" s="4">
        <v>2847.83</v>
      </c>
      <c r="T251" s="4">
        <f t="shared" si="80"/>
        <v>31326.129999999997</v>
      </c>
      <c r="U251" s="4">
        <v>1861.92</v>
      </c>
      <c r="V251" s="4">
        <v>1100</v>
      </c>
    </row>
    <row r="252" spans="1:22" x14ac:dyDescent="0.35">
      <c r="A252" s="3">
        <v>52</v>
      </c>
      <c r="B252" s="2">
        <v>46071</v>
      </c>
      <c r="C252" s="4"/>
      <c r="D252" s="18"/>
      <c r="E252" s="4">
        <f t="shared" si="81"/>
        <v>4471</v>
      </c>
      <c r="F252" s="4">
        <v>1</v>
      </c>
      <c r="G252" s="14">
        <f>F252/E252</f>
        <v>2.2366360993066427E-4</v>
      </c>
      <c r="H252" s="4"/>
      <c r="I252" s="4">
        <f t="shared" si="74"/>
        <v>4470</v>
      </c>
      <c r="J252" s="4">
        <v>131</v>
      </c>
      <c r="K252" s="4">
        <f t="shared" si="75"/>
        <v>3930</v>
      </c>
      <c r="L252" s="4">
        <v>0</v>
      </c>
      <c r="M252" s="4">
        <v>0</v>
      </c>
      <c r="N252" s="4">
        <f t="shared" si="76"/>
        <v>3930</v>
      </c>
      <c r="O252" s="14">
        <f t="shared" si="82"/>
        <v>0.87899798702751064</v>
      </c>
      <c r="P252" s="4">
        <v>11</v>
      </c>
      <c r="Q252" s="4">
        <f t="shared" si="78"/>
        <v>550</v>
      </c>
      <c r="R252" s="4">
        <f t="shared" si="79"/>
        <v>550000</v>
      </c>
      <c r="S252" s="4">
        <v>2847.83</v>
      </c>
      <c r="T252" s="4">
        <f t="shared" si="80"/>
        <v>31326.129999999997</v>
      </c>
      <c r="U252" s="4">
        <v>1861.92</v>
      </c>
      <c r="V252" s="4">
        <v>1100</v>
      </c>
    </row>
    <row r="253" spans="1:22" x14ac:dyDescent="0.35">
      <c r="A253" s="3">
        <v>52</v>
      </c>
      <c r="B253" s="2">
        <v>46072</v>
      </c>
      <c r="C253" s="4"/>
      <c r="D253" s="18"/>
      <c r="E253" s="4">
        <f t="shared" si="81"/>
        <v>4470</v>
      </c>
      <c r="F253" s="4">
        <v>0</v>
      </c>
      <c r="G253" s="14">
        <f>F253/E253</f>
        <v>0</v>
      </c>
      <c r="H253" s="4"/>
      <c r="I253" s="4">
        <f t="shared" si="74"/>
        <v>4470</v>
      </c>
      <c r="J253" s="4">
        <v>131</v>
      </c>
      <c r="K253" s="4">
        <f t="shared" si="75"/>
        <v>3930</v>
      </c>
      <c r="L253" s="4">
        <v>0</v>
      </c>
      <c r="M253" s="4">
        <v>0</v>
      </c>
      <c r="N253" s="4">
        <f t="shared" si="76"/>
        <v>3930</v>
      </c>
      <c r="O253" s="14">
        <f t="shared" si="82"/>
        <v>0.87919463087248317</v>
      </c>
      <c r="P253" s="4">
        <v>11</v>
      </c>
      <c r="Q253" s="4">
        <f t="shared" si="78"/>
        <v>550</v>
      </c>
      <c r="R253" s="4">
        <f t="shared" si="79"/>
        <v>550000</v>
      </c>
      <c r="S253" s="4">
        <v>2847.83</v>
      </c>
      <c r="T253" s="4">
        <f t="shared" si="80"/>
        <v>31326.129999999997</v>
      </c>
      <c r="U253" s="4">
        <v>1861.92</v>
      </c>
      <c r="V253" s="4">
        <v>1100</v>
      </c>
    </row>
    <row r="254" spans="1:22" x14ac:dyDescent="0.35">
      <c r="A254" s="3">
        <v>52</v>
      </c>
      <c r="B254" s="2">
        <v>46073</v>
      </c>
      <c r="C254" s="4"/>
      <c r="D254" s="18"/>
      <c r="E254" s="4">
        <f t="shared" si="81"/>
        <v>4470</v>
      </c>
      <c r="F254" s="4">
        <v>1</v>
      </c>
      <c r="G254" s="14">
        <f>F254/E254</f>
        <v>2.2371364653243848E-4</v>
      </c>
      <c r="H254" s="4"/>
      <c r="I254" s="4">
        <f t="shared" si="74"/>
        <v>4469</v>
      </c>
      <c r="J254" s="4">
        <v>131</v>
      </c>
      <c r="K254" s="4">
        <f t="shared" si="75"/>
        <v>3930</v>
      </c>
      <c r="L254" s="4">
        <v>0</v>
      </c>
      <c r="M254" s="4">
        <v>0</v>
      </c>
      <c r="N254" s="4">
        <f t="shared" si="76"/>
        <v>3930</v>
      </c>
      <c r="O254" s="14">
        <f t="shared" si="82"/>
        <v>0.87919463087248317</v>
      </c>
      <c r="P254" s="4">
        <v>11</v>
      </c>
      <c r="Q254" s="4">
        <f t="shared" si="78"/>
        <v>550</v>
      </c>
      <c r="R254" s="4">
        <f t="shared" si="79"/>
        <v>550000</v>
      </c>
      <c r="S254" s="4">
        <v>2847.83</v>
      </c>
      <c r="T254" s="4">
        <f t="shared" si="80"/>
        <v>31326.129999999997</v>
      </c>
      <c r="U254" s="4">
        <v>1861.92</v>
      </c>
      <c r="V254" s="4">
        <v>1200</v>
      </c>
    </row>
    <row r="255" spans="1:22" x14ac:dyDescent="0.35">
      <c r="A255" s="3">
        <v>52</v>
      </c>
      <c r="B255" s="2">
        <v>46074</v>
      </c>
      <c r="C255" s="4"/>
      <c r="D255" s="18"/>
      <c r="E255" s="4">
        <f t="shared" si="81"/>
        <v>4469</v>
      </c>
      <c r="F255" s="4">
        <v>0</v>
      </c>
      <c r="G255" s="14">
        <f t="shared" ref="G255:G262" si="83">F255/E255</f>
        <v>0</v>
      </c>
      <c r="H255" s="4"/>
      <c r="I255" s="4">
        <f t="shared" si="74"/>
        <v>4469</v>
      </c>
      <c r="J255" s="4">
        <v>131</v>
      </c>
      <c r="K255" s="4">
        <f t="shared" si="75"/>
        <v>3930</v>
      </c>
      <c r="L255" s="4">
        <v>0</v>
      </c>
      <c r="M255" s="4">
        <v>0</v>
      </c>
      <c r="N255" s="4">
        <f t="shared" si="76"/>
        <v>3930</v>
      </c>
      <c r="O255" s="14">
        <f t="shared" si="82"/>
        <v>0.87939136272096663</v>
      </c>
      <c r="P255" s="4">
        <v>11</v>
      </c>
      <c r="Q255" s="4">
        <f t="shared" si="78"/>
        <v>550</v>
      </c>
      <c r="R255" s="4">
        <f t="shared" si="79"/>
        <v>550000</v>
      </c>
      <c r="S255" s="4">
        <v>2847.83</v>
      </c>
      <c r="T255" s="4">
        <f t="shared" si="80"/>
        <v>31326.129999999997</v>
      </c>
      <c r="U255" s="4">
        <v>1861.92</v>
      </c>
      <c r="V255" s="4">
        <v>1100</v>
      </c>
    </row>
    <row r="256" spans="1:22" x14ac:dyDescent="0.35">
      <c r="A256" s="3">
        <v>52</v>
      </c>
      <c r="B256" s="2">
        <v>46075</v>
      </c>
      <c r="C256" s="4"/>
      <c r="D256" s="18"/>
      <c r="E256" s="4">
        <f t="shared" si="81"/>
        <v>4469</v>
      </c>
      <c r="F256" s="4">
        <v>1</v>
      </c>
      <c r="G256" s="14">
        <f t="shared" si="83"/>
        <v>2.2376370552696352E-4</v>
      </c>
      <c r="H256" s="4"/>
      <c r="I256" s="4">
        <f t="shared" si="74"/>
        <v>4468</v>
      </c>
      <c r="J256" s="4">
        <v>131</v>
      </c>
      <c r="K256" s="4">
        <f t="shared" si="75"/>
        <v>3930</v>
      </c>
      <c r="L256" s="4">
        <v>0</v>
      </c>
      <c r="M256" s="4">
        <v>0</v>
      </c>
      <c r="N256" s="4">
        <f t="shared" si="76"/>
        <v>3930</v>
      </c>
      <c r="O256" s="14">
        <f t="shared" si="82"/>
        <v>0.87939136272096663</v>
      </c>
      <c r="P256" s="4">
        <v>11</v>
      </c>
      <c r="Q256" s="4">
        <f t="shared" si="78"/>
        <v>550</v>
      </c>
      <c r="R256" s="4">
        <f t="shared" si="79"/>
        <v>550000</v>
      </c>
      <c r="S256" s="4">
        <v>2847.83</v>
      </c>
      <c r="T256" s="4">
        <f t="shared" si="80"/>
        <v>31326.129999999997</v>
      </c>
      <c r="U256" s="4">
        <v>1861.92</v>
      </c>
      <c r="V256" s="4">
        <v>1000</v>
      </c>
    </row>
    <row r="257" spans="1:22" x14ac:dyDescent="0.35">
      <c r="A257" s="3">
        <v>52</v>
      </c>
      <c r="B257" s="2">
        <v>46076</v>
      </c>
      <c r="C257" s="4"/>
      <c r="D257" s="18"/>
      <c r="E257" s="4">
        <f t="shared" si="81"/>
        <v>4468</v>
      </c>
      <c r="F257" s="4">
        <v>0</v>
      </c>
      <c r="G257" s="14">
        <f t="shared" si="83"/>
        <v>0</v>
      </c>
      <c r="H257" s="4"/>
      <c r="I257" s="4">
        <f t="shared" si="74"/>
        <v>4468</v>
      </c>
      <c r="J257" s="4">
        <v>131</v>
      </c>
      <c r="K257" s="4">
        <f t="shared" si="75"/>
        <v>3930</v>
      </c>
      <c r="L257" s="4">
        <v>2</v>
      </c>
      <c r="M257" s="4">
        <v>0</v>
      </c>
      <c r="N257" s="4">
        <f t="shared" si="76"/>
        <v>3932</v>
      </c>
      <c r="O257" s="14">
        <f t="shared" si="82"/>
        <v>0.88003581020590871</v>
      </c>
      <c r="P257" s="4">
        <v>11</v>
      </c>
      <c r="Q257" s="4">
        <f t="shared" si="78"/>
        <v>550</v>
      </c>
      <c r="R257" s="4">
        <f t="shared" si="79"/>
        <v>550000</v>
      </c>
      <c r="S257" s="4">
        <v>2847.83</v>
      </c>
      <c r="T257" s="4">
        <f t="shared" si="80"/>
        <v>31326.129999999997</v>
      </c>
      <c r="U257" s="4">
        <v>1861.92</v>
      </c>
      <c r="V257" s="4">
        <v>1100</v>
      </c>
    </row>
    <row r="258" spans="1:22" x14ac:dyDescent="0.35">
      <c r="A258" s="3">
        <v>53</v>
      </c>
      <c r="B258" s="2">
        <v>46077</v>
      </c>
      <c r="C258" s="4"/>
      <c r="D258" s="18"/>
      <c r="E258" s="4">
        <f t="shared" si="81"/>
        <v>4468</v>
      </c>
      <c r="F258" s="4">
        <v>1</v>
      </c>
      <c r="G258" s="14">
        <f t="shared" si="83"/>
        <v>2.2381378692927484E-4</v>
      </c>
      <c r="H258" s="4"/>
      <c r="I258" s="4">
        <f t="shared" si="74"/>
        <v>4467</v>
      </c>
      <c r="J258" s="4">
        <v>131</v>
      </c>
      <c r="K258" s="4">
        <f t="shared" si="75"/>
        <v>3930</v>
      </c>
      <c r="L258" s="4">
        <v>1</v>
      </c>
      <c r="M258" s="4">
        <v>0</v>
      </c>
      <c r="N258" s="4">
        <f t="shared" si="76"/>
        <v>3931</v>
      </c>
      <c r="O258" s="14">
        <f>N258/E258</f>
        <v>0.87981199641897945</v>
      </c>
      <c r="P258" s="4">
        <v>11</v>
      </c>
      <c r="Q258" s="4">
        <f t="shared" si="78"/>
        <v>550</v>
      </c>
      <c r="R258" s="4">
        <f t="shared" si="79"/>
        <v>550000</v>
      </c>
      <c r="S258" s="4">
        <v>2847.83</v>
      </c>
      <c r="T258" s="4">
        <f t="shared" si="80"/>
        <v>31326.129999999997</v>
      </c>
      <c r="U258" s="4">
        <v>1861.92</v>
      </c>
      <c r="V258" s="4">
        <v>1100</v>
      </c>
    </row>
    <row r="259" spans="1:22" x14ac:dyDescent="0.35">
      <c r="A259" s="3">
        <v>53</v>
      </c>
      <c r="B259" s="2">
        <v>46078</v>
      </c>
      <c r="C259" s="4"/>
      <c r="D259" s="18"/>
      <c r="E259" s="4">
        <f t="shared" si="81"/>
        <v>4467</v>
      </c>
      <c r="F259" s="4">
        <v>1</v>
      </c>
      <c r="G259" s="14">
        <f t="shared" si="83"/>
        <v>2.2386389075442132E-4</v>
      </c>
      <c r="H259" s="4"/>
      <c r="I259" s="4">
        <f t="shared" si="74"/>
        <v>4466</v>
      </c>
      <c r="J259" s="4">
        <v>131</v>
      </c>
      <c r="K259" s="4">
        <f t="shared" si="75"/>
        <v>3930</v>
      </c>
      <c r="L259" s="4">
        <v>1</v>
      </c>
      <c r="M259" s="4">
        <v>0</v>
      </c>
      <c r="N259" s="4">
        <f t="shared" si="76"/>
        <v>3931</v>
      </c>
      <c r="O259" s="14">
        <f>N259/E259</f>
        <v>0.88000895455563022</v>
      </c>
      <c r="P259" s="4">
        <v>11</v>
      </c>
      <c r="Q259" s="4">
        <f t="shared" si="78"/>
        <v>550</v>
      </c>
      <c r="R259" s="4">
        <f t="shared" si="79"/>
        <v>550000</v>
      </c>
      <c r="S259" s="4">
        <v>2847.83</v>
      </c>
      <c r="T259" s="4">
        <f t="shared" si="80"/>
        <v>31326.129999999997</v>
      </c>
      <c r="U259" s="4">
        <v>1861.92</v>
      </c>
      <c r="V259" s="4">
        <v>1100</v>
      </c>
    </row>
    <row r="260" spans="1:22" x14ac:dyDescent="0.35">
      <c r="A260" s="3">
        <v>53</v>
      </c>
      <c r="B260" s="2">
        <v>46079</v>
      </c>
      <c r="C260" s="4"/>
      <c r="D260" s="18"/>
      <c r="E260" s="4">
        <f t="shared" si="81"/>
        <v>4466</v>
      </c>
      <c r="F260" s="4">
        <v>0</v>
      </c>
      <c r="G260" s="14">
        <f t="shared" si="83"/>
        <v>0</v>
      </c>
      <c r="H260" s="4"/>
      <c r="I260" s="4">
        <f t="shared" si="74"/>
        <v>4466</v>
      </c>
      <c r="J260" s="4">
        <v>131</v>
      </c>
      <c r="K260" s="4">
        <f t="shared" si="75"/>
        <v>3930</v>
      </c>
      <c r="L260" s="4">
        <v>1</v>
      </c>
      <c r="M260" s="4">
        <v>0</v>
      </c>
      <c r="N260" s="4">
        <f t="shared" si="76"/>
        <v>3931</v>
      </c>
      <c r="O260" s="14">
        <f>N260/E260</f>
        <v>0.88020600089565604</v>
      </c>
      <c r="P260" s="4">
        <v>11</v>
      </c>
      <c r="Q260" s="4">
        <f t="shared" si="78"/>
        <v>550</v>
      </c>
      <c r="R260" s="4">
        <f t="shared" si="79"/>
        <v>550000</v>
      </c>
      <c r="S260" s="4">
        <v>2847.83</v>
      </c>
      <c r="T260" s="4">
        <f t="shared" si="80"/>
        <v>31326.129999999997</v>
      </c>
      <c r="U260" s="4">
        <v>1861.92</v>
      </c>
      <c r="V260" s="4">
        <v>1100</v>
      </c>
    </row>
    <row r="261" spans="1:22" x14ac:dyDescent="0.35">
      <c r="A261" s="3">
        <v>53</v>
      </c>
      <c r="B261" s="2">
        <v>46080</v>
      </c>
      <c r="C261" s="4"/>
      <c r="D261" s="18"/>
      <c r="E261" s="4">
        <f t="shared" si="81"/>
        <v>4466</v>
      </c>
      <c r="F261" s="4">
        <v>1</v>
      </c>
      <c r="G261" s="14">
        <f t="shared" si="83"/>
        <v>2.2391401701746529E-4</v>
      </c>
      <c r="H261" s="4"/>
      <c r="I261" s="4">
        <f t="shared" si="74"/>
        <v>4465</v>
      </c>
      <c r="J261" s="4">
        <v>131</v>
      </c>
      <c r="K261" s="4">
        <f t="shared" si="75"/>
        <v>3930</v>
      </c>
      <c r="L261" s="4">
        <v>1</v>
      </c>
      <c r="M261" s="4">
        <v>0</v>
      </c>
      <c r="N261" s="4">
        <f t="shared" si="76"/>
        <v>3931</v>
      </c>
      <c r="O261" s="14">
        <f>N261/E261</f>
        <v>0.88020600089565604</v>
      </c>
      <c r="P261" s="4">
        <v>11</v>
      </c>
      <c r="Q261" s="4">
        <f t="shared" si="78"/>
        <v>550</v>
      </c>
      <c r="R261" s="4">
        <f t="shared" si="79"/>
        <v>550000</v>
      </c>
      <c r="S261" s="4">
        <v>2847.83</v>
      </c>
      <c r="T261" s="4">
        <f t="shared" si="80"/>
        <v>31326.129999999997</v>
      </c>
      <c r="U261" s="4">
        <v>1861.92</v>
      </c>
      <c r="V261" s="4">
        <v>1200</v>
      </c>
    </row>
    <row r="262" spans="1:22" x14ac:dyDescent="0.35">
      <c r="A262" s="3">
        <v>53</v>
      </c>
      <c r="B262" s="2">
        <v>46081</v>
      </c>
      <c r="C262" s="4"/>
      <c r="D262" s="18"/>
      <c r="E262" s="4">
        <f t="shared" si="81"/>
        <v>4465</v>
      </c>
      <c r="F262" s="4">
        <v>0</v>
      </c>
      <c r="G262" s="14">
        <f t="shared" si="83"/>
        <v>0</v>
      </c>
      <c r="H262" s="4"/>
      <c r="I262" s="4">
        <f t="shared" si="74"/>
        <v>4465</v>
      </c>
      <c r="J262" s="4">
        <v>130</v>
      </c>
      <c r="K262" s="4">
        <f t="shared" si="75"/>
        <v>3900</v>
      </c>
      <c r="L262" s="4">
        <v>1</v>
      </c>
      <c r="M262" s="4">
        <v>0</v>
      </c>
      <c r="N262" s="4">
        <f t="shared" si="76"/>
        <v>3901</v>
      </c>
      <c r="O262" s="14">
        <f>N262/E262</f>
        <v>0.87368421052631584</v>
      </c>
      <c r="P262" s="4">
        <v>11</v>
      </c>
      <c r="Q262" s="4">
        <f t="shared" si="78"/>
        <v>550</v>
      </c>
      <c r="R262" s="4">
        <f t="shared" si="79"/>
        <v>550000</v>
      </c>
      <c r="S262" s="4">
        <v>2847.83</v>
      </c>
      <c r="T262" s="4">
        <f t="shared" si="80"/>
        <v>31326.129999999997</v>
      </c>
      <c r="U262" s="4">
        <v>1861.92</v>
      </c>
      <c r="V262" s="4">
        <v>1000</v>
      </c>
    </row>
    <row r="263" spans="1:22" x14ac:dyDescent="0.35">
      <c r="A263" s="3"/>
      <c r="B263" s="2"/>
      <c r="C263" s="4"/>
      <c r="D263" s="18"/>
      <c r="E263" s="4"/>
      <c r="F263" s="4">
        <f>SUM(F235:F262)</f>
        <v>15</v>
      </c>
      <c r="G263" s="14"/>
      <c r="H263" s="4"/>
      <c r="I263" s="4"/>
      <c r="J263" s="4"/>
      <c r="K263" s="4"/>
      <c r="L263" s="4"/>
      <c r="M263" s="4"/>
      <c r="N263" s="4"/>
      <c r="O263" s="14"/>
      <c r="P263" s="4"/>
      <c r="Q263" s="4"/>
      <c r="R263" s="4"/>
      <c r="S263" s="22"/>
      <c r="T263" s="4"/>
    </row>
    <row r="264" spans="1:22" x14ac:dyDescent="0.35">
      <c r="B264" s="37" t="s">
        <v>1</v>
      </c>
      <c r="C264" s="38" t="s">
        <v>19</v>
      </c>
      <c r="D264" s="38" t="s">
        <v>18</v>
      </c>
      <c r="E264" s="39" t="s">
        <v>2</v>
      </c>
      <c r="F264" s="40" t="s">
        <v>3</v>
      </c>
      <c r="G264" s="41" t="s">
        <v>4</v>
      </c>
      <c r="H264" s="40" t="s">
        <v>5</v>
      </c>
      <c r="I264" s="42" t="s">
        <v>6</v>
      </c>
      <c r="J264" s="43" t="s">
        <v>7</v>
      </c>
      <c r="K264" s="40" t="s">
        <v>8</v>
      </c>
      <c r="L264" s="40" t="s">
        <v>9</v>
      </c>
      <c r="M264" s="40" t="s">
        <v>10</v>
      </c>
      <c r="N264" s="40" t="s">
        <v>11</v>
      </c>
      <c r="O264" s="44" t="s">
        <v>12</v>
      </c>
      <c r="P264" s="43" t="s">
        <v>13</v>
      </c>
      <c r="Q264" s="40" t="s">
        <v>14</v>
      </c>
      <c r="R264" s="45" t="s">
        <v>15</v>
      </c>
      <c r="S264" s="46" t="s">
        <v>16</v>
      </c>
      <c r="T264" s="47" t="s">
        <v>17</v>
      </c>
      <c r="U264" s="48" t="s">
        <v>21</v>
      </c>
      <c r="V264" s="48" t="s">
        <v>23</v>
      </c>
    </row>
    <row r="265" spans="1:22" x14ac:dyDescent="0.35">
      <c r="A265" s="3">
        <v>53</v>
      </c>
      <c r="B265" s="2">
        <v>46082</v>
      </c>
      <c r="C265" s="18"/>
      <c r="D265" s="18"/>
      <c r="E265" s="4">
        <v>4465</v>
      </c>
      <c r="F265" s="4">
        <v>0</v>
      </c>
      <c r="G265" s="14">
        <f t="shared" ref="G265:G295" si="84">F265/E265</f>
        <v>0</v>
      </c>
      <c r="H265" s="4"/>
      <c r="I265" s="4">
        <f t="shared" ref="I265:I295" si="85">E265-F265-H265</f>
        <v>4465</v>
      </c>
      <c r="J265" s="4">
        <v>129</v>
      </c>
      <c r="K265" s="4">
        <f t="shared" ref="K265:K295" si="86">J265*30</f>
        <v>3870</v>
      </c>
      <c r="L265" s="4">
        <v>0</v>
      </c>
      <c r="M265" s="4">
        <v>0</v>
      </c>
      <c r="N265" s="4">
        <f t="shared" ref="N265:N295" si="87">K265+L265-M265</f>
        <v>3870</v>
      </c>
      <c r="O265" s="14">
        <f t="shared" ref="O265:O295" si="88">N265/E265</f>
        <v>0.86674132138857785</v>
      </c>
      <c r="P265" s="4">
        <v>11</v>
      </c>
      <c r="Q265" s="4">
        <f t="shared" ref="Q265:Q295" si="89">P265*50</f>
        <v>550</v>
      </c>
      <c r="R265" s="4">
        <f t="shared" ref="R265:R295" si="90">Q265*1000</f>
        <v>550000</v>
      </c>
      <c r="S265" s="4">
        <v>2878.33</v>
      </c>
      <c r="T265" s="4">
        <f t="shared" ref="T265:T295" si="91">P265*S265</f>
        <v>31661.629999999997</v>
      </c>
      <c r="U265" s="4">
        <v>1861.92</v>
      </c>
      <c r="V265" s="4">
        <v>1200</v>
      </c>
    </row>
    <row r="266" spans="1:22" x14ac:dyDescent="0.35">
      <c r="A266" s="3">
        <v>53</v>
      </c>
      <c r="B266" s="2">
        <v>46083</v>
      </c>
      <c r="C266" s="4"/>
      <c r="D266" s="18"/>
      <c r="E266" s="4">
        <f>I265</f>
        <v>4465</v>
      </c>
      <c r="F266" s="4">
        <v>0</v>
      </c>
      <c r="G266" s="14">
        <f t="shared" si="84"/>
        <v>0</v>
      </c>
      <c r="H266" s="4"/>
      <c r="I266" s="4">
        <f t="shared" si="85"/>
        <v>4465</v>
      </c>
      <c r="J266" s="4">
        <v>127</v>
      </c>
      <c r="K266" s="4">
        <f t="shared" si="86"/>
        <v>3810</v>
      </c>
      <c r="L266" s="4">
        <v>0</v>
      </c>
      <c r="M266" s="4">
        <v>0</v>
      </c>
      <c r="N266" s="4">
        <f t="shared" si="87"/>
        <v>3810</v>
      </c>
      <c r="O266" s="14">
        <f t="shared" si="88"/>
        <v>0.85330347144456886</v>
      </c>
      <c r="P266" s="4">
        <v>11</v>
      </c>
      <c r="Q266" s="4">
        <f t="shared" si="89"/>
        <v>550</v>
      </c>
      <c r="R266" s="4">
        <f t="shared" si="90"/>
        <v>550000</v>
      </c>
      <c r="S266" s="4">
        <v>2878.33</v>
      </c>
      <c r="T266" s="4">
        <f t="shared" si="91"/>
        <v>31661.629999999997</v>
      </c>
      <c r="U266" s="4">
        <v>1861.92</v>
      </c>
      <c r="V266" s="4">
        <v>1100</v>
      </c>
    </row>
    <row r="267" spans="1:22" x14ac:dyDescent="0.35">
      <c r="A267" s="3">
        <v>54</v>
      </c>
      <c r="B267" s="2">
        <v>46084</v>
      </c>
      <c r="C267" s="4"/>
      <c r="D267" s="18"/>
      <c r="E267" s="4">
        <f t="shared" ref="E267:E295" si="92">I266</f>
        <v>4465</v>
      </c>
      <c r="F267" s="4">
        <v>0</v>
      </c>
      <c r="G267" s="14">
        <f t="shared" si="84"/>
        <v>0</v>
      </c>
      <c r="H267" s="4"/>
      <c r="I267" s="4">
        <f t="shared" si="85"/>
        <v>4465</v>
      </c>
      <c r="J267" s="4">
        <v>128</v>
      </c>
      <c r="K267" s="4">
        <f t="shared" si="86"/>
        <v>3840</v>
      </c>
      <c r="L267" s="4">
        <v>0</v>
      </c>
      <c r="M267" s="4">
        <v>0</v>
      </c>
      <c r="N267" s="4">
        <f t="shared" si="87"/>
        <v>3840</v>
      </c>
      <c r="O267" s="14">
        <f t="shared" si="88"/>
        <v>0.8600223964165733</v>
      </c>
      <c r="P267" s="4">
        <v>11</v>
      </c>
      <c r="Q267" s="4">
        <f t="shared" si="89"/>
        <v>550</v>
      </c>
      <c r="R267" s="4">
        <f t="shared" si="90"/>
        <v>550000</v>
      </c>
      <c r="S267" s="4">
        <v>2878.33</v>
      </c>
      <c r="T267" s="4">
        <f t="shared" si="91"/>
        <v>31661.629999999997</v>
      </c>
      <c r="U267" s="4">
        <v>1861.92</v>
      </c>
      <c r="V267" s="4">
        <v>1200</v>
      </c>
    </row>
    <row r="268" spans="1:22" x14ac:dyDescent="0.35">
      <c r="A268" s="3">
        <v>54</v>
      </c>
      <c r="B268" s="2">
        <v>46085</v>
      </c>
      <c r="C268" s="4"/>
      <c r="D268" s="18"/>
      <c r="E268" s="4">
        <f t="shared" si="92"/>
        <v>4465</v>
      </c>
      <c r="F268" s="4">
        <v>1</v>
      </c>
      <c r="G268" s="14">
        <f t="shared" si="84"/>
        <v>2.2396416573348266E-4</v>
      </c>
      <c r="H268" s="4"/>
      <c r="I268" s="4">
        <f t="shared" si="85"/>
        <v>4464</v>
      </c>
      <c r="J268" s="4">
        <v>127</v>
      </c>
      <c r="K268" s="4">
        <f t="shared" si="86"/>
        <v>3810</v>
      </c>
      <c r="L268" s="4">
        <v>0</v>
      </c>
      <c r="M268" s="4">
        <v>0</v>
      </c>
      <c r="N268" s="4">
        <f t="shared" si="87"/>
        <v>3810</v>
      </c>
      <c r="O268" s="14">
        <f t="shared" si="88"/>
        <v>0.85330347144456886</v>
      </c>
      <c r="P268" s="4">
        <v>11</v>
      </c>
      <c r="Q268" s="4">
        <f t="shared" si="89"/>
        <v>550</v>
      </c>
      <c r="R268" s="4">
        <f t="shared" si="90"/>
        <v>550000</v>
      </c>
      <c r="S268" s="4">
        <v>2878.33</v>
      </c>
      <c r="T268" s="4">
        <f t="shared" si="91"/>
        <v>31661.629999999997</v>
      </c>
      <c r="U268" s="4">
        <v>1861.92</v>
      </c>
      <c r="V268" s="4">
        <v>1100</v>
      </c>
    </row>
    <row r="269" spans="1:22" x14ac:dyDescent="0.35">
      <c r="A269" s="3">
        <v>54</v>
      </c>
      <c r="B269" s="2">
        <v>46086</v>
      </c>
      <c r="C269" s="4"/>
      <c r="D269" s="18"/>
      <c r="E269" s="4">
        <f t="shared" si="92"/>
        <v>4464</v>
      </c>
      <c r="F269" s="4">
        <v>0</v>
      </c>
      <c r="G269" s="14">
        <f t="shared" si="84"/>
        <v>0</v>
      </c>
      <c r="H269" s="4"/>
      <c r="I269" s="4">
        <f t="shared" si="85"/>
        <v>4464</v>
      </c>
      <c r="J269" s="4">
        <v>128</v>
      </c>
      <c r="K269" s="4">
        <f t="shared" si="86"/>
        <v>3840</v>
      </c>
      <c r="L269" s="4">
        <v>0</v>
      </c>
      <c r="M269" s="4">
        <v>0</v>
      </c>
      <c r="N269" s="4">
        <f t="shared" si="87"/>
        <v>3840</v>
      </c>
      <c r="O269" s="14">
        <f t="shared" si="88"/>
        <v>0.86021505376344087</v>
      </c>
      <c r="P269" s="4">
        <v>11</v>
      </c>
      <c r="Q269" s="4">
        <f t="shared" si="89"/>
        <v>550</v>
      </c>
      <c r="R269" s="4">
        <f t="shared" si="90"/>
        <v>550000</v>
      </c>
      <c r="S269" s="4">
        <v>2878.33</v>
      </c>
      <c r="T269" s="4">
        <f t="shared" si="91"/>
        <v>31661.629999999997</v>
      </c>
      <c r="U269" s="4">
        <v>1861.92</v>
      </c>
      <c r="V269" s="4">
        <v>1000</v>
      </c>
    </row>
    <row r="270" spans="1:22" x14ac:dyDescent="0.35">
      <c r="A270" s="3">
        <v>54</v>
      </c>
      <c r="B270" s="2">
        <v>46087</v>
      </c>
      <c r="C270" s="19"/>
      <c r="D270" s="19"/>
      <c r="E270" s="4">
        <f t="shared" si="92"/>
        <v>4464</v>
      </c>
      <c r="F270" s="4">
        <v>0</v>
      </c>
      <c r="G270" s="14">
        <f t="shared" si="84"/>
        <v>0</v>
      </c>
      <c r="H270" s="7"/>
      <c r="I270" s="4">
        <f t="shared" si="85"/>
        <v>4464</v>
      </c>
      <c r="J270" s="4">
        <v>128</v>
      </c>
      <c r="K270" s="4">
        <f t="shared" si="86"/>
        <v>3840</v>
      </c>
      <c r="L270" s="4">
        <v>0</v>
      </c>
      <c r="M270" s="4">
        <v>0</v>
      </c>
      <c r="N270" s="4">
        <f t="shared" si="87"/>
        <v>3840</v>
      </c>
      <c r="O270" s="14">
        <f t="shared" si="88"/>
        <v>0.86021505376344087</v>
      </c>
      <c r="P270" s="4">
        <v>11</v>
      </c>
      <c r="Q270" s="4">
        <f t="shared" si="89"/>
        <v>550</v>
      </c>
      <c r="R270" s="4">
        <f t="shared" si="90"/>
        <v>550000</v>
      </c>
      <c r="S270" s="4">
        <v>2878.33</v>
      </c>
      <c r="T270" s="4">
        <f t="shared" si="91"/>
        <v>31661.629999999997</v>
      </c>
      <c r="U270" s="4">
        <v>1861.92</v>
      </c>
      <c r="V270" s="4">
        <v>1200</v>
      </c>
    </row>
    <row r="271" spans="1:22" x14ac:dyDescent="0.35">
      <c r="A271" s="3">
        <v>54</v>
      </c>
      <c r="B271" s="2">
        <v>46088</v>
      </c>
      <c r="C271" s="4"/>
      <c r="D271" s="18"/>
      <c r="E271" s="4">
        <f t="shared" si="92"/>
        <v>4464</v>
      </c>
      <c r="F271" s="4">
        <v>0</v>
      </c>
      <c r="G271" s="14">
        <f t="shared" si="84"/>
        <v>0</v>
      </c>
      <c r="H271" s="4"/>
      <c r="I271" s="4">
        <f t="shared" si="85"/>
        <v>4464</v>
      </c>
      <c r="J271" s="4">
        <v>128</v>
      </c>
      <c r="K271" s="4">
        <f t="shared" si="86"/>
        <v>3840</v>
      </c>
      <c r="L271" s="4">
        <v>0</v>
      </c>
      <c r="M271" s="4">
        <v>0</v>
      </c>
      <c r="N271" s="4">
        <f t="shared" si="87"/>
        <v>3840</v>
      </c>
      <c r="O271" s="14">
        <f t="shared" si="88"/>
        <v>0.86021505376344087</v>
      </c>
      <c r="P271" s="4">
        <v>11</v>
      </c>
      <c r="Q271" s="4">
        <f t="shared" si="89"/>
        <v>550</v>
      </c>
      <c r="R271" s="4">
        <f t="shared" si="90"/>
        <v>550000</v>
      </c>
      <c r="S271" s="4">
        <v>2878.33</v>
      </c>
      <c r="T271" s="4">
        <f t="shared" si="91"/>
        <v>31661.629999999997</v>
      </c>
      <c r="U271" s="4">
        <v>1861.92</v>
      </c>
      <c r="V271" s="4">
        <v>1300</v>
      </c>
    </row>
    <row r="272" spans="1:22" x14ac:dyDescent="0.35">
      <c r="A272" s="3">
        <v>54</v>
      </c>
      <c r="B272" s="2">
        <v>46089</v>
      </c>
      <c r="C272" s="4"/>
      <c r="D272" s="18"/>
      <c r="E272" s="4">
        <f t="shared" si="92"/>
        <v>4464</v>
      </c>
      <c r="F272" s="4">
        <v>0</v>
      </c>
      <c r="G272" s="14">
        <f t="shared" si="84"/>
        <v>0</v>
      </c>
      <c r="H272" s="4"/>
      <c r="I272" s="4">
        <f t="shared" si="85"/>
        <v>4464</v>
      </c>
      <c r="J272" s="4">
        <v>128</v>
      </c>
      <c r="K272" s="4">
        <f t="shared" si="86"/>
        <v>3840</v>
      </c>
      <c r="L272" s="4">
        <v>0</v>
      </c>
      <c r="M272" s="4">
        <v>0</v>
      </c>
      <c r="N272" s="4">
        <f t="shared" si="87"/>
        <v>3840</v>
      </c>
      <c r="O272" s="14">
        <f t="shared" si="88"/>
        <v>0.86021505376344087</v>
      </c>
      <c r="P272" s="4">
        <v>11</v>
      </c>
      <c r="Q272" s="4">
        <f t="shared" si="89"/>
        <v>550</v>
      </c>
      <c r="R272" s="4">
        <f t="shared" si="90"/>
        <v>550000</v>
      </c>
      <c r="S272" s="4">
        <v>2878.33</v>
      </c>
      <c r="T272" s="4">
        <f t="shared" si="91"/>
        <v>31661.629999999997</v>
      </c>
      <c r="U272" s="4">
        <v>1861.92</v>
      </c>
      <c r="V272" s="4">
        <v>1200</v>
      </c>
    </row>
    <row r="273" spans="1:22" x14ac:dyDescent="0.35">
      <c r="A273" s="3">
        <v>54</v>
      </c>
      <c r="B273" s="2">
        <v>46090</v>
      </c>
      <c r="C273" s="4"/>
      <c r="D273" s="18"/>
      <c r="E273" s="4">
        <f t="shared" si="92"/>
        <v>4464</v>
      </c>
      <c r="F273" s="4">
        <v>0</v>
      </c>
      <c r="G273" s="14">
        <f t="shared" si="84"/>
        <v>0</v>
      </c>
      <c r="H273" s="4"/>
      <c r="I273" s="4">
        <f t="shared" si="85"/>
        <v>4464</v>
      </c>
      <c r="J273" s="4">
        <v>128</v>
      </c>
      <c r="K273" s="4">
        <f t="shared" si="86"/>
        <v>3840</v>
      </c>
      <c r="L273" s="4">
        <v>0</v>
      </c>
      <c r="M273" s="4">
        <v>0</v>
      </c>
      <c r="N273" s="4">
        <f t="shared" si="87"/>
        <v>3840</v>
      </c>
      <c r="O273" s="14">
        <f t="shared" si="88"/>
        <v>0.86021505376344087</v>
      </c>
      <c r="P273" s="4">
        <v>11</v>
      </c>
      <c r="Q273" s="4">
        <f t="shared" si="89"/>
        <v>550</v>
      </c>
      <c r="R273" s="4">
        <f t="shared" si="90"/>
        <v>550000</v>
      </c>
      <c r="S273" s="4">
        <v>2878.33</v>
      </c>
      <c r="T273" s="4">
        <f t="shared" si="91"/>
        <v>31661.629999999997</v>
      </c>
      <c r="U273" s="4">
        <v>1861.92</v>
      </c>
      <c r="V273" s="4">
        <v>1100</v>
      </c>
    </row>
    <row r="274" spans="1:22" x14ac:dyDescent="0.35">
      <c r="A274" s="3">
        <v>55</v>
      </c>
      <c r="B274" s="2">
        <v>46091</v>
      </c>
      <c r="C274" s="4"/>
      <c r="D274" s="18"/>
      <c r="E274" s="4">
        <f t="shared" si="92"/>
        <v>4464</v>
      </c>
      <c r="F274" s="4">
        <v>1</v>
      </c>
      <c r="G274" s="14">
        <f t="shared" si="84"/>
        <v>2.2401433691756272E-4</v>
      </c>
      <c r="H274" s="4"/>
      <c r="I274" s="4">
        <f t="shared" si="85"/>
        <v>4463</v>
      </c>
      <c r="J274" s="4">
        <v>129</v>
      </c>
      <c r="K274" s="4">
        <f t="shared" si="86"/>
        <v>3870</v>
      </c>
      <c r="L274" s="4">
        <v>0</v>
      </c>
      <c r="M274" s="4">
        <v>0</v>
      </c>
      <c r="N274" s="4">
        <f t="shared" si="87"/>
        <v>3870</v>
      </c>
      <c r="O274" s="14">
        <f t="shared" si="88"/>
        <v>0.86693548387096775</v>
      </c>
      <c r="P274" s="4">
        <v>11</v>
      </c>
      <c r="Q274" s="4">
        <f t="shared" si="89"/>
        <v>550</v>
      </c>
      <c r="R274" s="4">
        <f t="shared" si="90"/>
        <v>550000</v>
      </c>
      <c r="S274" s="4">
        <v>2878.33</v>
      </c>
      <c r="T274" s="4">
        <f t="shared" si="91"/>
        <v>31661.629999999997</v>
      </c>
      <c r="U274" s="4">
        <v>1861.92</v>
      </c>
      <c r="V274" s="4">
        <v>1100</v>
      </c>
    </row>
    <row r="275" spans="1:22" x14ac:dyDescent="0.35">
      <c r="A275" s="3">
        <v>55</v>
      </c>
      <c r="B275" s="2">
        <v>46092</v>
      </c>
      <c r="C275" s="4"/>
      <c r="D275" s="18"/>
      <c r="E275" s="4">
        <f t="shared" si="92"/>
        <v>4463</v>
      </c>
      <c r="F275" s="4">
        <v>1</v>
      </c>
      <c r="G275" s="14">
        <f t="shared" si="84"/>
        <v>2.2406453058480843E-4</v>
      </c>
      <c r="H275" s="4"/>
      <c r="I275" s="4">
        <f t="shared" si="85"/>
        <v>4462</v>
      </c>
      <c r="J275" s="4">
        <v>130</v>
      </c>
      <c r="K275" s="4">
        <f t="shared" si="86"/>
        <v>3900</v>
      </c>
      <c r="L275" s="4">
        <v>1</v>
      </c>
      <c r="M275" s="4">
        <v>0</v>
      </c>
      <c r="N275" s="4">
        <f t="shared" si="87"/>
        <v>3901</v>
      </c>
      <c r="O275" s="14">
        <f t="shared" si="88"/>
        <v>0.87407573381133763</v>
      </c>
      <c r="P275" s="4">
        <v>11</v>
      </c>
      <c r="Q275" s="4">
        <f t="shared" si="89"/>
        <v>550</v>
      </c>
      <c r="R275" s="4">
        <f t="shared" si="90"/>
        <v>550000</v>
      </c>
      <c r="S275" s="4">
        <v>2878.33</v>
      </c>
      <c r="T275" s="4">
        <f t="shared" si="91"/>
        <v>31661.629999999997</v>
      </c>
      <c r="U275" s="4">
        <v>1861.92</v>
      </c>
      <c r="V275" s="4">
        <v>1200</v>
      </c>
    </row>
    <row r="276" spans="1:22" x14ac:dyDescent="0.35">
      <c r="A276" s="3">
        <v>55</v>
      </c>
      <c r="B276" s="2">
        <v>46093</v>
      </c>
      <c r="C276" s="4"/>
      <c r="D276" s="18"/>
      <c r="E276" s="4">
        <f t="shared" si="92"/>
        <v>4462</v>
      </c>
      <c r="F276" s="4">
        <v>0</v>
      </c>
      <c r="G276" s="14">
        <f t="shared" si="84"/>
        <v>0</v>
      </c>
      <c r="H276" s="4"/>
      <c r="I276" s="4">
        <f t="shared" si="85"/>
        <v>4462</v>
      </c>
      <c r="J276" s="4">
        <v>130</v>
      </c>
      <c r="K276" s="4">
        <f t="shared" si="86"/>
        <v>3900</v>
      </c>
      <c r="L276" s="4">
        <v>0</v>
      </c>
      <c r="M276" s="4">
        <v>0</v>
      </c>
      <c r="N276" s="4">
        <f t="shared" si="87"/>
        <v>3900</v>
      </c>
      <c r="O276" s="14">
        <f t="shared" si="88"/>
        <v>0.87404751232631106</v>
      </c>
      <c r="P276" s="4">
        <v>11</v>
      </c>
      <c r="Q276" s="4">
        <f t="shared" si="89"/>
        <v>550</v>
      </c>
      <c r="R276" s="4">
        <f t="shared" si="90"/>
        <v>550000</v>
      </c>
      <c r="S276" s="4">
        <v>2861.33</v>
      </c>
      <c r="T276" s="4">
        <f t="shared" si="91"/>
        <v>31474.629999999997</v>
      </c>
      <c r="U276" s="4">
        <v>1861.92</v>
      </c>
      <c r="V276" s="4">
        <v>1200</v>
      </c>
    </row>
    <row r="277" spans="1:22" x14ac:dyDescent="0.35">
      <c r="A277" s="3">
        <v>55</v>
      </c>
      <c r="B277" s="2">
        <v>46094</v>
      </c>
      <c r="C277" s="4"/>
      <c r="D277" s="18"/>
      <c r="E277" s="4">
        <f t="shared" si="92"/>
        <v>4462</v>
      </c>
      <c r="F277" s="4">
        <v>0</v>
      </c>
      <c r="G277" s="14">
        <f t="shared" si="84"/>
        <v>0</v>
      </c>
      <c r="H277" s="4"/>
      <c r="I277" s="4">
        <f t="shared" si="85"/>
        <v>4462</v>
      </c>
      <c r="J277" s="4">
        <v>130</v>
      </c>
      <c r="K277" s="4">
        <f t="shared" si="86"/>
        <v>3900</v>
      </c>
      <c r="L277" s="4">
        <v>0</v>
      </c>
      <c r="M277" s="4">
        <v>0</v>
      </c>
      <c r="N277" s="4">
        <f t="shared" si="87"/>
        <v>3900</v>
      </c>
      <c r="O277" s="14">
        <f t="shared" si="88"/>
        <v>0.87404751232631106</v>
      </c>
      <c r="P277" s="4">
        <v>11</v>
      </c>
      <c r="Q277" s="4">
        <f t="shared" si="89"/>
        <v>550</v>
      </c>
      <c r="R277" s="4">
        <f t="shared" si="90"/>
        <v>550000</v>
      </c>
      <c r="S277" s="4">
        <v>2861.33</v>
      </c>
      <c r="T277" s="4">
        <f t="shared" si="91"/>
        <v>31474.629999999997</v>
      </c>
      <c r="U277" s="4">
        <v>1861.92</v>
      </c>
      <c r="V277" s="4">
        <v>1200</v>
      </c>
    </row>
    <row r="278" spans="1:22" x14ac:dyDescent="0.35">
      <c r="A278" s="3">
        <v>55</v>
      </c>
      <c r="B278" s="2">
        <v>46095</v>
      </c>
      <c r="C278" s="4"/>
      <c r="D278" s="18"/>
      <c r="E278" s="4">
        <f t="shared" si="92"/>
        <v>4462</v>
      </c>
      <c r="F278" s="4">
        <v>0</v>
      </c>
      <c r="G278" s="14">
        <f t="shared" si="84"/>
        <v>0</v>
      </c>
      <c r="H278" s="4"/>
      <c r="I278" s="4">
        <f t="shared" si="85"/>
        <v>4462</v>
      </c>
      <c r="J278" s="4">
        <v>128</v>
      </c>
      <c r="K278" s="4">
        <f t="shared" si="86"/>
        <v>3840</v>
      </c>
      <c r="L278" s="4">
        <v>0</v>
      </c>
      <c r="M278" s="4">
        <v>0</v>
      </c>
      <c r="N278" s="4">
        <f t="shared" si="87"/>
        <v>3840</v>
      </c>
      <c r="O278" s="14">
        <f t="shared" si="88"/>
        <v>0.86060062752129085</v>
      </c>
      <c r="P278" s="4">
        <v>11</v>
      </c>
      <c r="Q278" s="4">
        <f t="shared" si="89"/>
        <v>550</v>
      </c>
      <c r="R278" s="4">
        <f t="shared" si="90"/>
        <v>550000</v>
      </c>
      <c r="S278" s="4">
        <v>2861.33</v>
      </c>
      <c r="T278" s="4">
        <f t="shared" si="91"/>
        <v>31474.629999999997</v>
      </c>
      <c r="U278" s="4">
        <v>1861.92</v>
      </c>
      <c r="V278" s="4">
        <v>1200</v>
      </c>
    </row>
    <row r="279" spans="1:22" x14ac:dyDescent="0.35">
      <c r="A279" s="3">
        <v>55</v>
      </c>
      <c r="B279" s="2">
        <v>46096</v>
      </c>
      <c r="C279" s="4"/>
      <c r="D279" s="18"/>
      <c r="E279" s="4">
        <f t="shared" si="92"/>
        <v>4462</v>
      </c>
      <c r="F279" s="4">
        <v>0</v>
      </c>
      <c r="G279" s="14">
        <f t="shared" si="84"/>
        <v>0</v>
      </c>
      <c r="H279" s="4"/>
      <c r="I279" s="4">
        <f t="shared" si="85"/>
        <v>4462</v>
      </c>
      <c r="J279" s="4">
        <v>128</v>
      </c>
      <c r="K279" s="4">
        <f t="shared" si="86"/>
        <v>3840</v>
      </c>
      <c r="L279" s="4">
        <v>0</v>
      </c>
      <c r="M279" s="4">
        <v>0</v>
      </c>
      <c r="N279" s="4">
        <f t="shared" si="87"/>
        <v>3840</v>
      </c>
      <c r="O279" s="14">
        <f t="shared" si="88"/>
        <v>0.86060062752129085</v>
      </c>
      <c r="P279" s="4">
        <v>11</v>
      </c>
      <c r="Q279" s="4">
        <f t="shared" si="89"/>
        <v>550</v>
      </c>
      <c r="R279" s="4">
        <f t="shared" si="90"/>
        <v>550000</v>
      </c>
      <c r="S279" s="4">
        <v>2900.33</v>
      </c>
      <c r="T279" s="4">
        <f t="shared" si="91"/>
        <v>31903.629999999997</v>
      </c>
      <c r="U279" s="4">
        <v>1861.92</v>
      </c>
      <c r="V279" s="4">
        <v>2300</v>
      </c>
    </row>
    <row r="280" spans="1:22" x14ac:dyDescent="0.35">
      <c r="A280" s="3">
        <v>55</v>
      </c>
      <c r="B280" s="2">
        <v>46097</v>
      </c>
      <c r="C280" s="4"/>
      <c r="D280" s="18"/>
      <c r="E280" s="4">
        <f t="shared" si="92"/>
        <v>4462</v>
      </c>
      <c r="F280" s="4">
        <v>1</v>
      </c>
      <c r="G280" s="14">
        <f t="shared" si="84"/>
        <v>2.2411474675033618E-4</v>
      </c>
      <c r="H280" s="4"/>
      <c r="I280" s="4">
        <f t="shared" si="85"/>
        <v>4461</v>
      </c>
      <c r="J280" s="4">
        <v>126</v>
      </c>
      <c r="K280" s="4">
        <f t="shared" si="86"/>
        <v>3780</v>
      </c>
      <c r="L280" s="4">
        <v>0</v>
      </c>
      <c r="M280" s="4">
        <v>0</v>
      </c>
      <c r="N280" s="4">
        <f t="shared" si="87"/>
        <v>3780</v>
      </c>
      <c r="O280" s="14">
        <f t="shared" si="88"/>
        <v>0.84715374271627075</v>
      </c>
      <c r="P280" s="4">
        <v>11</v>
      </c>
      <c r="Q280" s="4">
        <f t="shared" si="89"/>
        <v>550</v>
      </c>
      <c r="R280" s="4">
        <f t="shared" si="90"/>
        <v>550000</v>
      </c>
      <c r="S280" s="4">
        <v>2900.33</v>
      </c>
      <c r="T280" s="4">
        <f t="shared" si="91"/>
        <v>31903.629999999997</v>
      </c>
      <c r="U280" s="4">
        <v>1861.92</v>
      </c>
      <c r="V280" s="4">
        <v>1300</v>
      </c>
    </row>
    <row r="281" spans="1:22" x14ac:dyDescent="0.35">
      <c r="A281" s="3">
        <v>56</v>
      </c>
      <c r="B281" s="2">
        <v>46098</v>
      </c>
      <c r="C281" s="4"/>
      <c r="D281" s="18"/>
      <c r="E281" s="4">
        <f t="shared" si="92"/>
        <v>4461</v>
      </c>
      <c r="F281" s="4">
        <v>2</v>
      </c>
      <c r="G281" s="14">
        <f t="shared" si="84"/>
        <v>4.4832997085855189E-4</v>
      </c>
      <c r="H281" s="4"/>
      <c r="I281" s="4">
        <f t="shared" si="85"/>
        <v>4459</v>
      </c>
      <c r="J281" s="4">
        <v>124</v>
      </c>
      <c r="K281" s="4">
        <f t="shared" si="86"/>
        <v>3720</v>
      </c>
      <c r="L281" s="4">
        <v>0</v>
      </c>
      <c r="M281" s="4">
        <v>0</v>
      </c>
      <c r="N281" s="4">
        <f t="shared" si="87"/>
        <v>3720</v>
      </c>
      <c r="O281" s="14">
        <f t="shared" si="88"/>
        <v>0.83389374579690656</v>
      </c>
      <c r="P281" s="4">
        <v>11</v>
      </c>
      <c r="Q281" s="4">
        <f t="shared" si="89"/>
        <v>550</v>
      </c>
      <c r="R281" s="4">
        <f t="shared" si="90"/>
        <v>550000</v>
      </c>
      <c r="S281" s="4">
        <v>2900.33</v>
      </c>
      <c r="T281" s="4">
        <f t="shared" si="91"/>
        <v>31903.629999999997</v>
      </c>
      <c r="U281" s="4">
        <v>1861.92</v>
      </c>
      <c r="V281" s="4">
        <v>1200</v>
      </c>
    </row>
    <row r="282" spans="1:22" x14ac:dyDescent="0.35">
      <c r="A282" s="3">
        <v>56</v>
      </c>
      <c r="B282" s="2">
        <v>46099</v>
      </c>
      <c r="C282" s="4"/>
      <c r="D282" s="18"/>
      <c r="E282" s="4">
        <f t="shared" si="92"/>
        <v>4459</v>
      </c>
      <c r="F282" s="4">
        <v>1</v>
      </c>
      <c r="G282" s="14">
        <f t="shared" si="84"/>
        <v>2.2426553038797938E-4</v>
      </c>
      <c r="H282" s="4"/>
      <c r="I282" s="4">
        <f t="shared" si="85"/>
        <v>4458</v>
      </c>
      <c r="J282" s="4">
        <v>125</v>
      </c>
      <c r="K282" s="4">
        <f t="shared" si="86"/>
        <v>3750</v>
      </c>
      <c r="L282" s="4">
        <v>0</v>
      </c>
      <c r="M282" s="4">
        <v>0</v>
      </c>
      <c r="N282" s="4">
        <f t="shared" si="87"/>
        <v>3750</v>
      </c>
      <c r="O282" s="14">
        <f t="shared" si="88"/>
        <v>0.84099573895492263</v>
      </c>
      <c r="P282" s="4">
        <v>11</v>
      </c>
      <c r="Q282" s="4">
        <f t="shared" si="89"/>
        <v>550</v>
      </c>
      <c r="R282" s="4">
        <f t="shared" si="90"/>
        <v>550000</v>
      </c>
      <c r="S282" s="4">
        <v>2900.33</v>
      </c>
      <c r="T282" s="4">
        <f t="shared" si="91"/>
        <v>31903.629999999997</v>
      </c>
      <c r="U282" s="4">
        <v>1861.92</v>
      </c>
      <c r="V282" s="4">
        <v>1200</v>
      </c>
    </row>
    <row r="283" spans="1:22" x14ac:dyDescent="0.35">
      <c r="A283" s="3">
        <v>56</v>
      </c>
      <c r="B283" s="2">
        <v>46100</v>
      </c>
      <c r="C283" s="4"/>
      <c r="D283" s="18"/>
      <c r="E283" s="4">
        <f t="shared" si="92"/>
        <v>4458</v>
      </c>
      <c r="F283" s="4">
        <v>1</v>
      </c>
      <c r="G283" s="14">
        <f t="shared" si="84"/>
        <v>2.2431583669807088E-4</v>
      </c>
      <c r="H283" s="4"/>
      <c r="I283" s="4">
        <f t="shared" si="85"/>
        <v>4457</v>
      </c>
      <c r="J283" s="4">
        <v>127</v>
      </c>
      <c r="K283" s="4">
        <f t="shared" si="86"/>
        <v>3810</v>
      </c>
      <c r="L283" s="4">
        <v>0</v>
      </c>
      <c r="M283" s="4">
        <v>0</v>
      </c>
      <c r="N283" s="4">
        <f t="shared" si="87"/>
        <v>3810</v>
      </c>
      <c r="O283" s="14">
        <f t="shared" si="88"/>
        <v>0.85464333781965007</v>
      </c>
      <c r="P283" s="4">
        <v>11</v>
      </c>
      <c r="Q283" s="4">
        <f t="shared" si="89"/>
        <v>550</v>
      </c>
      <c r="R283" s="4">
        <f t="shared" si="90"/>
        <v>550000</v>
      </c>
      <c r="S283" s="4">
        <v>2900.33</v>
      </c>
      <c r="T283" s="4">
        <f t="shared" si="91"/>
        <v>31903.629999999997</v>
      </c>
      <c r="U283" s="4">
        <v>1861.92</v>
      </c>
      <c r="V283" s="4">
        <v>1000</v>
      </c>
    </row>
    <row r="284" spans="1:22" x14ac:dyDescent="0.35">
      <c r="A284" s="3">
        <v>56</v>
      </c>
      <c r="B284" s="2">
        <v>46101</v>
      </c>
      <c r="C284" s="4"/>
      <c r="D284" s="18"/>
      <c r="E284" s="4">
        <f t="shared" si="92"/>
        <v>4457</v>
      </c>
      <c r="F284" s="4">
        <v>0</v>
      </c>
      <c r="G284" s="14">
        <f t="shared" si="84"/>
        <v>0</v>
      </c>
      <c r="H284" s="4"/>
      <c r="I284" s="4">
        <f t="shared" si="85"/>
        <v>4457</v>
      </c>
      <c r="J284" s="4">
        <v>125</v>
      </c>
      <c r="K284" s="4">
        <f t="shared" si="86"/>
        <v>3750</v>
      </c>
      <c r="L284" s="4">
        <v>0</v>
      </c>
      <c r="M284" s="4">
        <v>0</v>
      </c>
      <c r="N284" s="4">
        <f t="shared" si="87"/>
        <v>3750</v>
      </c>
      <c r="O284" s="14">
        <f t="shared" si="88"/>
        <v>0.84137312093336325</v>
      </c>
      <c r="P284" s="4">
        <v>11</v>
      </c>
      <c r="Q284" s="4">
        <f t="shared" si="89"/>
        <v>550</v>
      </c>
      <c r="R284" s="4">
        <f t="shared" si="90"/>
        <v>550000</v>
      </c>
      <c r="S284" s="4">
        <v>2900.33</v>
      </c>
      <c r="T284" s="4">
        <f t="shared" si="91"/>
        <v>31903.629999999997</v>
      </c>
      <c r="U284" s="4">
        <v>1861.92</v>
      </c>
      <c r="V284" s="4">
        <v>1300</v>
      </c>
    </row>
    <row r="285" spans="1:22" x14ac:dyDescent="0.35">
      <c r="A285" s="3">
        <v>56</v>
      </c>
      <c r="B285" s="2">
        <v>46102</v>
      </c>
      <c r="C285" s="4"/>
      <c r="D285" s="18"/>
      <c r="E285" s="4">
        <f t="shared" si="92"/>
        <v>4457</v>
      </c>
      <c r="F285" s="4">
        <v>0</v>
      </c>
      <c r="G285" s="14">
        <f t="shared" si="84"/>
        <v>0</v>
      </c>
      <c r="H285" s="4"/>
      <c r="I285" s="4">
        <f t="shared" si="85"/>
        <v>4457</v>
      </c>
      <c r="J285" s="4">
        <v>124</v>
      </c>
      <c r="K285" s="4">
        <f t="shared" si="86"/>
        <v>3720</v>
      </c>
      <c r="L285" s="4">
        <v>0</v>
      </c>
      <c r="M285" s="4">
        <v>0</v>
      </c>
      <c r="N285" s="4">
        <f t="shared" si="87"/>
        <v>3720</v>
      </c>
      <c r="O285" s="14">
        <f t="shared" si="88"/>
        <v>0.83464213596589631</v>
      </c>
      <c r="P285" s="4">
        <v>11</v>
      </c>
      <c r="Q285" s="4">
        <f t="shared" si="89"/>
        <v>550</v>
      </c>
      <c r="R285" s="4">
        <f t="shared" si="90"/>
        <v>550000</v>
      </c>
      <c r="S285" s="4">
        <v>2879.33</v>
      </c>
      <c r="T285" s="4">
        <f t="shared" si="91"/>
        <v>31672.629999999997</v>
      </c>
      <c r="U285" s="4">
        <v>1861.92</v>
      </c>
      <c r="V285" s="4">
        <v>1200</v>
      </c>
    </row>
    <row r="286" spans="1:22" x14ac:dyDescent="0.35">
      <c r="A286" s="3">
        <v>56</v>
      </c>
      <c r="B286" s="2">
        <v>46103</v>
      </c>
      <c r="C286" s="4"/>
      <c r="D286" s="18"/>
      <c r="E286" s="4">
        <f t="shared" si="92"/>
        <v>4457</v>
      </c>
      <c r="F286" s="4">
        <v>0</v>
      </c>
      <c r="G286" s="14">
        <f t="shared" si="84"/>
        <v>0</v>
      </c>
      <c r="H286" s="4"/>
      <c r="I286" s="4">
        <f t="shared" si="85"/>
        <v>4457</v>
      </c>
      <c r="J286" s="4">
        <v>126</v>
      </c>
      <c r="K286" s="4">
        <f t="shared" si="86"/>
        <v>3780</v>
      </c>
      <c r="L286" s="4">
        <v>0</v>
      </c>
      <c r="M286" s="4">
        <v>0</v>
      </c>
      <c r="N286" s="4">
        <f t="shared" si="87"/>
        <v>3780</v>
      </c>
      <c r="O286" s="14">
        <f t="shared" si="88"/>
        <v>0.84810410590083019</v>
      </c>
      <c r="P286" s="4">
        <v>11</v>
      </c>
      <c r="Q286" s="4">
        <f t="shared" si="89"/>
        <v>550</v>
      </c>
      <c r="R286" s="4">
        <f t="shared" si="90"/>
        <v>550000</v>
      </c>
      <c r="S286" s="4">
        <v>2879.33</v>
      </c>
      <c r="T286" s="4">
        <f t="shared" si="91"/>
        <v>31672.629999999997</v>
      </c>
      <c r="U286" s="4">
        <v>1861.92</v>
      </c>
      <c r="V286" s="4">
        <v>1000</v>
      </c>
    </row>
    <row r="287" spans="1:22" x14ac:dyDescent="0.35">
      <c r="A287" s="3">
        <v>56</v>
      </c>
      <c r="B287" s="2">
        <v>46104</v>
      </c>
      <c r="C287" s="4"/>
      <c r="D287" s="18"/>
      <c r="E287" s="4">
        <f t="shared" si="92"/>
        <v>4457</v>
      </c>
      <c r="F287" s="4">
        <v>0</v>
      </c>
      <c r="G287" s="14">
        <f t="shared" si="84"/>
        <v>0</v>
      </c>
      <c r="H287" s="4"/>
      <c r="I287" s="4">
        <f t="shared" si="85"/>
        <v>4457</v>
      </c>
      <c r="J287" s="4">
        <v>126</v>
      </c>
      <c r="K287" s="4">
        <f t="shared" si="86"/>
        <v>3780</v>
      </c>
      <c r="L287" s="4">
        <v>0</v>
      </c>
      <c r="M287" s="4">
        <v>0</v>
      </c>
      <c r="N287" s="4">
        <f t="shared" si="87"/>
        <v>3780</v>
      </c>
      <c r="O287" s="14">
        <f t="shared" si="88"/>
        <v>0.84810410590083019</v>
      </c>
      <c r="P287" s="4">
        <v>11</v>
      </c>
      <c r="Q287" s="4">
        <f t="shared" si="89"/>
        <v>550</v>
      </c>
      <c r="R287" s="4">
        <f t="shared" si="90"/>
        <v>550000</v>
      </c>
      <c r="S287" s="4">
        <v>2879.33</v>
      </c>
      <c r="T287" s="4">
        <f t="shared" si="91"/>
        <v>31672.629999999997</v>
      </c>
      <c r="U287" s="4">
        <v>1861.92</v>
      </c>
      <c r="V287" s="4">
        <v>1200</v>
      </c>
    </row>
    <row r="288" spans="1:22" x14ac:dyDescent="0.35">
      <c r="A288" s="3">
        <v>57</v>
      </c>
      <c r="B288" s="2">
        <v>46105</v>
      </c>
      <c r="C288" s="4"/>
      <c r="D288" s="18"/>
      <c r="E288" s="4">
        <f t="shared" si="92"/>
        <v>4457</v>
      </c>
      <c r="F288" s="4">
        <v>0</v>
      </c>
      <c r="G288" s="14">
        <f t="shared" si="84"/>
        <v>0</v>
      </c>
      <c r="H288" s="4"/>
      <c r="I288" s="4">
        <f t="shared" si="85"/>
        <v>4457</v>
      </c>
      <c r="J288" s="4">
        <v>126</v>
      </c>
      <c r="K288" s="4">
        <f t="shared" si="86"/>
        <v>3780</v>
      </c>
      <c r="L288" s="4">
        <v>0</v>
      </c>
      <c r="M288" s="4">
        <v>0</v>
      </c>
      <c r="N288" s="4">
        <f t="shared" si="87"/>
        <v>3780</v>
      </c>
      <c r="O288" s="14">
        <f t="shared" si="88"/>
        <v>0.84810410590083019</v>
      </c>
      <c r="P288" s="4">
        <v>11</v>
      </c>
      <c r="Q288" s="4">
        <f t="shared" si="89"/>
        <v>550</v>
      </c>
      <c r="R288" s="4">
        <f t="shared" si="90"/>
        <v>550000</v>
      </c>
      <c r="S288" s="4">
        <v>2879.33</v>
      </c>
      <c r="T288" s="4">
        <f t="shared" si="91"/>
        <v>31672.629999999997</v>
      </c>
      <c r="U288" s="4">
        <v>1861.92</v>
      </c>
      <c r="V288" s="4">
        <v>1100</v>
      </c>
    </row>
    <row r="289" spans="1:22" x14ac:dyDescent="0.35">
      <c r="A289" s="3">
        <v>57</v>
      </c>
      <c r="B289" s="2">
        <v>46106</v>
      </c>
      <c r="C289" s="4"/>
      <c r="D289" s="18"/>
      <c r="E289" s="4">
        <f t="shared" si="92"/>
        <v>4457</v>
      </c>
      <c r="F289" s="4">
        <v>0</v>
      </c>
      <c r="G289" s="14">
        <f t="shared" si="84"/>
        <v>0</v>
      </c>
      <c r="H289" s="4"/>
      <c r="I289" s="4">
        <f t="shared" si="85"/>
        <v>4457</v>
      </c>
      <c r="J289" s="4">
        <v>129</v>
      </c>
      <c r="K289" s="4">
        <f t="shared" si="86"/>
        <v>3870</v>
      </c>
      <c r="L289" s="4">
        <v>0</v>
      </c>
      <c r="M289" s="4">
        <v>0</v>
      </c>
      <c r="N289" s="4">
        <f t="shared" si="87"/>
        <v>3870</v>
      </c>
      <c r="O289" s="14">
        <f t="shared" si="88"/>
        <v>0.86829706080323088</v>
      </c>
      <c r="P289" s="4">
        <v>11</v>
      </c>
      <c r="Q289" s="4">
        <f t="shared" si="89"/>
        <v>550</v>
      </c>
      <c r="R289" s="4">
        <f t="shared" si="90"/>
        <v>550000</v>
      </c>
      <c r="S289" s="4">
        <v>2879.33</v>
      </c>
      <c r="T289" s="4">
        <f t="shared" si="91"/>
        <v>31672.629999999997</v>
      </c>
      <c r="U289" s="4">
        <v>1861.92</v>
      </c>
      <c r="V289" s="4">
        <v>1100</v>
      </c>
    </row>
    <row r="290" spans="1:22" x14ac:dyDescent="0.35">
      <c r="A290" s="3">
        <v>57</v>
      </c>
      <c r="B290" s="2">
        <v>46107</v>
      </c>
      <c r="C290" s="4"/>
      <c r="D290" s="18"/>
      <c r="E290" s="4">
        <f t="shared" si="92"/>
        <v>4457</v>
      </c>
      <c r="F290" s="4">
        <v>2</v>
      </c>
      <c r="G290" s="14">
        <f t="shared" si="84"/>
        <v>4.4873233116446041E-4</v>
      </c>
      <c r="H290" s="4"/>
      <c r="I290" s="4">
        <f t="shared" si="85"/>
        <v>4455</v>
      </c>
      <c r="J290" s="4">
        <v>129</v>
      </c>
      <c r="K290" s="4">
        <f t="shared" si="86"/>
        <v>3870</v>
      </c>
      <c r="L290" s="4">
        <v>0</v>
      </c>
      <c r="M290" s="4">
        <v>0</v>
      </c>
      <c r="N290" s="4">
        <f t="shared" si="87"/>
        <v>3870</v>
      </c>
      <c r="O290" s="14">
        <f t="shared" si="88"/>
        <v>0.86829706080323088</v>
      </c>
      <c r="P290" s="4">
        <v>11</v>
      </c>
      <c r="Q290" s="4">
        <f t="shared" si="89"/>
        <v>550</v>
      </c>
      <c r="R290" s="4">
        <f t="shared" si="90"/>
        <v>550000</v>
      </c>
      <c r="S290" s="4">
        <v>2879.33</v>
      </c>
      <c r="T290" s="4">
        <f t="shared" si="91"/>
        <v>31672.629999999997</v>
      </c>
      <c r="U290" s="4">
        <v>1861.92</v>
      </c>
      <c r="V290" s="4">
        <v>1200</v>
      </c>
    </row>
    <row r="291" spans="1:22" x14ac:dyDescent="0.35">
      <c r="A291" s="3">
        <v>57</v>
      </c>
      <c r="B291" s="2">
        <v>46108</v>
      </c>
      <c r="C291" s="4"/>
      <c r="D291" s="18"/>
      <c r="E291" s="4">
        <f t="shared" si="92"/>
        <v>4455</v>
      </c>
      <c r="F291" s="4">
        <v>0</v>
      </c>
      <c r="G291" s="14">
        <f t="shared" si="84"/>
        <v>0</v>
      </c>
      <c r="H291" s="4"/>
      <c r="I291" s="4">
        <f t="shared" si="85"/>
        <v>4455</v>
      </c>
      <c r="J291" s="4">
        <v>130</v>
      </c>
      <c r="K291" s="4">
        <f t="shared" si="86"/>
        <v>3900</v>
      </c>
      <c r="L291" s="4">
        <v>0</v>
      </c>
      <c r="M291" s="4">
        <v>0</v>
      </c>
      <c r="N291" s="4">
        <f t="shared" si="87"/>
        <v>3900</v>
      </c>
      <c r="O291" s="14">
        <f t="shared" si="88"/>
        <v>0.87542087542087543</v>
      </c>
      <c r="P291" s="4">
        <v>11</v>
      </c>
      <c r="Q291" s="4">
        <f t="shared" si="89"/>
        <v>550</v>
      </c>
      <c r="R291" s="4">
        <f t="shared" si="90"/>
        <v>550000</v>
      </c>
      <c r="S291" s="4">
        <v>2879.33</v>
      </c>
      <c r="T291" s="4">
        <f t="shared" si="91"/>
        <v>31672.629999999997</v>
      </c>
      <c r="U291" s="4">
        <v>1861.92</v>
      </c>
      <c r="V291" s="4">
        <v>1000</v>
      </c>
    </row>
    <row r="292" spans="1:22" x14ac:dyDescent="0.35">
      <c r="A292" s="3">
        <v>57</v>
      </c>
      <c r="B292" s="2">
        <v>46109</v>
      </c>
      <c r="C292" s="4"/>
      <c r="D292" s="18"/>
      <c r="E292" s="4">
        <f t="shared" si="92"/>
        <v>4455</v>
      </c>
      <c r="F292" s="4">
        <v>0</v>
      </c>
      <c r="G292" s="14">
        <f t="shared" si="84"/>
        <v>0</v>
      </c>
      <c r="H292" s="4"/>
      <c r="I292" s="4">
        <f t="shared" si="85"/>
        <v>4455</v>
      </c>
      <c r="J292" s="4">
        <v>131</v>
      </c>
      <c r="K292" s="4">
        <f t="shared" si="86"/>
        <v>3930</v>
      </c>
      <c r="L292" s="4">
        <v>0</v>
      </c>
      <c r="M292" s="4">
        <v>0</v>
      </c>
      <c r="N292" s="4">
        <f t="shared" si="87"/>
        <v>3930</v>
      </c>
      <c r="O292" s="14">
        <f t="shared" si="88"/>
        <v>0.88215488215488214</v>
      </c>
      <c r="P292" s="4">
        <v>11</v>
      </c>
      <c r="Q292" s="4">
        <f t="shared" si="89"/>
        <v>550</v>
      </c>
      <c r="R292" s="4">
        <f t="shared" si="90"/>
        <v>550000</v>
      </c>
      <c r="S292" s="4">
        <v>2879.33</v>
      </c>
      <c r="T292" s="4">
        <f t="shared" si="91"/>
        <v>31672.629999999997</v>
      </c>
      <c r="U292" s="4">
        <v>1861.92</v>
      </c>
      <c r="V292" s="4">
        <v>1000</v>
      </c>
    </row>
    <row r="293" spans="1:22" x14ac:dyDescent="0.35">
      <c r="A293" s="3">
        <v>57</v>
      </c>
      <c r="B293" s="2">
        <v>46110</v>
      </c>
      <c r="C293" s="4"/>
      <c r="D293" s="18"/>
      <c r="E293" s="4">
        <f t="shared" si="92"/>
        <v>4455</v>
      </c>
      <c r="F293" s="4">
        <v>1</v>
      </c>
      <c r="G293" s="14">
        <f t="shared" si="84"/>
        <v>2.244668911335578E-4</v>
      </c>
      <c r="H293" s="4"/>
      <c r="I293" s="4">
        <f t="shared" si="85"/>
        <v>4454</v>
      </c>
      <c r="J293" s="4">
        <v>131</v>
      </c>
      <c r="K293" s="4">
        <f t="shared" si="86"/>
        <v>3930</v>
      </c>
      <c r="L293" s="4">
        <v>0</v>
      </c>
      <c r="M293" s="4">
        <v>0</v>
      </c>
      <c r="N293" s="4">
        <f t="shared" si="87"/>
        <v>3930</v>
      </c>
      <c r="O293" s="14">
        <f t="shared" si="88"/>
        <v>0.88215488215488214</v>
      </c>
      <c r="P293" s="4">
        <v>11</v>
      </c>
      <c r="Q293" s="4">
        <f t="shared" si="89"/>
        <v>550</v>
      </c>
      <c r="R293" s="4">
        <f t="shared" si="90"/>
        <v>550000</v>
      </c>
      <c r="S293" s="4">
        <v>2879.33</v>
      </c>
      <c r="T293" s="4">
        <f t="shared" si="91"/>
        <v>31672.629999999997</v>
      </c>
      <c r="U293" s="4">
        <v>1861.92</v>
      </c>
      <c r="V293" s="4">
        <v>1300</v>
      </c>
    </row>
    <row r="294" spans="1:22" x14ac:dyDescent="0.35">
      <c r="A294" s="3">
        <v>57</v>
      </c>
      <c r="B294" s="2">
        <v>46111</v>
      </c>
      <c r="C294" s="4"/>
      <c r="D294" s="18"/>
      <c r="E294" s="4">
        <f t="shared" si="92"/>
        <v>4454</v>
      </c>
      <c r="F294" s="4">
        <v>0</v>
      </c>
      <c r="G294" s="14">
        <f t="shared" si="84"/>
        <v>0</v>
      </c>
      <c r="H294" s="4"/>
      <c r="I294" s="4">
        <f t="shared" si="85"/>
        <v>4454</v>
      </c>
      <c r="J294" s="4">
        <v>131</v>
      </c>
      <c r="K294" s="4">
        <f t="shared" si="86"/>
        <v>3930</v>
      </c>
      <c r="L294" s="4">
        <v>1</v>
      </c>
      <c r="M294" s="4">
        <v>0</v>
      </c>
      <c r="N294" s="4">
        <f t="shared" si="87"/>
        <v>3931</v>
      </c>
      <c r="O294" s="14">
        <f t="shared" si="88"/>
        <v>0.8825774584643018</v>
      </c>
      <c r="P294" s="4">
        <v>11</v>
      </c>
      <c r="Q294" s="4">
        <f t="shared" si="89"/>
        <v>550</v>
      </c>
      <c r="R294" s="4">
        <f t="shared" si="90"/>
        <v>550000</v>
      </c>
      <c r="S294" s="4">
        <v>2879.33</v>
      </c>
      <c r="T294" s="4">
        <f t="shared" si="91"/>
        <v>31672.629999999997</v>
      </c>
      <c r="U294" s="4">
        <v>1861.92</v>
      </c>
      <c r="V294" s="4">
        <v>1100</v>
      </c>
    </row>
    <row r="295" spans="1:22" x14ac:dyDescent="0.35">
      <c r="A295" s="3">
        <v>58</v>
      </c>
      <c r="B295" s="2">
        <v>46112</v>
      </c>
      <c r="C295" s="4"/>
      <c r="D295" s="18"/>
      <c r="E295" s="4">
        <f t="shared" si="92"/>
        <v>4454</v>
      </c>
      <c r="F295" s="4">
        <v>1</v>
      </c>
      <c r="G295" s="14">
        <f t="shared" si="84"/>
        <v>2.2451728783116299E-4</v>
      </c>
      <c r="H295" s="4"/>
      <c r="I295" s="4">
        <f t="shared" si="85"/>
        <v>4453</v>
      </c>
      <c r="J295" s="4">
        <v>132</v>
      </c>
      <c r="K295" s="4">
        <f t="shared" si="86"/>
        <v>3960</v>
      </c>
      <c r="L295" s="4">
        <v>0</v>
      </c>
      <c r="M295" s="4">
        <v>0</v>
      </c>
      <c r="N295" s="4">
        <f t="shared" si="87"/>
        <v>3960</v>
      </c>
      <c r="O295" s="14">
        <f t="shared" si="88"/>
        <v>0.8890884598114055</v>
      </c>
      <c r="P295" s="4">
        <v>11</v>
      </c>
      <c r="Q295" s="4">
        <f t="shared" si="89"/>
        <v>550</v>
      </c>
      <c r="R295" s="4">
        <f t="shared" si="90"/>
        <v>550000</v>
      </c>
      <c r="S295" s="4">
        <v>2876.08</v>
      </c>
      <c r="T295" s="4">
        <f t="shared" si="91"/>
        <v>31636.879999999997</v>
      </c>
      <c r="U295" s="4">
        <v>1861.92</v>
      </c>
      <c r="V295" s="4">
        <v>1100</v>
      </c>
    </row>
    <row r="296" spans="1:22" x14ac:dyDescent="0.35">
      <c r="A296" s="3"/>
      <c r="B296" s="2"/>
      <c r="C296" s="4"/>
      <c r="D296" s="18"/>
      <c r="E296" s="4"/>
      <c r="F296" s="4">
        <f>SUM(F265:F295)</f>
        <v>12</v>
      </c>
      <c r="G296" s="14"/>
      <c r="H296" s="4"/>
      <c r="I296" s="4"/>
      <c r="J296" s="4"/>
      <c r="K296" s="4"/>
      <c r="L296" s="4"/>
      <c r="M296" s="4"/>
      <c r="N296" s="4"/>
      <c r="O296" s="14"/>
      <c r="P296" s="4"/>
      <c r="Q296" s="4"/>
      <c r="R296" s="4"/>
      <c r="S296" s="22"/>
      <c r="T296" s="4"/>
    </row>
    <row r="297" spans="1:22" x14ac:dyDescent="0.35">
      <c r="A297" s="3"/>
      <c r="B297" s="2"/>
      <c r="C297" s="4"/>
      <c r="D297" s="18"/>
      <c r="E297" s="4"/>
      <c r="F297" s="4"/>
      <c r="G297" s="14"/>
      <c r="H297" s="4"/>
      <c r="I297" s="4"/>
      <c r="J297" s="4"/>
      <c r="K297" s="4"/>
      <c r="L297" s="4"/>
      <c r="M297" s="4"/>
      <c r="N297" s="4"/>
      <c r="O297" s="14"/>
      <c r="P297" s="4"/>
      <c r="Q297" s="4"/>
      <c r="R297" s="4"/>
      <c r="S297" s="22"/>
      <c r="T297" s="4"/>
    </row>
    <row r="298" spans="1:22" x14ac:dyDescent="0.35">
      <c r="B298" s="37" t="s">
        <v>1</v>
      </c>
      <c r="C298" s="38" t="s">
        <v>19</v>
      </c>
      <c r="D298" s="38" t="s">
        <v>18</v>
      </c>
      <c r="E298" s="39" t="s">
        <v>2</v>
      </c>
      <c r="F298" s="40" t="s">
        <v>3</v>
      </c>
      <c r="G298" s="41" t="s">
        <v>4</v>
      </c>
      <c r="H298" s="40" t="s">
        <v>5</v>
      </c>
      <c r="I298" s="42" t="s">
        <v>6</v>
      </c>
      <c r="J298" s="43" t="s">
        <v>7</v>
      </c>
      <c r="K298" s="40" t="s">
        <v>8</v>
      </c>
      <c r="L298" s="40" t="s">
        <v>9</v>
      </c>
      <c r="M298" s="40" t="s">
        <v>10</v>
      </c>
      <c r="N298" s="40" t="s">
        <v>11</v>
      </c>
      <c r="O298" s="44" t="s">
        <v>12</v>
      </c>
      <c r="P298" s="43" t="s">
        <v>13</v>
      </c>
      <c r="Q298" s="40" t="s">
        <v>14</v>
      </c>
      <c r="R298" s="45" t="s">
        <v>15</v>
      </c>
      <c r="S298" s="46" t="s">
        <v>16</v>
      </c>
      <c r="T298" s="47" t="s">
        <v>17</v>
      </c>
      <c r="U298" s="48" t="s">
        <v>21</v>
      </c>
      <c r="V298" s="48" t="s">
        <v>23</v>
      </c>
    </row>
    <row r="299" spans="1:22" x14ac:dyDescent="0.35">
      <c r="A299" s="3">
        <v>58</v>
      </c>
      <c r="B299" s="2">
        <v>46113</v>
      </c>
      <c r="C299" s="18"/>
      <c r="D299" s="18"/>
      <c r="E299" s="4">
        <v>4453</v>
      </c>
      <c r="F299" s="4">
        <v>1</v>
      </c>
      <c r="G299" s="14">
        <f t="shared" ref="G299:G328" si="93">F299/E299</f>
        <v>2.2456770716370987E-4</v>
      </c>
      <c r="H299" s="4"/>
      <c r="I299" s="4">
        <f>E299-F299-H299</f>
        <v>4452</v>
      </c>
      <c r="J299" s="4">
        <v>133</v>
      </c>
      <c r="K299" s="4">
        <f t="shared" ref="K299:K328" si="94">J299*30</f>
        <v>3990</v>
      </c>
      <c r="L299" s="4">
        <v>0</v>
      </c>
      <c r="M299" s="4">
        <v>0</v>
      </c>
      <c r="N299" s="4">
        <f t="shared" ref="N299:N328" si="95">K299+L299-M299</f>
        <v>3990</v>
      </c>
      <c r="O299" s="14">
        <f t="shared" ref="O299:O328" si="96">N299/E299</f>
        <v>0.89602515158320228</v>
      </c>
      <c r="P299" s="4">
        <v>11</v>
      </c>
      <c r="Q299" s="4">
        <f t="shared" ref="Q299:Q328" si="97">P299*50</f>
        <v>550</v>
      </c>
      <c r="R299" s="4">
        <f t="shared" ref="R299:R313" si="98">Q299*1000</f>
        <v>550000</v>
      </c>
      <c r="S299" s="4">
        <v>2876.08</v>
      </c>
      <c r="T299" s="4">
        <f t="shared" ref="T299:T312" si="99">P299*S299</f>
        <v>31636.879999999997</v>
      </c>
      <c r="U299" s="4">
        <v>1861.92</v>
      </c>
      <c r="V299" s="4">
        <v>1200</v>
      </c>
    </row>
    <row r="300" spans="1:22" x14ac:dyDescent="0.35">
      <c r="A300" s="3">
        <v>58</v>
      </c>
      <c r="B300" s="2">
        <v>46114</v>
      </c>
      <c r="C300" s="4"/>
      <c r="D300" s="18"/>
      <c r="E300" s="4">
        <f>I299</f>
        <v>4452</v>
      </c>
      <c r="F300" s="4">
        <v>1</v>
      </c>
      <c r="G300" s="14">
        <f t="shared" si="93"/>
        <v>2.2461814914645105E-4</v>
      </c>
      <c r="H300" s="4"/>
      <c r="I300" s="4">
        <f>E300-F300-H300</f>
        <v>4451</v>
      </c>
      <c r="J300" s="4">
        <v>132</v>
      </c>
      <c r="K300" s="4">
        <f t="shared" si="94"/>
        <v>3960</v>
      </c>
      <c r="L300" s="4">
        <v>0</v>
      </c>
      <c r="M300" s="4">
        <v>0</v>
      </c>
      <c r="N300" s="4">
        <f t="shared" si="95"/>
        <v>3960</v>
      </c>
      <c r="O300" s="14">
        <f t="shared" si="96"/>
        <v>0.88948787061994605</v>
      </c>
      <c r="P300" s="4">
        <v>11</v>
      </c>
      <c r="Q300" s="4">
        <f t="shared" si="97"/>
        <v>550</v>
      </c>
      <c r="R300" s="4">
        <f t="shared" si="98"/>
        <v>550000</v>
      </c>
      <c r="S300" s="4">
        <v>2876.08</v>
      </c>
      <c r="T300" s="4">
        <f t="shared" si="99"/>
        <v>31636.879999999997</v>
      </c>
      <c r="U300" s="4">
        <v>1861.92</v>
      </c>
      <c r="V300" s="4">
        <v>1300</v>
      </c>
    </row>
    <row r="301" spans="1:22" x14ac:dyDescent="0.35">
      <c r="A301" s="3">
        <v>58</v>
      </c>
      <c r="B301" s="2">
        <v>46115</v>
      </c>
      <c r="C301" s="4"/>
      <c r="D301" s="18"/>
      <c r="E301" s="4">
        <f t="shared" ref="E301:E314" si="100">I300</f>
        <v>4451</v>
      </c>
      <c r="F301" s="4">
        <v>1</v>
      </c>
      <c r="G301" s="14">
        <f t="shared" si="93"/>
        <v>2.2466861379465288E-4</v>
      </c>
      <c r="H301" s="4"/>
      <c r="I301" s="4">
        <f t="shared" ref="I301:I313" si="101">E301-F301-H301</f>
        <v>4450</v>
      </c>
      <c r="J301" s="4">
        <v>131</v>
      </c>
      <c r="K301" s="4">
        <f t="shared" si="94"/>
        <v>3930</v>
      </c>
      <c r="L301" s="4">
        <v>0</v>
      </c>
      <c r="M301" s="4">
        <v>0</v>
      </c>
      <c r="N301" s="4">
        <f t="shared" si="95"/>
        <v>3930</v>
      </c>
      <c r="O301" s="14">
        <f t="shared" si="96"/>
        <v>0.88294765221298588</v>
      </c>
      <c r="P301" s="4">
        <v>11</v>
      </c>
      <c r="Q301" s="4">
        <f t="shared" si="97"/>
        <v>550</v>
      </c>
      <c r="R301" s="4">
        <f t="shared" si="98"/>
        <v>550000</v>
      </c>
      <c r="S301" s="4">
        <v>2876.08</v>
      </c>
      <c r="T301" s="4">
        <f t="shared" si="99"/>
        <v>31636.879999999997</v>
      </c>
      <c r="U301" s="4">
        <v>1861.92</v>
      </c>
      <c r="V301" s="4">
        <v>1200</v>
      </c>
    </row>
    <row r="302" spans="1:22" x14ac:dyDescent="0.35">
      <c r="A302" s="3">
        <v>58</v>
      </c>
      <c r="B302" s="2">
        <v>46116</v>
      </c>
      <c r="C302" s="4"/>
      <c r="D302" s="18"/>
      <c r="E302" s="4">
        <f t="shared" si="100"/>
        <v>4450</v>
      </c>
      <c r="F302" s="4">
        <v>1</v>
      </c>
      <c r="G302" s="14">
        <f t="shared" si="93"/>
        <v>2.2471910112359551E-4</v>
      </c>
      <c r="H302" s="4"/>
      <c r="I302" s="4">
        <f t="shared" si="101"/>
        <v>4449</v>
      </c>
      <c r="J302" s="4">
        <v>130</v>
      </c>
      <c r="K302" s="4">
        <f t="shared" si="94"/>
        <v>3900</v>
      </c>
      <c r="L302" s="4">
        <v>0</v>
      </c>
      <c r="M302" s="4">
        <v>0</v>
      </c>
      <c r="N302" s="4">
        <f t="shared" si="95"/>
        <v>3900</v>
      </c>
      <c r="O302" s="14">
        <f t="shared" si="96"/>
        <v>0.8764044943820225</v>
      </c>
      <c r="P302" s="4">
        <v>11</v>
      </c>
      <c r="Q302" s="4">
        <f t="shared" si="97"/>
        <v>550</v>
      </c>
      <c r="R302" s="4">
        <f t="shared" si="98"/>
        <v>550000</v>
      </c>
      <c r="S302" s="4">
        <v>2876.08</v>
      </c>
      <c r="T302" s="4">
        <f t="shared" si="99"/>
        <v>31636.879999999997</v>
      </c>
      <c r="U302" s="4">
        <v>1861.92</v>
      </c>
      <c r="V302" s="4">
        <v>1200</v>
      </c>
    </row>
    <row r="303" spans="1:22" x14ac:dyDescent="0.35">
      <c r="A303" s="3">
        <v>58</v>
      </c>
      <c r="B303" s="2">
        <v>46117</v>
      </c>
      <c r="C303" s="4"/>
      <c r="D303" s="18"/>
      <c r="E303" s="4">
        <f t="shared" si="100"/>
        <v>4449</v>
      </c>
      <c r="F303" s="4">
        <v>2</v>
      </c>
      <c r="G303" s="14">
        <f t="shared" si="93"/>
        <v>4.4953922229714542E-4</v>
      </c>
      <c r="H303" s="4"/>
      <c r="I303" s="4">
        <f t="shared" si="101"/>
        <v>4447</v>
      </c>
      <c r="J303" s="4">
        <v>130</v>
      </c>
      <c r="K303" s="4">
        <f t="shared" si="94"/>
        <v>3900</v>
      </c>
      <c r="L303" s="4">
        <v>0</v>
      </c>
      <c r="M303" s="4">
        <v>0</v>
      </c>
      <c r="N303" s="4">
        <f t="shared" si="95"/>
        <v>3900</v>
      </c>
      <c r="O303" s="14">
        <f t="shared" si="96"/>
        <v>0.87660148347943356</v>
      </c>
      <c r="P303" s="4">
        <v>11</v>
      </c>
      <c r="Q303" s="4">
        <f t="shared" si="97"/>
        <v>550</v>
      </c>
      <c r="R303" s="4">
        <f t="shared" si="98"/>
        <v>550000</v>
      </c>
      <c r="S303" s="4">
        <v>2876.08</v>
      </c>
      <c r="T303" s="4">
        <f t="shared" si="99"/>
        <v>31636.879999999997</v>
      </c>
      <c r="U303" s="4">
        <v>1861.92</v>
      </c>
      <c r="V303" s="4">
        <v>1100</v>
      </c>
    </row>
    <row r="304" spans="1:22" x14ac:dyDescent="0.35">
      <c r="A304" s="3">
        <v>58</v>
      </c>
      <c r="B304" s="2">
        <v>46118</v>
      </c>
      <c r="C304" s="19"/>
      <c r="D304" s="19"/>
      <c r="E304" s="4">
        <f t="shared" si="100"/>
        <v>4447</v>
      </c>
      <c r="F304" s="4">
        <v>2</v>
      </c>
      <c r="G304" s="14">
        <f t="shared" si="93"/>
        <v>4.4974139869574995E-4</v>
      </c>
      <c r="H304" s="7"/>
      <c r="I304" s="4">
        <f t="shared" si="101"/>
        <v>4445</v>
      </c>
      <c r="J304" s="4">
        <v>130</v>
      </c>
      <c r="K304" s="4">
        <f t="shared" si="94"/>
        <v>3900</v>
      </c>
      <c r="L304" s="4">
        <v>0</v>
      </c>
      <c r="M304" s="4">
        <v>0</v>
      </c>
      <c r="N304" s="4">
        <f t="shared" si="95"/>
        <v>3900</v>
      </c>
      <c r="O304" s="14">
        <f t="shared" si="96"/>
        <v>0.87699572745671239</v>
      </c>
      <c r="P304" s="4">
        <v>11</v>
      </c>
      <c r="Q304" s="4">
        <f t="shared" si="97"/>
        <v>550</v>
      </c>
      <c r="R304" s="4">
        <f t="shared" si="98"/>
        <v>550000</v>
      </c>
      <c r="S304" s="4">
        <v>2876.08</v>
      </c>
      <c r="T304" s="4">
        <f t="shared" si="99"/>
        <v>31636.879999999997</v>
      </c>
      <c r="U304" s="4">
        <v>1861.92</v>
      </c>
      <c r="V304" s="4">
        <v>1200</v>
      </c>
    </row>
    <row r="305" spans="1:22" x14ac:dyDescent="0.35">
      <c r="A305" s="3">
        <v>59</v>
      </c>
      <c r="B305" s="2">
        <v>46119</v>
      </c>
      <c r="C305" s="4"/>
      <c r="D305" s="18"/>
      <c r="E305" s="4">
        <f t="shared" si="100"/>
        <v>4445</v>
      </c>
      <c r="F305" s="4">
        <v>1</v>
      </c>
      <c r="G305" s="14">
        <f t="shared" si="93"/>
        <v>2.2497187851518559E-4</v>
      </c>
      <c r="H305" s="4"/>
      <c r="I305" s="4">
        <f t="shared" si="101"/>
        <v>4444</v>
      </c>
      <c r="J305" s="4">
        <v>129</v>
      </c>
      <c r="K305" s="4">
        <f t="shared" si="94"/>
        <v>3870</v>
      </c>
      <c r="L305" s="4">
        <v>0</v>
      </c>
      <c r="M305" s="4">
        <v>0</v>
      </c>
      <c r="N305" s="4">
        <f t="shared" si="95"/>
        <v>3870</v>
      </c>
      <c r="O305" s="14">
        <f t="shared" si="96"/>
        <v>0.87064116985376827</v>
      </c>
      <c r="P305" s="4">
        <v>11</v>
      </c>
      <c r="Q305" s="4">
        <f t="shared" si="97"/>
        <v>550</v>
      </c>
      <c r="R305" s="4">
        <f t="shared" si="98"/>
        <v>550000</v>
      </c>
      <c r="S305" s="4">
        <v>2876.08</v>
      </c>
      <c r="T305" s="4">
        <f t="shared" si="99"/>
        <v>31636.879999999997</v>
      </c>
      <c r="U305" s="4">
        <v>1861.92</v>
      </c>
      <c r="V305" s="4">
        <v>1200</v>
      </c>
    </row>
    <row r="306" spans="1:22" x14ac:dyDescent="0.35">
      <c r="A306" s="3">
        <v>59</v>
      </c>
      <c r="B306" s="2">
        <v>46120</v>
      </c>
      <c r="C306" s="4"/>
      <c r="D306" s="18"/>
      <c r="E306" s="4">
        <f t="shared" si="100"/>
        <v>4444</v>
      </c>
      <c r="F306" s="4">
        <v>0</v>
      </c>
      <c r="G306" s="14">
        <f t="shared" si="93"/>
        <v>0</v>
      </c>
      <c r="H306" s="4"/>
      <c r="I306" s="4">
        <f t="shared" si="101"/>
        <v>4444</v>
      </c>
      <c r="J306" s="4">
        <v>129</v>
      </c>
      <c r="K306" s="4">
        <f t="shared" si="94"/>
        <v>3870</v>
      </c>
      <c r="L306" s="4">
        <v>0</v>
      </c>
      <c r="M306" s="4">
        <v>0</v>
      </c>
      <c r="N306" s="4">
        <f t="shared" si="95"/>
        <v>3870</v>
      </c>
      <c r="O306" s="14">
        <f t="shared" si="96"/>
        <v>0.87083708370837087</v>
      </c>
      <c r="P306" s="4">
        <v>11</v>
      </c>
      <c r="Q306" s="4">
        <f t="shared" si="97"/>
        <v>550</v>
      </c>
      <c r="R306" s="4">
        <f t="shared" si="98"/>
        <v>550000</v>
      </c>
      <c r="S306" s="4">
        <v>2876.08</v>
      </c>
      <c r="T306" s="4">
        <f t="shared" si="99"/>
        <v>31636.879999999997</v>
      </c>
      <c r="U306" s="4">
        <v>1861.92</v>
      </c>
      <c r="V306" s="4">
        <v>1100</v>
      </c>
    </row>
    <row r="307" spans="1:22" x14ac:dyDescent="0.35">
      <c r="A307" s="3">
        <v>59</v>
      </c>
      <c r="B307" s="2">
        <v>46121</v>
      </c>
      <c r="C307" s="4"/>
      <c r="D307" s="18"/>
      <c r="E307" s="4">
        <f t="shared" si="100"/>
        <v>4444</v>
      </c>
      <c r="F307" s="4">
        <v>1</v>
      </c>
      <c r="G307" s="14">
        <f t="shared" si="93"/>
        <v>2.2502250225022501E-4</v>
      </c>
      <c r="H307" s="4"/>
      <c r="I307" s="4">
        <f t="shared" si="101"/>
        <v>4443</v>
      </c>
      <c r="J307" s="4">
        <v>129</v>
      </c>
      <c r="K307" s="4">
        <f t="shared" si="94"/>
        <v>3870</v>
      </c>
      <c r="L307" s="4">
        <v>0</v>
      </c>
      <c r="M307" s="4">
        <v>0</v>
      </c>
      <c r="N307" s="4">
        <f t="shared" si="95"/>
        <v>3870</v>
      </c>
      <c r="O307" s="14">
        <f t="shared" si="96"/>
        <v>0.87083708370837087</v>
      </c>
      <c r="P307" s="4">
        <v>11</v>
      </c>
      <c r="Q307" s="4">
        <f t="shared" si="97"/>
        <v>550</v>
      </c>
      <c r="R307" s="4">
        <f t="shared" si="98"/>
        <v>550000</v>
      </c>
      <c r="S307" s="4">
        <v>2876.08</v>
      </c>
      <c r="T307" s="4">
        <f t="shared" si="99"/>
        <v>31636.879999999997</v>
      </c>
      <c r="U307" s="4">
        <v>1861.92</v>
      </c>
      <c r="V307" s="4">
        <v>1200</v>
      </c>
    </row>
    <row r="308" spans="1:22" x14ac:dyDescent="0.35">
      <c r="A308" s="3">
        <v>59</v>
      </c>
      <c r="B308" s="2">
        <v>46122</v>
      </c>
      <c r="C308" s="4"/>
      <c r="D308" s="18"/>
      <c r="E308" s="4">
        <f t="shared" si="100"/>
        <v>4443</v>
      </c>
      <c r="F308" s="4">
        <v>0</v>
      </c>
      <c r="G308" s="14">
        <f t="shared" si="93"/>
        <v>0</v>
      </c>
      <c r="H308" s="4"/>
      <c r="I308" s="4">
        <f t="shared" si="101"/>
        <v>4443</v>
      </c>
      <c r="J308" s="4">
        <v>127</v>
      </c>
      <c r="K308" s="4">
        <f t="shared" si="94"/>
        <v>3810</v>
      </c>
      <c r="L308" s="4">
        <v>0</v>
      </c>
      <c r="M308" s="4">
        <v>0</v>
      </c>
      <c r="N308" s="4">
        <f t="shared" si="95"/>
        <v>3810</v>
      </c>
      <c r="O308" s="14">
        <f t="shared" si="96"/>
        <v>0.85752869682646859</v>
      </c>
      <c r="P308" s="4">
        <v>11</v>
      </c>
      <c r="Q308" s="4">
        <f t="shared" si="97"/>
        <v>550</v>
      </c>
      <c r="R308" s="4">
        <f t="shared" si="98"/>
        <v>550000</v>
      </c>
      <c r="S308" s="4">
        <v>2876.08</v>
      </c>
      <c r="T308" s="4">
        <f t="shared" si="99"/>
        <v>31636.879999999997</v>
      </c>
      <c r="U308" s="4">
        <v>1861.92</v>
      </c>
      <c r="V308" s="4">
        <v>1200</v>
      </c>
    </row>
    <row r="309" spans="1:22" x14ac:dyDescent="0.35">
      <c r="A309" s="3">
        <v>59</v>
      </c>
      <c r="B309" s="2">
        <v>46123</v>
      </c>
      <c r="C309" s="4"/>
      <c r="D309" s="18"/>
      <c r="E309" s="4">
        <f t="shared" si="100"/>
        <v>4443</v>
      </c>
      <c r="F309" s="4">
        <v>1</v>
      </c>
      <c r="G309" s="14">
        <f t="shared" si="93"/>
        <v>2.2507314877335134E-4</v>
      </c>
      <c r="H309" s="4"/>
      <c r="I309" s="4">
        <f t="shared" si="101"/>
        <v>4442</v>
      </c>
      <c r="J309" s="4">
        <v>127</v>
      </c>
      <c r="K309" s="4">
        <f t="shared" si="94"/>
        <v>3810</v>
      </c>
      <c r="L309" s="4">
        <v>0</v>
      </c>
      <c r="M309" s="4">
        <v>0</v>
      </c>
      <c r="N309" s="4">
        <f t="shared" si="95"/>
        <v>3810</v>
      </c>
      <c r="O309" s="14">
        <f t="shared" si="96"/>
        <v>0.85752869682646859</v>
      </c>
      <c r="P309" s="4">
        <v>11</v>
      </c>
      <c r="Q309" s="4">
        <f t="shared" si="97"/>
        <v>550</v>
      </c>
      <c r="R309" s="4">
        <f t="shared" si="98"/>
        <v>550000</v>
      </c>
      <c r="S309" s="4">
        <v>2876.08</v>
      </c>
      <c r="T309" s="4">
        <f t="shared" si="99"/>
        <v>31636.879999999997</v>
      </c>
      <c r="U309" s="4">
        <v>1861.92</v>
      </c>
      <c r="V309" s="4">
        <v>1300</v>
      </c>
    </row>
    <row r="310" spans="1:22" x14ac:dyDescent="0.35">
      <c r="A310" s="3">
        <v>59</v>
      </c>
      <c r="B310" s="2">
        <v>46124</v>
      </c>
      <c r="C310" s="4"/>
      <c r="D310" s="18"/>
      <c r="E310" s="4">
        <f t="shared" si="100"/>
        <v>4442</v>
      </c>
      <c r="F310" s="4">
        <v>1</v>
      </c>
      <c r="G310" s="14">
        <f t="shared" si="93"/>
        <v>2.2512381809995497E-4</v>
      </c>
      <c r="H310" s="4"/>
      <c r="I310" s="4">
        <f t="shared" si="101"/>
        <v>4441</v>
      </c>
      <c r="J310" s="4">
        <v>128</v>
      </c>
      <c r="K310" s="4">
        <f t="shared" si="94"/>
        <v>3840</v>
      </c>
      <c r="L310" s="4">
        <v>0</v>
      </c>
      <c r="M310" s="4">
        <v>0</v>
      </c>
      <c r="N310" s="4">
        <f t="shared" si="95"/>
        <v>3840</v>
      </c>
      <c r="O310" s="14">
        <f t="shared" si="96"/>
        <v>0.86447546150382715</v>
      </c>
      <c r="P310" s="4">
        <v>11</v>
      </c>
      <c r="Q310" s="4">
        <f t="shared" si="97"/>
        <v>550</v>
      </c>
      <c r="R310" s="4">
        <f t="shared" si="98"/>
        <v>550000</v>
      </c>
      <c r="S310" s="4">
        <v>2876.08</v>
      </c>
      <c r="T310" s="4">
        <f t="shared" si="99"/>
        <v>31636.879999999997</v>
      </c>
      <c r="U310" s="4">
        <v>1861.92</v>
      </c>
      <c r="V310" s="4">
        <v>1100</v>
      </c>
    </row>
    <row r="311" spans="1:22" x14ac:dyDescent="0.35">
      <c r="A311" s="3">
        <v>59</v>
      </c>
      <c r="B311" s="2">
        <v>46125</v>
      </c>
      <c r="C311" s="4"/>
      <c r="D311" s="18"/>
      <c r="E311" s="4">
        <f t="shared" si="100"/>
        <v>4441</v>
      </c>
      <c r="F311" s="4">
        <v>1</v>
      </c>
      <c r="G311" s="14">
        <f t="shared" si="93"/>
        <v>2.2517451024544022E-4</v>
      </c>
      <c r="H311" s="4"/>
      <c r="I311" s="4">
        <f t="shared" si="101"/>
        <v>4440</v>
      </c>
      <c r="J311" s="4">
        <v>128</v>
      </c>
      <c r="K311" s="4">
        <f t="shared" si="94"/>
        <v>3840</v>
      </c>
      <c r="L311" s="4">
        <v>0</v>
      </c>
      <c r="M311" s="4">
        <v>0</v>
      </c>
      <c r="N311" s="4">
        <f t="shared" si="95"/>
        <v>3840</v>
      </c>
      <c r="O311" s="14">
        <f t="shared" si="96"/>
        <v>0.86467011934249038</v>
      </c>
      <c r="P311" s="4">
        <v>11</v>
      </c>
      <c r="Q311" s="4">
        <f t="shared" si="97"/>
        <v>550</v>
      </c>
      <c r="R311" s="4">
        <f t="shared" si="98"/>
        <v>550000</v>
      </c>
      <c r="S311" s="4">
        <v>2876.08</v>
      </c>
      <c r="T311" s="4">
        <f t="shared" si="99"/>
        <v>31636.879999999997</v>
      </c>
      <c r="U311" s="4">
        <v>1861.92</v>
      </c>
      <c r="V311" s="4">
        <v>1200</v>
      </c>
    </row>
    <row r="312" spans="1:22" x14ac:dyDescent="0.35">
      <c r="A312" s="3">
        <v>60</v>
      </c>
      <c r="B312" s="2">
        <v>46126</v>
      </c>
      <c r="C312" s="4"/>
      <c r="D312" s="18"/>
      <c r="E312" s="4">
        <f t="shared" si="100"/>
        <v>4440</v>
      </c>
      <c r="F312" s="4">
        <v>1</v>
      </c>
      <c r="G312" s="14">
        <f t="shared" si="93"/>
        <v>2.2522522522522523E-4</v>
      </c>
      <c r="H312" s="4"/>
      <c r="I312" s="4">
        <f t="shared" si="101"/>
        <v>4439</v>
      </c>
      <c r="J312" s="4">
        <v>128</v>
      </c>
      <c r="K312" s="4">
        <f t="shared" si="94"/>
        <v>3840</v>
      </c>
      <c r="L312" s="4">
        <v>0</v>
      </c>
      <c r="M312" s="4">
        <v>0</v>
      </c>
      <c r="N312" s="4">
        <f t="shared" si="95"/>
        <v>3840</v>
      </c>
      <c r="O312" s="14">
        <f t="shared" si="96"/>
        <v>0.86486486486486491</v>
      </c>
      <c r="P312" s="4">
        <v>11</v>
      </c>
      <c r="Q312" s="4">
        <f t="shared" si="97"/>
        <v>550</v>
      </c>
      <c r="R312" s="4">
        <f t="shared" si="98"/>
        <v>550000</v>
      </c>
      <c r="S312" s="4">
        <v>2876.08</v>
      </c>
      <c r="T312" s="4">
        <f t="shared" si="99"/>
        <v>31636.879999999997</v>
      </c>
      <c r="U312" s="4">
        <v>1861.92</v>
      </c>
      <c r="V312" s="4">
        <v>1300</v>
      </c>
    </row>
    <row r="313" spans="1:22" x14ac:dyDescent="0.35">
      <c r="A313" s="3">
        <v>60</v>
      </c>
      <c r="B313" s="2">
        <v>46127</v>
      </c>
      <c r="C313" s="4"/>
      <c r="D313" s="18"/>
      <c r="E313" s="4">
        <f t="shared" si="100"/>
        <v>4439</v>
      </c>
      <c r="F313" s="4">
        <v>1</v>
      </c>
      <c r="G313" s="14">
        <f t="shared" si="93"/>
        <v>2.2527596305474206E-4</v>
      </c>
      <c r="H313" s="4"/>
      <c r="I313" s="4">
        <f t="shared" si="101"/>
        <v>4438</v>
      </c>
      <c r="J313" s="4">
        <v>128</v>
      </c>
      <c r="K313" s="4">
        <f t="shared" si="94"/>
        <v>3840</v>
      </c>
      <c r="L313" s="4">
        <v>0</v>
      </c>
      <c r="M313" s="4">
        <v>0</v>
      </c>
      <c r="N313" s="4">
        <f t="shared" si="95"/>
        <v>3840</v>
      </c>
      <c r="O313" s="14">
        <f t="shared" si="96"/>
        <v>0.86505969813020955</v>
      </c>
      <c r="P313" s="4">
        <v>11</v>
      </c>
      <c r="Q313" s="4">
        <f t="shared" si="97"/>
        <v>550</v>
      </c>
      <c r="R313" s="4">
        <f t="shared" si="98"/>
        <v>550000</v>
      </c>
      <c r="S313" s="4">
        <v>2876.08</v>
      </c>
      <c r="T313" s="4">
        <f t="shared" ref="T313:T328" si="102">P313*S313</f>
        <v>31636.879999999997</v>
      </c>
      <c r="U313" s="4">
        <v>1861.92</v>
      </c>
      <c r="V313" s="4">
        <v>2200</v>
      </c>
    </row>
    <row r="314" spans="1:22" x14ac:dyDescent="0.35">
      <c r="A314" s="3">
        <v>60</v>
      </c>
      <c r="B314" s="2">
        <v>46128</v>
      </c>
      <c r="C314" s="4"/>
      <c r="D314" s="18"/>
      <c r="E314" s="4">
        <f t="shared" si="100"/>
        <v>4438</v>
      </c>
      <c r="F314" s="4">
        <v>1</v>
      </c>
      <c r="G314" s="14">
        <f t="shared" si="93"/>
        <v>2.2532672374943669E-4</v>
      </c>
      <c r="H314" s="4"/>
      <c r="I314" s="4">
        <f t="shared" ref="I314:I328" si="103">E314-F314-H314</f>
        <v>4437</v>
      </c>
      <c r="J314" s="4">
        <v>126</v>
      </c>
      <c r="K314" s="4">
        <f t="shared" si="94"/>
        <v>3780</v>
      </c>
      <c r="L314" s="4">
        <v>0</v>
      </c>
      <c r="M314" s="4">
        <v>0</v>
      </c>
      <c r="N314" s="4">
        <f t="shared" si="95"/>
        <v>3780</v>
      </c>
      <c r="O314" s="14">
        <f t="shared" si="96"/>
        <v>0.8517350157728707</v>
      </c>
      <c r="P314" s="4">
        <v>11</v>
      </c>
      <c r="Q314" s="4">
        <f t="shared" si="97"/>
        <v>550</v>
      </c>
      <c r="R314" s="4">
        <f t="shared" ref="R314:R328" si="104">Q314*1000</f>
        <v>550000</v>
      </c>
      <c r="S314" s="4">
        <v>2876.08</v>
      </c>
      <c r="T314" s="4">
        <f t="shared" si="102"/>
        <v>31636.879999999997</v>
      </c>
      <c r="U314" s="4">
        <v>1861.92</v>
      </c>
      <c r="V314" s="4">
        <v>1200</v>
      </c>
    </row>
    <row r="315" spans="1:22" x14ac:dyDescent="0.35">
      <c r="A315" s="3">
        <v>60</v>
      </c>
      <c r="B315" s="2">
        <v>46129</v>
      </c>
      <c r="C315" s="4"/>
      <c r="D315" s="18"/>
      <c r="E315" s="4">
        <f t="shared" ref="E315:E328" si="105">I314</f>
        <v>4437</v>
      </c>
      <c r="F315" s="4">
        <v>1</v>
      </c>
      <c r="G315" s="14">
        <f t="shared" si="93"/>
        <v>2.2537750732476899E-4</v>
      </c>
      <c r="H315" s="4"/>
      <c r="I315" s="4">
        <f t="shared" si="103"/>
        <v>4436</v>
      </c>
      <c r="J315" s="4">
        <v>127</v>
      </c>
      <c r="K315" s="4">
        <f t="shared" si="94"/>
        <v>3810</v>
      </c>
      <c r="L315" s="4">
        <v>0</v>
      </c>
      <c r="M315" s="4">
        <v>0</v>
      </c>
      <c r="N315" s="4">
        <f t="shared" si="95"/>
        <v>3810</v>
      </c>
      <c r="O315" s="14">
        <f t="shared" si="96"/>
        <v>0.85868830290736986</v>
      </c>
      <c r="P315" s="4">
        <v>11</v>
      </c>
      <c r="Q315" s="4">
        <f t="shared" si="97"/>
        <v>550</v>
      </c>
      <c r="R315" s="4">
        <f t="shared" si="104"/>
        <v>550000</v>
      </c>
      <c r="S315" s="4">
        <v>2876.08</v>
      </c>
      <c r="T315" s="4">
        <f t="shared" si="102"/>
        <v>31636.879999999997</v>
      </c>
      <c r="U315" s="4">
        <v>1861.92</v>
      </c>
      <c r="V315" s="4">
        <v>1100</v>
      </c>
    </row>
    <row r="316" spans="1:22" x14ac:dyDescent="0.35">
      <c r="A316" s="3">
        <v>60</v>
      </c>
      <c r="B316" s="2">
        <v>46130</v>
      </c>
      <c r="C316" s="4"/>
      <c r="D316" s="18"/>
      <c r="E316" s="4">
        <f t="shared" si="105"/>
        <v>4436</v>
      </c>
      <c r="F316" s="4">
        <v>0</v>
      </c>
      <c r="G316" s="14">
        <f t="shared" si="93"/>
        <v>0</v>
      </c>
      <c r="H316" s="4"/>
      <c r="I316" s="4">
        <f t="shared" si="103"/>
        <v>4436</v>
      </c>
      <c r="J316" s="4">
        <v>127</v>
      </c>
      <c r="K316" s="4">
        <f t="shared" si="94"/>
        <v>3810</v>
      </c>
      <c r="L316" s="4">
        <v>0</v>
      </c>
      <c r="M316" s="4">
        <v>0</v>
      </c>
      <c r="N316" s="4">
        <f t="shared" si="95"/>
        <v>3810</v>
      </c>
      <c r="O316" s="14">
        <f t="shared" si="96"/>
        <v>0.85888187556357076</v>
      </c>
      <c r="P316" s="4">
        <v>11</v>
      </c>
      <c r="Q316" s="4">
        <f t="shared" si="97"/>
        <v>550</v>
      </c>
      <c r="R316" s="4">
        <f t="shared" si="104"/>
        <v>550000</v>
      </c>
      <c r="S316" s="4">
        <v>2876.08</v>
      </c>
      <c r="T316" s="4">
        <f t="shared" si="102"/>
        <v>31636.879999999997</v>
      </c>
      <c r="U316" s="4">
        <v>1861.92</v>
      </c>
      <c r="V316" s="4">
        <v>1200</v>
      </c>
    </row>
    <row r="317" spans="1:22" x14ac:dyDescent="0.35">
      <c r="A317" s="3">
        <v>60</v>
      </c>
      <c r="B317" s="2">
        <v>46131</v>
      </c>
      <c r="C317" s="4"/>
      <c r="D317" s="18"/>
      <c r="E317" s="4">
        <f t="shared" si="105"/>
        <v>4436</v>
      </c>
      <c r="F317" s="4">
        <v>0</v>
      </c>
      <c r="G317" s="14">
        <f t="shared" si="93"/>
        <v>0</v>
      </c>
      <c r="H317" s="4"/>
      <c r="I317" s="4">
        <f t="shared" si="103"/>
        <v>4436</v>
      </c>
      <c r="J317" s="4">
        <v>126</v>
      </c>
      <c r="K317" s="4">
        <f t="shared" si="94"/>
        <v>3780</v>
      </c>
      <c r="L317" s="4">
        <v>0</v>
      </c>
      <c r="M317" s="4">
        <v>0</v>
      </c>
      <c r="N317" s="4">
        <f t="shared" si="95"/>
        <v>3780</v>
      </c>
      <c r="O317" s="14">
        <f t="shared" si="96"/>
        <v>0.85211902614968438</v>
      </c>
      <c r="P317" s="4">
        <v>11</v>
      </c>
      <c r="Q317" s="4">
        <f t="shared" si="97"/>
        <v>550</v>
      </c>
      <c r="R317" s="4">
        <f t="shared" si="104"/>
        <v>550000</v>
      </c>
      <c r="S317" s="4">
        <v>2876.08</v>
      </c>
      <c r="T317" s="4">
        <f t="shared" si="102"/>
        <v>31636.879999999997</v>
      </c>
      <c r="U317" s="4">
        <v>1861.92</v>
      </c>
      <c r="V317" s="4">
        <v>1200</v>
      </c>
    </row>
    <row r="318" spans="1:22" x14ac:dyDescent="0.35">
      <c r="A318" s="3">
        <v>60</v>
      </c>
      <c r="B318" s="2">
        <v>46132</v>
      </c>
      <c r="C318" s="4"/>
      <c r="D318" s="18"/>
      <c r="E318" s="4">
        <f t="shared" si="105"/>
        <v>4436</v>
      </c>
      <c r="F318" s="4">
        <v>0</v>
      </c>
      <c r="G318" s="14">
        <f t="shared" si="93"/>
        <v>0</v>
      </c>
      <c r="H318" s="4"/>
      <c r="I318" s="4">
        <f t="shared" si="103"/>
        <v>4436</v>
      </c>
      <c r="J318" s="4">
        <v>127</v>
      </c>
      <c r="K318" s="4">
        <f t="shared" si="94"/>
        <v>3810</v>
      </c>
      <c r="L318" s="4">
        <v>0</v>
      </c>
      <c r="M318" s="4">
        <v>0</v>
      </c>
      <c r="N318" s="4">
        <f t="shared" si="95"/>
        <v>3810</v>
      </c>
      <c r="O318" s="14">
        <f t="shared" si="96"/>
        <v>0.85888187556357076</v>
      </c>
      <c r="P318" s="4">
        <v>11</v>
      </c>
      <c r="Q318" s="4">
        <f t="shared" si="97"/>
        <v>550</v>
      </c>
      <c r="R318" s="4">
        <f t="shared" si="104"/>
        <v>550000</v>
      </c>
      <c r="S318" s="4">
        <v>2876.08</v>
      </c>
      <c r="T318" s="4">
        <f t="shared" si="102"/>
        <v>31636.879999999997</v>
      </c>
      <c r="U318" s="4">
        <v>1861.92</v>
      </c>
      <c r="V318" s="4">
        <v>1200</v>
      </c>
    </row>
    <row r="319" spans="1:22" x14ac:dyDescent="0.35">
      <c r="A319" s="3">
        <v>61</v>
      </c>
      <c r="B319" s="2">
        <v>46133</v>
      </c>
      <c r="C319" s="4"/>
      <c r="D319" s="18"/>
      <c r="E319" s="4">
        <f t="shared" si="105"/>
        <v>4436</v>
      </c>
      <c r="F319" s="4">
        <v>3</v>
      </c>
      <c r="G319" s="14">
        <f t="shared" si="93"/>
        <v>6.7628494138863846E-4</v>
      </c>
      <c r="H319" s="4"/>
      <c r="I319" s="4">
        <f t="shared" si="103"/>
        <v>4433</v>
      </c>
      <c r="J319" s="4">
        <v>127</v>
      </c>
      <c r="K319" s="4">
        <f t="shared" si="94"/>
        <v>3810</v>
      </c>
      <c r="L319" s="4">
        <v>0</v>
      </c>
      <c r="M319" s="4">
        <v>0</v>
      </c>
      <c r="N319" s="4">
        <f t="shared" si="95"/>
        <v>3810</v>
      </c>
      <c r="O319" s="14">
        <f t="shared" si="96"/>
        <v>0.85888187556357076</v>
      </c>
      <c r="P319" s="4">
        <v>11</v>
      </c>
      <c r="Q319" s="4">
        <f t="shared" si="97"/>
        <v>550</v>
      </c>
      <c r="R319" s="4">
        <f t="shared" si="104"/>
        <v>550000</v>
      </c>
      <c r="S319" s="4">
        <v>2876.08</v>
      </c>
      <c r="T319" s="4">
        <f t="shared" si="102"/>
        <v>31636.879999999997</v>
      </c>
      <c r="U319" s="4">
        <v>1861.92</v>
      </c>
      <c r="V319" s="4">
        <v>1300</v>
      </c>
    </row>
    <row r="320" spans="1:22" x14ac:dyDescent="0.35">
      <c r="A320" s="3">
        <v>61</v>
      </c>
      <c r="B320" s="2">
        <v>46134</v>
      </c>
      <c r="C320" s="4"/>
      <c r="D320" s="18"/>
      <c r="E320" s="4">
        <f t="shared" si="105"/>
        <v>4433</v>
      </c>
      <c r="F320" s="4">
        <v>0</v>
      </c>
      <c r="G320" s="14">
        <f>F320/E320</f>
        <v>0</v>
      </c>
      <c r="H320" s="4"/>
      <c r="I320" s="4">
        <f t="shared" si="103"/>
        <v>4433</v>
      </c>
      <c r="J320" s="4">
        <v>126</v>
      </c>
      <c r="K320" s="4">
        <f t="shared" si="94"/>
        <v>3780</v>
      </c>
      <c r="L320" s="4">
        <v>0</v>
      </c>
      <c r="M320" s="4">
        <v>0</v>
      </c>
      <c r="N320" s="4">
        <f t="shared" si="95"/>
        <v>3780</v>
      </c>
      <c r="O320" s="14">
        <f t="shared" si="96"/>
        <v>0.85269569140536883</v>
      </c>
      <c r="P320" s="4">
        <v>11</v>
      </c>
      <c r="Q320" s="4">
        <f t="shared" si="97"/>
        <v>550</v>
      </c>
      <c r="R320" s="4">
        <f t="shared" si="104"/>
        <v>550000</v>
      </c>
      <c r="S320" s="4">
        <v>2876.08</v>
      </c>
      <c r="T320" s="4">
        <f t="shared" si="102"/>
        <v>31636.879999999997</v>
      </c>
      <c r="U320" s="4">
        <v>1861.92</v>
      </c>
      <c r="V320" s="4">
        <v>1200</v>
      </c>
    </row>
    <row r="321" spans="1:22" x14ac:dyDescent="0.35">
      <c r="A321" s="3">
        <v>61</v>
      </c>
      <c r="B321" s="2">
        <v>46135</v>
      </c>
      <c r="C321" s="4"/>
      <c r="D321" s="18"/>
      <c r="E321" s="4">
        <f t="shared" si="105"/>
        <v>4433</v>
      </c>
      <c r="F321" s="4">
        <v>0</v>
      </c>
      <c r="G321" s="14">
        <f t="shared" si="93"/>
        <v>0</v>
      </c>
      <c r="H321" s="4"/>
      <c r="I321" s="4">
        <f t="shared" si="103"/>
        <v>4433</v>
      </c>
      <c r="J321" s="4">
        <v>126</v>
      </c>
      <c r="K321" s="4">
        <f t="shared" si="94"/>
        <v>3780</v>
      </c>
      <c r="L321" s="4">
        <v>0</v>
      </c>
      <c r="M321" s="4">
        <v>0</v>
      </c>
      <c r="N321" s="4">
        <f t="shared" si="95"/>
        <v>3780</v>
      </c>
      <c r="O321" s="14">
        <f t="shared" si="96"/>
        <v>0.85269569140536883</v>
      </c>
      <c r="P321" s="4">
        <v>11</v>
      </c>
      <c r="Q321" s="4">
        <f t="shared" si="97"/>
        <v>550</v>
      </c>
      <c r="R321" s="4">
        <f t="shared" si="104"/>
        <v>550000</v>
      </c>
      <c r="S321" s="4">
        <v>2876.08</v>
      </c>
      <c r="T321" s="4">
        <f t="shared" si="102"/>
        <v>31636.879999999997</v>
      </c>
      <c r="U321" s="4">
        <v>1861.92</v>
      </c>
      <c r="V321" s="4">
        <v>1100</v>
      </c>
    </row>
    <row r="322" spans="1:22" x14ac:dyDescent="0.35">
      <c r="A322" s="3">
        <v>61</v>
      </c>
      <c r="B322" s="2">
        <v>46136</v>
      </c>
      <c r="C322" s="4"/>
      <c r="D322" s="18"/>
      <c r="E322" s="4">
        <f t="shared" si="105"/>
        <v>4433</v>
      </c>
      <c r="F322" s="4">
        <v>0</v>
      </c>
      <c r="G322" s="14">
        <f t="shared" si="93"/>
        <v>0</v>
      </c>
      <c r="H322" s="4"/>
      <c r="I322" s="4">
        <f t="shared" si="103"/>
        <v>4433</v>
      </c>
      <c r="J322" s="4">
        <v>126</v>
      </c>
      <c r="K322" s="4">
        <f t="shared" si="94"/>
        <v>3780</v>
      </c>
      <c r="L322" s="4">
        <v>0</v>
      </c>
      <c r="M322" s="4">
        <v>0</v>
      </c>
      <c r="N322" s="4">
        <f t="shared" si="95"/>
        <v>3780</v>
      </c>
      <c r="O322" s="14">
        <f t="shared" si="96"/>
        <v>0.85269569140536883</v>
      </c>
      <c r="P322" s="4">
        <v>11</v>
      </c>
      <c r="Q322" s="4">
        <f t="shared" si="97"/>
        <v>550</v>
      </c>
      <c r="R322" s="4">
        <f t="shared" si="104"/>
        <v>550000</v>
      </c>
      <c r="S322" s="4">
        <v>2876.08</v>
      </c>
      <c r="T322" s="4">
        <f t="shared" si="102"/>
        <v>31636.879999999997</v>
      </c>
      <c r="U322" s="4">
        <v>1861.92</v>
      </c>
      <c r="V322" s="4">
        <v>1000</v>
      </c>
    </row>
    <row r="323" spans="1:22" x14ac:dyDescent="0.35">
      <c r="A323" s="3">
        <v>61</v>
      </c>
      <c r="B323" s="2">
        <v>46137</v>
      </c>
      <c r="C323" s="4"/>
      <c r="D323" s="18"/>
      <c r="E323" s="4">
        <f t="shared" si="105"/>
        <v>4433</v>
      </c>
      <c r="F323" s="4">
        <v>0</v>
      </c>
      <c r="G323" s="14">
        <f t="shared" si="93"/>
        <v>0</v>
      </c>
      <c r="H323" s="4"/>
      <c r="I323" s="4">
        <f t="shared" si="103"/>
        <v>4433</v>
      </c>
      <c r="J323" s="4">
        <v>126</v>
      </c>
      <c r="K323" s="4">
        <f t="shared" si="94"/>
        <v>3780</v>
      </c>
      <c r="L323" s="4">
        <v>0</v>
      </c>
      <c r="M323" s="4">
        <v>0</v>
      </c>
      <c r="N323" s="4">
        <f t="shared" si="95"/>
        <v>3780</v>
      </c>
      <c r="O323" s="14">
        <f t="shared" si="96"/>
        <v>0.85269569140536883</v>
      </c>
      <c r="P323" s="4">
        <v>11</v>
      </c>
      <c r="Q323" s="4">
        <f t="shared" si="97"/>
        <v>550</v>
      </c>
      <c r="R323" s="4">
        <f t="shared" si="104"/>
        <v>550000</v>
      </c>
      <c r="S323" s="4">
        <v>2876.08</v>
      </c>
      <c r="T323" s="4">
        <f t="shared" si="102"/>
        <v>31636.879999999997</v>
      </c>
      <c r="U323" s="4">
        <v>1861.92</v>
      </c>
      <c r="V323" s="4">
        <v>1300</v>
      </c>
    </row>
    <row r="324" spans="1:22" x14ac:dyDescent="0.35">
      <c r="A324" s="3">
        <v>61</v>
      </c>
      <c r="B324" s="2">
        <v>46138</v>
      </c>
      <c r="C324" s="4"/>
      <c r="D324" s="18"/>
      <c r="E324" s="4">
        <f t="shared" si="105"/>
        <v>4433</v>
      </c>
      <c r="F324" s="4">
        <v>0</v>
      </c>
      <c r="G324" s="14">
        <f t="shared" si="93"/>
        <v>0</v>
      </c>
      <c r="H324" s="4"/>
      <c r="I324" s="4">
        <f t="shared" si="103"/>
        <v>4433</v>
      </c>
      <c r="J324" s="4">
        <v>126</v>
      </c>
      <c r="K324" s="4">
        <f t="shared" si="94"/>
        <v>3780</v>
      </c>
      <c r="L324" s="4">
        <v>0</v>
      </c>
      <c r="M324" s="4">
        <v>0</v>
      </c>
      <c r="N324" s="4">
        <f t="shared" si="95"/>
        <v>3780</v>
      </c>
      <c r="O324" s="14">
        <f t="shared" si="96"/>
        <v>0.85269569140536883</v>
      </c>
      <c r="P324" s="4">
        <v>11</v>
      </c>
      <c r="Q324" s="4">
        <f t="shared" si="97"/>
        <v>550</v>
      </c>
      <c r="R324" s="4">
        <f t="shared" si="104"/>
        <v>550000</v>
      </c>
      <c r="S324" s="4">
        <v>2876.08</v>
      </c>
      <c r="T324" s="4">
        <f t="shared" si="102"/>
        <v>31636.879999999997</v>
      </c>
      <c r="U324" s="4">
        <v>1861.92</v>
      </c>
      <c r="V324" s="4">
        <v>1200</v>
      </c>
    </row>
    <row r="325" spans="1:22" x14ac:dyDescent="0.35">
      <c r="A325" s="3">
        <v>61</v>
      </c>
      <c r="B325" s="2">
        <v>46139</v>
      </c>
      <c r="C325" s="4"/>
      <c r="D325" s="18"/>
      <c r="E325" s="4">
        <f t="shared" si="105"/>
        <v>4433</v>
      </c>
      <c r="F325" s="4">
        <v>2</v>
      </c>
      <c r="G325" s="14">
        <f t="shared" si="93"/>
        <v>4.5116174148432213E-4</v>
      </c>
      <c r="H325" s="4"/>
      <c r="I325" s="4">
        <f t="shared" si="103"/>
        <v>4431</v>
      </c>
      <c r="J325" s="4">
        <v>126</v>
      </c>
      <c r="K325" s="4">
        <f t="shared" si="94"/>
        <v>3780</v>
      </c>
      <c r="L325" s="4">
        <v>0</v>
      </c>
      <c r="M325" s="4">
        <v>0</v>
      </c>
      <c r="N325" s="4">
        <f t="shared" si="95"/>
        <v>3780</v>
      </c>
      <c r="O325" s="14">
        <f t="shared" si="96"/>
        <v>0.85269569140536883</v>
      </c>
      <c r="P325" s="4">
        <v>11</v>
      </c>
      <c r="Q325" s="4">
        <f t="shared" si="97"/>
        <v>550</v>
      </c>
      <c r="R325" s="4">
        <f t="shared" si="104"/>
        <v>550000</v>
      </c>
      <c r="S325" s="4">
        <v>2876.08</v>
      </c>
      <c r="T325" s="4">
        <f t="shared" si="102"/>
        <v>31636.879999999997</v>
      </c>
      <c r="U325" s="4">
        <v>1861.92</v>
      </c>
      <c r="V325" s="4">
        <v>1200</v>
      </c>
    </row>
    <row r="326" spans="1:22" x14ac:dyDescent="0.35">
      <c r="A326" s="3">
        <v>62</v>
      </c>
      <c r="B326" s="2">
        <v>46140</v>
      </c>
      <c r="C326" s="4"/>
      <c r="D326" s="18"/>
      <c r="E326" s="4">
        <f t="shared" si="105"/>
        <v>4431</v>
      </c>
      <c r="F326" s="4">
        <v>0</v>
      </c>
      <c r="G326" s="14">
        <f t="shared" si="93"/>
        <v>0</v>
      </c>
      <c r="H326" s="4"/>
      <c r="I326" s="4">
        <f t="shared" si="103"/>
        <v>4431</v>
      </c>
      <c r="J326" s="4">
        <v>126</v>
      </c>
      <c r="K326" s="4">
        <f t="shared" si="94"/>
        <v>3780</v>
      </c>
      <c r="L326" s="4">
        <v>0</v>
      </c>
      <c r="M326" s="4">
        <v>0</v>
      </c>
      <c r="N326" s="4">
        <f t="shared" si="95"/>
        <v>3780</v>
      </c>
      <c r="O326" s="14">
        <f t="shared" si="96"/>
        <v>0.85308056872037918</v>
      </c>
      <c r="P326" s="4">
        <v>11</v>
      </c>
      <c r="Q326" s="4">
        <f t="shared" si="97"/>
        <v>550</v>
      </c>
      <c r="R326" s="4">
        <f t="shared" si="104"/>
        <v>550000</v>
      </c>
      <c r="S326" s="4">
        <v>2876.08</v>
      </c>
      <c r="T326" s="4">
        <f t="shared" si="102"/>
        <v>31636.879999999997</v>
      </c>
      <c r="U326" s="4">
        <v>1861.92</v>
      </c>
      <c r="V326" s="4">
        <v>1100</v>
      </c>
    </row>
    <row r="327" spans="1:22" x14ac:dyDescent="0.35">
      <c r="A327" s="3">
        <v>62</v>
      </c>
      <c r="B327" s="2">
        <v>46141</v>
      </c>
      <c r="C327" s="4"/>
      <c r="D327" s="18"/>
      <c r="E327" s="4">
        <f t="shared" si="105"/>
        <v>4431</v>
      </c>
      <c r="F327" s="4">
        <v>0</v>
      </c>
      <c r="G327" s="14">
        <f t="shared" si="93"/>
        <v>0</v>
      </c>
      <c r="H327" s="4"/>
      <c r="I327" s="4">
        <f t="shared" si="103"/>
        <v>4431</v>
      </c>
      <c r="J327" s="4">
        <v>124</v>
      </c>
      <c r="K327" s="4">
        <f t="shared" si="94"/>
        <v>3720</v>
      </c>
      <c r="L327" s="4">
        <v>0</v>
      </c>
      <c r="M327" s="4">
        <v>0</v>
      </c>
      <c r="N327" s="4">
        <f t="shared" si="95"/>
        <v>3720</v>
      </c>
      <c r="O327" s="14">
        <f t="shared" si="96"/>
        <v>0.83953960731211918</v>
      </c>
      <c r="P327" s="4">
        <v>11</v>
      </c>
      <c r="Q327" s="4">
        <f t="shared" si="97"/>
        <v>550</v>
      </c>
      <c r="R327" s="4">
        <f t="shared" si="104"/>
        <v>550000</v>
      </c>
      <c r="S327" s="4">
        <v>2876.08</v>
      </c>
      <c r="T327" s="4">
        <f t="shared" si="102"/>
        <v>31636.879999999997</v>
      </c>
      <c r="U327" s="4">
        <v>1861.92</v>
      </c>
      <c r="V327" s="4">
        <v>1100</v>
      </c>
    </row>
    <row r="328" spans="1:22" x14ac:dyDescent="0.35">
      <c r="A328" s="3">
        <v>62</v>
      </c>
      <c r="B328" s="2">
        <v>46142</v>
      </c>
      <c r="C328" s="4"/>
      <c r="D328" s="18"/>
      <c r="E328" s="4">
        <f t="shared" si="105"/>
        <v>4431</v>
      </c>
      <c r="F328" s="4">
        <v>0</v>
      </c>
      <c r="G328" s="14">
        <f t="shared" si="93"/>
        <v>0</v>
      </c>
      <c r="H328" s="4"/>
      <c r="I328" s="4">
        <f t="shared" si="103"/>
        <v>4431</v>
      </c>
      <c r="J328" s="4">
        <v>125</v>
      </c>
      <c r="K328" s="4">
        <f t="shared" si="94"/>
        <v>3750</v>
      </c>
      <c r="L328" s="4">
        <v>0</v>
      </c>
      <c r="M328" s="4">
        <v>0</v>
      </c>
      <c r="N328" s="4">
        <f t="shared" si="95"/>
        <v>3750</v>
      </c>
      <c r="O328" s="14">
        <f t="shared" si="96"/>
        <v>0.84631008801624918</v>
      </c>
      <c r="P328" s="4">
        <v>11</v>
      </c>
      <c r="Q328" s="4">
        <f t="shared" si="97"/>
        <v>550</v>
      </c>
      <c r="R328" s="4">
        <f t="shared" si="104"/>
        <v>550000</v>
      </c>
      <c r="S328" s="4">
        <v>2876.08</v>
      </c>
      <c r="T328" s="4">
        <f t="shared" si="102"/>
        <v>31636.879999999997</v>
      </c>
      <c r="U328" s="4">
        <v>1861.92</v>
      </c>
      <c r="V328" s="4">
        <v>2000</v>
      </c>
    </row>
    <row r="329" spans="1:22" x14ac:dyDescent="0.35">
      <c r="A329" s="3"/>
      <c r="B329" s="2"/>
      <c r="C329" s="4"/>
      <c r="D329" s="18"/>
      <c r="E329" s="4"/>
      <c r="F329" s="4">
        <f>SUM(F299:F328)</f>
        <v>22</v>
      </c>
      <c r="G329" s="14"/>
      <c r="H329" s="4"/>
      <c r="I329" s="4"/>
      <c r="J329" s="4"/>
      <c r="K329" s="4"/>
      <c r="L329" s="4"/>
      <c r="M329" s="4"/>
      <c r="N329" s="4"/>
      <c r="O329" s="14"/>
      <c r="P329" s="4"/>
      <c r="Q329" s="4"/>
      <c r="R329" s="4"/>
      <c r="S329" s="22"/>
      <c r="T329" s="4"/>
    </row>
    <row r="330" spans="1:22" x14ac:dyDescent="0.35">
      <c r="B330" s="37" t="s">
        <v>1</v>
      </c>
      <c r="C330" s="38" t="s">
        <v>19</v>
      </c>
      <c r="D330" s="38" t="s">
        <v>18</v>
      </c>
      <c r="E330" s="39" t="s">
        <v>2</v>
      </c>
      <c r="F330" s="40" t="s">
        <v>3</v>
      </c>
      <c r="G330" s="41" t="s">
        <v>4</v>
      </c>
      <c r="H330" s="40" t="s">
        <v>5</v>
      </c>
      <c r="I330" s="42" t="s">
        <v>6</v>
      </c>
      <c r="J330" s="43" t="s">
        <v>7</v>
      </c>
      <c r="K330" s="40" t="s">
        <v>8</v>
      </c>
      <c r="L330" s="40" t="s">
        <v>9</v>
      </c>
      <c r="M330" s="40" t="s">
        <v>10</v>
      </c>
      <c r="N330" s="40" t="s">
        <v>11</v>
      </c>
      <c r="O330" s="44" t="s">
        <v>12</v>
      </c>
      <c r="P330" s="43" t="s">
        <v>13</v>
      </c>
      <c r="Q330" s="40" t="s">
        <v>14</v>
      </c>
      <c r="R330" s="45" t="s">
        <v>15</v>
      </c>
      <c r="S330" s="46" t="s">
        <v>16</v>
      </c>
      <c r="T330" s="47" t="s">
        <v>17</v>
      </c>
      <c r="U330" s="48" t="s">
        <v>21</v>
      </c>
      <c r="V330" s="48" t="s">
        <v>23</v>
      </c>
    </row>
    <row r="331" spans="1:22" x14ac:dyDescent="0.35">
      <c r="A331" s="3">
        <v>62</v>
      </c>
      <c r="B331" s="2">
        <v>46143</v>
      </c>
      <c r="C331" s="18"/>
      <c r="D331" s="18"/>
      <c r="E331" s="4">
        <v>4431</v>
      </c>
      <c r="F331" s="4">
        <v>1</v>
      </c>
      <c r="G331" s="14">
        <f t="shared" ref="G331:G337" si="106">F331/E331</f>
        <v>2.2568269013766644E-4</v>
      </c>
      <c r="H331" s="4"/>
      <c r="I331" s="4">
        <f t="shared" ref="I331:I361" si="107">E331-F331-H331</f>
        <v>4430</v>
      </c>
      <c r="J331" s="4">
        <v>125</v>
      </c>
      <c r="K331" s="4">
        <f t="shared" ref="K331:K361" si="108">J331*30</f>
        <v>3750</v>
      </c>
      <c r="L331" s="4">
        <v>0</v>
      </c>
      <c r="M331" s="4">
        <v>0</v>
      </c>
      <c r="N331" s="4">
        <f t="shared" ref="N331:N361" si="109">K331+L331-M331</f>
        <v>3750</v>
      </c>
      <c r="O331" s="14">
        <f t="shared" ref="O331:O361" si="110">N331/E331</f>
        <v>0.84631008801624918</v>
      </c>
      <c r="P331" s="4">
        <v>11</v>
      </c>
      <c r="Q331" s="4">
        <f t="shared" ref="Q331:Q361" si="111">P331*50</f>
        <v>550</v>
      </c>
      <c r="R331" s="4">
        <f t="shared" ref="R331:R361" si="112">Q331*1000</f>
        <v>550000</v>
      </c>
      <c r="S331" s="4">
        <v>2895.58</v>
      </c>
      <c r="T331" s="4">
        <f t="shared" ref="T331:T361" si="113">P331*S331</f>
        <v>31851.379999999997</v>
      </c>
      <c r="U331" s="4">
        <v>1861.92</v>
      </c>
      <c r="V331" s="4">
        <v>1200</v>
      </c>
    </row>
    <row r="332" spans="1:22" x14ac:dyDescent="0.35">
      <c r="A332" s="3">
        <v>62</v>
      </c>
      <c r="B332" s="2">
        <v>46144</v>
      </c>
      <c r="C332" s="4"/>
      <c r="D332" s="18"/>
      <c r="E332" s="4">
        <f>I331</f>
        <v>4430</v>
      </c>
      <c r="F332" s="4">
        <v>2</v>
      </c>
      <c r="G332" s="14">
        <f t="shared" si="106"/>
        <v>4.514672686230248E-4</v>
      </c>
      <c r="H332" s="4"/>
      <c r="I332" s="4">
        <f t="shared" si="107"/>
        <v>4428</v>
      </c>
      <c r="J332" s="4">
        <v>124</v>
      </c>
      <c r="K332" s="4">
        <f t="shared" si="108"/>
        <v>3720</v>
      </c>
      <c r="L332" s="4">
        <v>0</v>
      </c>
      <c r="M332" s="4">
        <v>0</v>
      </c>
      <c r="N332" s="4">
        <f t="shared" si="109"/>
        <v>3720</v>
      </c>
      <c r="O332" s="14">
        <f t="shared" si="110"/>
        <v>0.83972911963882624</v>
      </c>
      <c r="P332" s="4">
        <v>11</v>
      </c>
      <c r="Q332" s="4">
        <f t="shared" si="111"/>
        <v>550</v>
      </c>
      <c r="R332" s="4">
        <f t="shared" si="112"/>
        <v>550000</v>
      </c>
      <c r="S332" s="4">
        <v>2895.58</v>
      </c>
      <c r="T332" s="4">
        <f t="shared" si="113"/>
        <v>31851.379999999997</v>
      </c>
      <c r="U332" s="4">
        <v>1861.92</v>
      </c>
      <c r="V332" s="4">
        <v>1000</v>
      </c>
    </row>
    <row r="333" spans="1:22" x14ac:dyDescent="0.35">
      <c r="A333" s="3">
        <v>62</v>
      </c>
      <c r="B333" s="2">
        <v>46145</v>
      </c>
      <c r="C333" s="4"/>
      <c r="D333" s="18"/>
      <c r="E333" s="4">
        <f t="shared" ref="E333:E361" si="114">I332</f>
        <v>4428</v>
      </c>
      <c r="F333" s="4">
        <v>0</v>
      </c>
      <c r="G333" s="14">
        <f t="shared" si="106"/>
        <v>0</v>
      </c>
      <c r="H333" s="4"/>
      <c r="I333" s="4">
        <f t="shared" si="107"/>
        <v>4428</v>
      </c>
      <c r="J333" s="4">
        <v>124</v>
      </c>
      <c r="K333" s="4">
        <f t="shared" si="108"/>
        <v>3720</v>
      </c>
      <c r="L333" s="4">
        <v>0</v>
      </c>
      <c r="M333" s="4">
        <v>0</v>
      </c>
      <c r="N333" s="4">
        <f t="shared" si="109"/>
        <v>3720</v>
      </c>
      <c r="O333" s="14">
        <f t="shared" si="110"/>
        <v>0.84010840108401086</v>
      </c>
      <c r="P333" s="4">
        <v>11</v>
      </c>
      <c r="Q333" s="4">
        <f t="shared" si="111"/>
        <v>550</v>
      </c>
      <c r="R333" s="4">
        <f t="shared" si="112"/>
        <v>550000</v>
      </c>
      <c r="S333" s="4">
        <v>2895.58</v>
      </c>
      <c r="T333" s="4">
        <f t="shared" si="113"/>
        <v>31851.379999999997</v>
      </c>
      <c r="U333" s="4">
        <v>1861.92</v>
      </c>
      <c r="V333" s="4">
        <v>1100</v>
      </c>
    </row>
    <row r="334" spans="1:22" x14ac:dyDescent="0.35">
      <c r="A334" s="3">
        <v>62</v>
      </c>
      <c r="B334" s="2">
        <v>46146</v>
      </c>
      <c r="C334" s="4"/>
      <c r="D334" s="18"/>
      <c r="E334" s="4">
        <f t="shared" si="114"/>
        <v>4428</v>
      </c>
      <c r="F334" s="4">
        <v>0</v>
      </c>
      <c r="G334" s="14">
        <f t="shared" si="106"/>
        <v>0</v>
      </c>
      <c r="H334" s="4"/>
      <c r="I334" s="4">
        <f t="shared" si="107"/>
        <v>4428</v>
      </c>
      <c r="J334" s="4">
        <v>125</v>
      </c>
      <c r="K334" s="4">
        <f t="shared" si="108"/>
        <v>3750</v>
      </c>
      <c r="L334" s="4">
        <v>0</v>
      </c>
      <c r="M334" s="4">
        <v>0</v>
      </c>
      <c r="N334" s="4">
        <f t="shared" si="109"/>
        <v>3750</v>
      </c>
      <c r="O334" s="14">
        <f t="shared" si="110"/>
        <v>0.84688346883468835</v>
      </c>
      <c r="P334" s="4">
        <v>11</v>
      </c>
      <c r="Q334" s="4">
        <f t="shared" si="111"/>
        <v>550</v>
      </c>
      <c r="R334" s="4">
        <f t="shared" si="112"/>
        <v>550000</v>
      </c>
      <c r="S334" s="4">
        <v>2895.58</v>
      </c>
      <c r="T334" s="4">
        <f t="shared" si="113"/>
        <v>31851.379999999997</v>
      </c>
      <c r="U334" s="4">
        <v>1861.92</v>
      </c>
      <c r="V334" s="4">
        <v>1100</v>
      </c>
    </row>
    <row r="335" spans="1:22" x14ac:dyDescent="0.35">
      <c r="A335" s="3">
        <v>63</v>
      </c>
      <c r="B335" s="2">
        <v>46147</v>
      </c>
      <c r="C335" s="4"/>
      <c r="D335" s="18"/>
      <c r="E335" s="4">
        <f t="shared" si="114"/>
        <v>4428</v>
      </c>
      <c r="F335" s="4">
        <v>1</v>
      </c>
      <c r="G335" s="14">
        <f t="shared" si="106"/>
        <v>2.2583559168925022E-4</v>
      </c>
      <c r="H335" s="4"/>
      <c r="I335" s="4">
        <f t="shared" si="107"/>
        <v>4427</v>
      </c>
      <c r="J335" s="4">
        <v>126</v>
      </c>
      <c r="K335" s="4">
        <f t="shared" si="108"/>
        <v>3780</v>
      </c>
      <c r="L335" s="4">
        <v>0</v>
      </c>
      <c r="M335" s="4">
        <v>0</v>
      </c>
      <c r="N335" s="4">
        <f t="shared" si="109"/>
        <v>3780</v>
      </c>
      <c r="O335" s="14">
        <f t="shared" si="110"/>
        <v>0.85365853658536583</v>
      </c>
      <c r="P335" s="4">
        <v>11</v>
      </c>
      <c r="Q335" s="4">
        <f t="shared" si="111"/>
        <v>550</v>
      </c>
      <c r="R335" s="4">
        <f t="shared" si="112"/>
        <v>550000</v>
      </c>
      <c r="S335" s="4">
        <v>2895.58</v>
      </c>
      <c r="T335" s="4">
        <f t="shared" si="113"/>
        <v>31851.379999999997</v>
      </c>
      <c r="U335" s="4">
        <v>1861.92</v>
      </c>
      <c r="V335" s="4">
        <v>1000</v>
      </c>
    </row>
    <row r="336" spans="1:22" x14ac:dyDescent="0.35">
      <c r="A336" s="3">
        <v>63</v>
      </c>
      <c r="B336" s="2">
        <v>46148</v>
      </c>
      <c r="C336" s="4"/>
      <c r="D336" s="18"/>
      <c r="E336" s="4">
        <f t="shared" si="114"/>
        <v>4427</v>
      </c>
      <c r="F336" s="4">
        <v>1</v>
      </c>
      <c r="G336" s="14">
        <f t="shared" si="106"/>
        <v>2.2588660492432798E-4</v>
      </c>
      <c r="H336" s="4"/>
      <c r="I336" s="4">
        <f t="shared" si="107"/>
        <v>4426</v>
      </c>
      <c r="J336" s="4">
        <v>127</v>
      </c>
      <c r="K336" s="4">
        <f t="shared" si="108"/>
        <v>3810</v>
      </c>
      <c r="L336" s="4">
        <v>0</v>
      </c>
      <c r="M336" s="4">
        <v>0</v>
      </c>
      <c r="N336" s="4">
        <f t="shared" si="109"/>
        <v>3810</v>
      </c>
      <c r="O336" s="14">
        <f t="shared" si="110"/>
        <v>0.86062796476168968</v>
      </c>
      <c r="P336" s="4">
        <v>11</v>
      </c>
      <c r="Q336" s="4">
        <f t="shared" si="111"/>
        <v>550</v>
      </c>
      <c r="R336" s="4">
        <f t="shared" si="112"/>
        <v>550000</v>
      </c>
      <c r="S336" s="4">
        <v>2895.58</v>
      </c>
      <c r="T336" s="4">
        <f t="shared" si="113"/>
        <v>31851.379999999997</v>
      </c>
      <c r="U336" s="4">
        <v>1861.92</v>
      </c>
      <c r="V336" s="4">
        <v>1100</v>
      </c>
    </row>
    <row r="337" spans="1:22" x14ac:dyDescent="0.35">
      <c r="A337" s="3">
        <v>63</v>
      </c>
      <c r="B337" s="2">
        <v>46149</v>
      </c>
      <c r="C337" s="19"/>
      <c r="D337" s="19"/>
      <c r="E337" s="4">
        <f t="shared" si="114"/>
        <v>4426</v>
      </c>
      <c r="F337" s="4">
        <v>1</v>
      </c>
      <c r="G337" s="14">
        <f t="shared" si="106"/>
        <v>2.2593764121102577E-4</v>
      </c>
      <c r="H337" s="7"/>
      <c r="I337" s="4">
        <f t="shared" si="107"/>
        <v>4425</v>
      </c>
      <c r="J337" s="4">
        <v>127</v>
      </c>
      <c r="K337" s="4">
        <f t="shared" si="108"/>
        <v>3810</v>
      </c>
      <c r="L337" s="4">
        <v>0</v>
      </c>
      <c r="M337" s="4">
        <v>0</v>
      </c>
      <c r="N337" s="4">
        <f t="shared" si="109"/>
        <v>3810</v>
      </c>
      <c r="O337" s="14">
        <f t="shared" si="110"/>
        <v>0.86082241301400808</v>
      </c>
      <c r="P337" s="4">
        <v>11</v>
      </c>
      <c r="Q337" s="4">
        <f t="shared" si="111"/>
        <v>550</v>
      </c>
      <c r="R337" s="4">
        <f t="shared" si="112"/>
        <v>550000</v>
      </c>
      <c r="S337" s="4">
        <v>2895.58</v>
      </c>
      <c r="T337" s="4">
        <f t="shared" si="113"/>
        <v>31851.379999999997</v>
      </c>
      <c r="U337" s="4">
        <v>1861.92</v>
      </c>
      <c r="V337" s="4">
        <v>600</v>
      </c>
    </row>
    <row r="338" spans="1:22" x14ac:dyDescent="0.35">
      <c r="A338" s="3">
        <v>63</v>
      </c>
      <c r="B338" s="2">
        <v>46150</v>
      </c>
      <c r="C338" s="4"/>
      <c r="D338" s="18"/>
      <c r="E338" s="4">
        <f t="shared" si="114"/>
        <v>4425</v>
      </c>
      <c r="F338" s="4">
        <v>0</v>
      </c>
      <c r="G338" s="14">
        <f t="shared" ref="G338:G361" si="115">F338/E338</f>
        <v>0</v>
      </c>
      <c r="H338" s="4"/>
      <c r="I338" s="4">
        <f t="shared" si="107"/>
        <v>4425</v>
      </c>
      <c r="J338" s="4">
        <v>127</v>
      </c>
      <c r="K338" s="4">
        <f t="shared" si="108"/>
        <v>3810</v>
      </c>
      <c r="L338" s="4">
        <v>0</v>
      </c>
      <c r="M338" s="4">
        <v>0</v>
      </c>
      <c r="N338" s="4">
        <f t="shared" si="109"/>
        <v>3810</v>
      </c>
      <c r="O338" s="14">
        <f t="shared" si="110"/>
        <v>0.86101694915254234</v>
      </c>
      <c r="P338" s="4">
        <v>11</v>
      </c>
      <c r="Q338" s="4">
        <f t="shared" si="111"/>
        <v>550</v>
      </c>
      <c r="R338" s="4">
        <f t="shared" si="112"/>
        <v>550000</v>
      </c>
      <c r="S338" s="4">
        <v>2895.58</v>
      </c>
      <c r="T338" s="4">
        <f t="shared" si="113"/>
        <v>31851.379999999997</v>
      </c>
      <c r="U338" s="4">
        <v>1861.92</v>
      </c>
      <c r="V338" s="4">
        <v>700</v>
      </c>
    </row>
    <row r="339" spans="1:22" x14ac:dyDescent="0.35">
      <c r="A339" s="3">
        <v>63</v>
      </c>
      <c r="B339" s="2">
        <v>46151</v>
      </c>
      <c r="C339" s="4"/>
      <c r="D339" s="18"/>
      <c r="E339" s="4">
        <f t="shared" si="114"/>
        <v>4425</v>
      </c>
      <c r="F339" s="4">
        <v>0</v>
      </c>
      <c r="G339" s="14">
        <f t="shared" si="115"/>
        <v>0</v>
      </c>
      <c r="H339" s="4"/>
      <c r="I339" s="4">
        <f t="shared" si="107"/>
        <v>4425</v>
      </c>
      <c r="J339" s="4">
        <v>126</v>
      </c>
      <c r="K339" s="4">
        <f t="shared" si="108"/>
        <v>3780</v>
      </c>
      <c r="L339" s="4">
        <v>0</v>
      </c>
      <c r="M339" s="4">
        <v>0</v>
      </c>
      <c r="N339" s="4">
        <f t="shared" si="109"/>
        <v>3780</v>
      </c>
      <c r="O339" s="14">
        <f t="shared" si="110"/>
        <v>0.85423728813559319</v>
      </c>
      <c r="P339" s="4">
        <v>11</v>
      </c>
      <c r="Q339" s="4">
        <f t="shared" si="111"/>
        <v>550</v>
      </c>
      <c r="R339" s="4">
        <f t="shared" si="112"/>
        <v>550000</v>
      </c>
      <c r="S339" s="4">
        <v>2895.58</v>
      </c>
      <c r="T339" s="4">
        <f t="shared" si="113"/>
        <v>31851.379999999997</v>
      </c>
      <c r="U339" s="4">
        <v>1861.92</v>
      </c>
      <c r="V339" s="4">
        <v>1200</v>
      </c>
    </row>
    <row r="340" spans="1:22" x14ac:dyDescent="0.35">
      <c r="A340" s="3">
        <v>63</v>
      </c>
      <c r="B340" s="2">
        <v>46152</v>
      </c>
      <c r="C340" s="4"/>
      <c r="D340" s="18"/>
      <c r="E340" s="4">
        <f t="shared" si="114"/>
        <v>4425</v>
      </c>
      <c r="F340" s="4">
        <v>0</v>
      </c>
      <c r="G340" s="14">
        <f t="shared" si="115"/>
        <v>0</v>
      </c>
      <c r="H340" s="4"/>
      <c r="I340" s="4">
        <f t="shared" si="107"/>
        <v>4425</v>
      </c>
      <c r="J340" s="4">
        <v>127</v>
      </c>
      <c r="K340" s="4">
        <f t="shared" si="108"/>
        <v>3810</v>
      </c>
      <c r="L340" s="4">
        <v>0</v>
      </c>
      <c r="M340" s="4">
        <v>0</v>
      </c>
      <c r="N340" s="4">
        <f t="shared" si="109"/>
        <v>3810</v>
      </c>
      <c r="O340" s="14">
        <f t="shared" si="110"/>
        <v>0.86101694915254234</v>
      </c>
      <c r="P340" s="4">
        <v>11</v>
      </c>
      <c r="Q340" s="4">
        <f t="shared" si="111"/>
        <v>550</v>
      </c>
      <c r="R340" s="4">
        <f t="shared" si="112"/>
        <v>550000</v>
      </c>
      <c r="S340" s="4">
        <v>2895.58</v>
      </c>
      <c r="T340" s="4">
        <f t="shared" si="113"/>
        <v>31851.379999999997</v>
      </c>
      <c r="U340" s="4">
        <v>1861.92</v>
      </c>
      <c r="V340" s="4">
        <v>1100</v>
      </c>
    </row>
    <row r="341" spans="1:22" x14ac:dyDescent="0.35">
      <c r="A341" s="3">
        <v>63</v>
      </c>
      <c r="B341" s="2">
        <v>46153</v>
      </c>
      <c r="C341" s="4"/>
      <c r="D341" s="18"/>
      <c r="E341" s="4">
        <f t="shared" si="114"/>
        <v>4425</v>
      </c>
      <c r="F341" s="4">
        <v>0</v>
      </c>
      <c r="G341" s="14">
        <f t="shared" si="115"/>
        <v>0</v>
      </c>
      <c r="H341" s="4"/>
      <c r="I341" s="4">
        <f t="shared" si="107"/>
        <v>4425</v>
      </c>
      <c r="J341" s="4">
        <v>127</v>
      </c>
      <c r="K341" s="4">
        <f t="shared" si="108"/>
        <v>3810</v>
      </c>
      <c r="L341" s="4">
        <v>0</v>
      </c>
      <c r="M341" s="4">
        <v>0</v>
      </c>
      <c r="N341" s="4">
        <f t="shared" si="109"/>
        <v>3810</v>
      </c>
      <c r="O341" s="14">
        <f t="shared" si="110"/>
        <v>0.86101694915254234</v>
      </c>
      <c r="P341" s="4">
        <v>11</v>
      </c>
      <c r="Q341" s="4">
        <f t="shared" si="111"/>
        <v>550</v>
      </c>
      <c r="R341" s="4">
        <f t="shared" si="112"/>
        <v>550000</v>
      </c>
      <c r="S341" s="4">
        <v>2895.58</v>
      </c>
      <c r="T341" s="4">
        <f t="shared" si="113"/>
        <v>31851.379999999997</v>
      </c>
      <c r="U341" s="4">
        <v>1861.92</v>
      </c>
      <c r="V341" s="4">
        <v>1100</v>
      </c>
    </row>
    <row r="342" spans="1:22" x14ac:dyDescent="0.35">
      <c r="A342" s="3">
        <v>64</v>
      </c>
      <c r="B342" s="2">
        <v>46154</v>
      </c>
      <c r="C342" s="4"/>
      <c r="D342" s="18"/>
      <c r="E342" s="4">
        <f t="shared" si="114"/>
        <v>4425</v>
      </c>
      <c r="F342" s="4">
        <v>3</v>
      </c>
      <c r="G342" s="14">
        <f t="shared" si="115"/>
        <v>6.779661016949153E-4</v>
      </c>
      <c r="H342" s="4"/>
      <c r="I342" s="4">
        <f t="shared" si="107"/>
        <v>4422</v>
      </c>
      <c r="J342" s="4">
        <v>127</v>
      </c>
      <c r="K342" s="4">
        <f t="shared" si="108"/>
        <v>3810</v>
      </c>
      <c r="L342" s="4">
        <v>0</v>
      </c>
      <c r="M342" s="4">
        <v>0</v>
      </c>
      <c r="N342" s="4">
        <f t="shared" si="109"/>
        <v>3810</v>
      </c>
      <c r="O342" s="14">
        <f t="shared" si="110"/>
        <v>0.86101694915254234</v>
      </c>
      <c r="P342" s="4">
        <v>11</v>
      </c>
      <c r="Q342" s="4">
        <f t="shared" si="111"/>
        <v>550</v>
      </c>
      <c r="R342" s="4">
        <f t="shared" si="112"/>
        <v>550000</v>
      </c>
      <c r="S342" s="4">
        <v>2898.76</v>
      </c>
      <c r="T342" s="4">
        <f t="shared" si="113"/>
        <v>31886.36</v>
      </c>
      <c r="U342" s="4">
        <v>1861.92</v>
      </c>
      <c r="V342" s="4">
        <v>1200</v>
      </c>
    </row>
    <row r="343" spans="1:22" x14ac:dyDescent="0.35">
      <c r="A343" s="3">
        <v>64</v>
      </c>
      <c r="B343" s="2">
        <v>46155</v>
      </c>
      <c r="C343" s="4"/>
      <c r="D343" s="18"/>
      <c r="E343" s="4">
        <f t="shared" si="114"/>
        <v>4422</v>
      </c>
      <c r="F343" s="4">
        <v>0</v>
      </c>
      <c r="G343" s="14">
        <f t="shared" si="115"/>
        <v>0</v>
      </c>
      <c r="H343" s="4"/>
      <c r="I343" s="4">
        <f t="shared" si="107"/>
        <v>4422</v>
      </c>
      <c r="J343" s="4">
        <v>126</v>
      </c>
      <c r="K343" s="4">
        <f t="shared" si="108"/>
        <v>3780</v>
      </c>
      <c r="L343" s="4">
        <v>0</v>
      </c>
      <c r="M343" s="4">
        <v>0</v>
      </c>
      <c r="N343" s="4">
        <f t="shared" si="109"/>
        <v>3780</v>
      </c>
      <c r="O343" s="14">
        <f t="shared" si="110"/>
        <v>0.85481682496607869</v>
      </c>
      <c r="P343" s="4">
        <v>11</v>
      </c>
      <c r="Q343" s="4">
        <f t="shared" si="111"/>
        <v>550</v>
      </c>
      <c r="R343" s="4">
        <f t="shared" si="112"/>
        <v>550000</v>
      </c>
      <c r="S343" s="4">
        <v>2898.76</v>
      </c>
      <c r="T343" s="4">
        <f t="shared" si="113"/>
        <v>31886.36</v>
      </c>
      <c r="U343" s="4">
        <v>1861.92</v>
      </c>
      <c r="V343" s="4">
        <v>1100</v>
      </c>
    </row>
    <row r="344" spans="1:22" x14ac:dyDescent="0.35">
      <c r="A344" s="3">
        <v>64</v>
      </c>
      <c r="B344" s="2">
        <v>46156</v>
      </c>
      <c r="C344" s="4"/>
      <c r="D344" s="18"/>
      <c r="E344" s="4">
        <f t="shared" si="114"/>
        <v>4422</v>
      </c>
      <c r="F344" s="4">
        <v>1</v>
      </c>
      <c r="G344" s="14">
        <f t="shared" si="115"/>
        <v>2.2614201718679331E-4</v>
      </c>
      <c r="H344" s="4"/>
      <c r="I344" s="4">
        <f t="shared" si="107"/>
        <v>4421</v>
      </c>
      <c r="J344" s="4">
        <v>126</v>
      </c>
      <c r="K344" s="4">
        <f t="shared" si="108"/>
        <v>3780</v>
      </c>
      <c r="L344" s="4">
        <v>0</v>
      </c>
      <c r="M344" s="4">
        <v>0</v>
      </c>
      <c r="N344" s="4">
        <f t="shared" si="109"/>
        <v>3780</v>
      </c>
      <c r="O344" s="14">
        <f t="shared" si="110"/>
        <v>0.85481682496607869</v>
      </c>
      <c r="P344" s="4">
        <v>11</v>
      </c>
      <c r="Q344" s="4">
        <f t="shared" si="111"/>
        <v>550</v>
      </c>
      <c r="R344" s="4">
        <f t="shared" si="112"/>
        <v>550000</v>
      </c>
      <c r="S344" s="4">
        <v>2898.76</v>
      </c>
      <c r="T344" s="4">
        <f t="shared" si="113"/>
        <v>31886.36</v>
      </c>
      <c r="U344" s="4">
        <v>1861.92</v>
      </c>
      <c r="V344" s="4">
        <v>1100</v>
      </c>
    </row>
    <row r="345" spans="1:22" x14ac:dyDescent="0.35">
      <c r="A345" s="3">
        <v>64</v>
      </c>
      <c r="B345" s="2">
        <v>46157</v>
      </c>
      <c r="C345" s="4"/>
      <c r="D345" s="18"/>
      <c r="E345" s="4">
        <f t="shared" si="114"/>
        <v>4421</v>
      </c>
      <c r="F345" s="4">
        <v>1</v>
      </c>
      <c r="G345" s="14">
        <f t="shared" si="115"/>
        <v>2.2619316896629722E-4</v>
      </c>
      <c r="H345" s="4"/>
      <c r="I345" s="4">
        <f t="shared" si="107"/>
        <v>4420</v>
      </c>
      <c r="J345" s="4">
        <v>125</v>
      </c>
      <c r="K345" s="4">
        <f t="shared" si="108"/>
        <v>3750</v>
      </c>
      <c r="L345" s="4">
        <v>0</v>
      </c>
      <c r="M345" s="4">
        <v>0</v>
      </c>
      <c r="N345" s="4">
        <f t="shared" si="109"/>
        <v>3750</v>
      </c>
      <c r="O345" s="14">
        <f t="shared" si="110"/>
        <v>0.84822438362361452</v>
      </c>
      <c r="P345" s="4">
        <v>11</v>
      </c>
      <c r="Q345" s="4">
        <f t="shared" si="111"/>
        <v>550</v>
      </c>
      <c r="R345" s="4">
        <f t="shared" si="112"/>
        <v>550000</v>
      </c>
      <c r="S345" s="4">
        <v>2911.26</v>
      </c>
      <c r="T345" s="4">
        <f t="shared" si="113"/>
        <v>32023.86</v>
      </c>
      <c r="U345" s="4">
        <v>1861.92</v>
      </c>
      <c r="V345" s="4">
        <v>2200</v>
      </c>
    </row>
    <row r="346" spans="1:22" x14ac:dyDescent="0.35">
      <c r="A346" s="3">
        <v>64</v>
      </c>
      <c r="B346" s="2">
        <v>46158</v>
      </c>
      <c r="C346" s="4"/>
      <c r="D346" s="18"/>
      <c r="E346" s="4">
        <f t="shared" si="114"/>
        <v>4420</v>
      </c>
      <c r="F346" s="4">
        <v>2</v>
      </c>
      <c r="G346" s="14">
        <f t="shared" si="115"/>
        <v>4.5248868778280545E-4</v>
      </c>
      <c r="H346" s="4"/>
      <c r="I346" s="4">
        <f t="shared" si="107"/>
        <v>4418</v>
      </c>
      <c r="J346" s="4">
        <v>125</v>
      </c>
      <c r="K346" s="4">
        <f t="shared" si="108"/>
        <v>3750</v>
      </c>
      <c r="L346" s="4">
        <v>0</v>
      </c>
      <c r="M346" s="4">
        <v>0</v>
      </c>
      <c r="N346" s="4">
        <f t="shared" si="109"/>
        <v>3750</v>
      </c>
      <c r="O346" s="14">
        <f t="shared" si="110"/>
        <v>0.84841628959276016</v>
      </c>
      <c r="P346" s="4">
        <v>11</v>
      </c>
      <c r="Q346" s="4">
        <f t="shared" si="111"/>
        <v>550</v>
      </c>
      <c r="R346" s="4">
        <f t="shared" si="112"/>
        <v>550000</v>
      </c>
      <c r="S346" s="4">
        <v>2911.26</v>
      </c>
      <c r="T346" s="4">
        <f t="shared" si="113"/>
        <v>32023.86</v>
      </c>
      <c r="U346" s="4">
        <v>1861.92</v>
      </c>
      <c r="V346" s="4">
        <v>1000</v>
      </c>
    </row>
    <row r="347" spans="1:22" x14ac:dyDescent="0.35">
      <c r="A347" s="3">
        <v>64</v>
      </c>
      <c r="B347" s="2">
        <v>46159</v>
      </c>
      <c r="C347" s="4"/>
      <c r="D347" s="18"/>
      <c r="E347" s="4">
        <f t="shared" si="114"/>
        <v>4418</v>
      </c>
      <c r="F347" s="4">
        <v>2</v>
      </c>
      <c r="G347" s="14">
        <f t="shared" si="115"/>
        <v>4.526935264825713E-4</v>
      </c>
      <c r="H347" s="4"/>
      <c r="I347" s="4">
        <f t="shared" si="107"/>
        <v>4416</v>
      </c>
      <c r="J347" s="4">
        <v>125</v>
      </c>
      <c r="K347" s="4">
        <f t="shared" si="108"/>
        <v>3750</v>
      </c>
      <c r="L347" s="4">
        <v>0</v>
      </c>
      <c r="M347" s="4">
        <v>0</v>
      </c>
      <c r="N347" s="4">
        <f t="shared" si="109"/>
        <v>3750</v>
      </c>
      <c r="O347" s="14">
        <f t="shared" si="110"/>
        <v>0.84880036215482113</v>
      </c>
      <c r="P347" s="4">
        <v>11</v>
      </c>
      <c r="Q347" s="4">
        <f t="shared" si="111"/>
        <v>550</v>
      </c>
      <c r="R347" s="4">
        <f t="shared" si="112"/>
        <v>550000</v>
      </c>
      <c r="S347" s="4">
        <v>2911.26</v>
      </c>
      <c r="T347" s="4">
        <f t="shared" si="113"/>
        <v>32023.86</v>
      </c>
      <c r="U347" s="4">
        <v>1861.92</v>
      </c>
      <c r="V347" s="4">
        <v>1100</v>
      </c>
    </row>
    <row r="348" spans="1:22" x14ac:dyDescent="0.35">
      <c r="A348" s="3">
        <v>64</v>
      </c>
      <c r="B348" s="2">
        <v>46160</v>
      </c>
      <c r="C348" s="4"/>
      <c r="D348" s="18"/>
      <c r="E348" s="4">
        <f t="shared" si="114"/>
        <v>4416</v>
      </c>
      <c r="F348" s="4">
        <v>2</v>
      </c>
      <c r="G348" s="14">
        <f t="shared" si="115"/>
        <v>4.5289855072463769E-4</v>
      </c>
      <c r="H348" s="4"/>
      <c r="I348" s="4">
        <f t="shared" si="107"/>
        <v>4414</v>
      </c>
      <c r="J348" s="4">
        <v>125</v>
      </c>
      <c r="K348" s="4">
        <f t="shared" si="108"/>
        <v>3750</v>
      </c>
      <c r="L348" s="4">
        <v>0</v>
      </c>
      <c r="M348" s="4">
        <v>0</v>
      </c>
      <c r="N348" s="4">
        <f t="shared" si="109"/>
        <v>3750</v>
      </c>
      <c r="O348" s="14">
        <f t="shared" si="110"/>
        <v>0.84918478260869568</v>
      </c>
      <c r="P348" s="4">
        <v>11</v>
      </c>
      <c r="Q348" s="4">
        <f t="shared" si="111"/>
        <v>550</v>
      </c>
      <c r="R348" s="4">
        <f t="shared" si="112"/>
        <v>550000</v>
      </c>
      <c r="S348" s="4">
        <v>2911.26</v>
      </c>
      <c r="T348" s="4">
        <f t="shared" si="113"/>
        <v>32023.86</v>
      </c>
      <c r="U348" s="4">
        <v>1861.92</v>
      </c>
      <c r="V348" s="4">
        <v>1300</v>
      </c>
    </row>
    <row r="349" spans="1:22" x14ac:dyDescent="0.35">
      <c r="A349" s="3">
        <v>65</v>
      </c>
      <c r="B349" s="2">
        <v>46161</v>
      </c>
      <c r="C349" s="4"/>
      <c r="D349" s="18"/>
      <c r="E349" s="4">
        <f t="shared" si="114"/>
        <v>4414</v>
      </c>
      <c r="F349" s="4">
        <v>2</v>
      </c>
      <c r="G349" s="14">
        <f t="shared" si="115"/>
        <v>4.5310376076121433E-4</v>
      </c>
      <c r="H349" s="4"/>
      <c r="I349" s="4">
        <f t="shared" si="107"/>
        <v>4412</v>
      </c>
      <c r="J349" s="4">
        <v>125</v>
      </c>
      <c r="K349" s="4">
        <f t="shared" si="108"/>
        <v>3750</v>
      </c>
      <c r="L349" s="4">
        <v>0</v>
      </c>
      <c r="M349" s="4">
        <v>0</v>
      </c>
      <c r="N349" s="4">
        <f t="shared" si="109"/>
        <v>3750</v>
      </c>
      <c r="O349" s="14">
        <f t="shared" si="110"/>
        <v>0.84956955142727686</v>
      </c>
      <c r="P349" s="4">
        <v>11</v>
      </c>
      <c r="Q349" s="4">
        <f t="shared" si="111"/>
        <v>550</v>
      </c>
      <c r="R349" s="4">
        <f t="shared" si="112"/>
        <v>550000</v>
      </c>
      <c r="S349" s="4">
        <v>2911.26</v>
      </c>
      <c r="T349" s="4">
        <f t="shared" si="113"/>
        <v>32023.86</v>
      </c>
      <c r="U349" s="4">
        <v>1861.92</v>
      </c>
      <c r="V349" s="4">
        <v>1100</v>
      </c>
    </row>
    <row r="350" spans="1:22" x14ac:dyDescent="0.35">
      <c r="A350" s="3">
        <v>65</v>
      </c>
      <c r="B350" s="2">
        <v>46162</v>
      </c>
      <c r="C350" s="4"/>
      <c r="D350" s="18"/>
      <c r="E350" s="4">
        <f t="shared" si="114"/>
        <v>4412</v>
      </c>
      <c r="F350" s="4">
        <v>2</v>
      </c>
      <c r="G350" s="14">
        <f t="shared" si="115"/>
        <v>4.5330915684496827E-4</v>
      </c>
      <c r="H350" s="4"/>
      <c r="I350" s="4">
        <f t="shared" si="107"/>
        <v>4410</v>
      </c>
      <c r="J350" s="4">
        <v>125</v>
      </c>
      <c r="K350" s="4">
        <f t="shared" si="108"/>
        <v>3750</v>
      </c>
      <c r="L350" s="4">
        <v>0</v>
      </c>
      <c r="M350" s="4">
        <v>0</v>
      </c>
      <c r="N350" s="4">
        <f t="shared" si="109"/>
        <v>3750</v>
      </c>
      <c r="O350" s="14">
        <f t="shared" si="110"/>
        <v>0.8499546690843155</v>
      </c>
      <c r="P350" s="4">
        <v>11</v>
      </c>
      <c r="Q350" s="4">
        <f t="shared" si="111"/>
        <v>550</v>
      </c>
      <c r="R350" s="4">
        <f t="shared" si="112"/>
        <v>550000</v>
      </c>
      <c r="S350" s="4">
        <v>2911.26</v>
      </c>
      <c r="T350" s="4">
        <f t="shared" si="113"/>
        <v>32023.86</v>
      </c>
      <c r="U350" s="4">
        <v>1861.92</v>
      </c>
      <c r="V350" s="4">
        <v>1100</v>
      </c>
    </row>
    <row r="351" spans="1:22" x14ac:dyDescent="0.35">
      <c r="A351" s="3">
        <v>65</v>
      </c>
      <c r="B351" s="2">
        <v>46163</v>
      </c>
      <c r="C351" s="4"/>
      <c r="D351" s="18"/>
      <c r="E351" s="4">
        <f t="shared" si="114"/>
        <v>4410</v>
      </c>
      <c r="F351" s="4">
        <v>0</v>
      </c>
      <c r="G351" s="14">
        <f t="shared" si="115"/>
        <v>0</v>
      </c>
      <c r="H351" s="4"/>
      <c r="I351" s="4">
        <f t="shared" si="107"/>
        <v>4410</v>
      </c>
      <c r="J351" s="4">
        <v>125</v>
      </c>
      <c r="K351" s="4">
        <f t="shared" si="108"/>
        <v>3750</v>
      </c>
      <c r="L351" s="4">
        <v>0</v>
      </c>
      <c r="M351" s="4">
        <v>0</v>
      </c>
      <c r="N351" s="4">
        <f t="shared" si="109"/>
        <v>3750</v>
      </c>
      <c r="O351" s="14">
        <f t="shared" si="110"/>
        <v>0.85034013605442171</v>
      </c>
      <c r="P351" s="4">
        <v>11</v>
      </c>
      <c r="Q351" s="4">
        <f t="shared" si="111"/>
        <v>550</v>
      </c>
      <c r="R351" s="4">
        <f t="shared" si="112"/>
        <v>550000</v>
      </c>
      <c r="S351" s="4">
        <v>2911.26</v>
      </c>
      <c r="T351" s="4">
        <f t="shared" si="113"/>
        <v>32023.86</v>
      </c>
      <c r="U351" s="4">
        <v>1861.92</v>
      </c>
      <c r="V351" s="4">
        <v>1100</v>
      </c>
    </row>
    <row r="352" spans="1:22" x14ac:dyDescent="0.35">
      <c r="A352" s="3">
        <v>65</v>
      </c>
      <c r="B352" s="2">
        <v>46164</v>
      </c>
      <c r="C352" s="4"/>
      <c r="D352" s="18"/>
      <c r="E352" s="4">
        <f t="shared" si="114"/>
        <v>4410</v>
      </c>
      <c r="F352" s="4">
        <v>1</v>
      </c>
      <c r="G352" s="14">
        <f t="shared" si="115"/>
        <v>2.2675736961451248E-4</v>
      </c>
      <c r="H352" s="4"/>
      <c r="I352" s="4">
        <f t="shared" si="107"/>
        <v>4409</v>
      </c>
      <c r="J352" s="4">
        <v>125</v>
      </c>
      <c r="K352" s="4">
        <f t="shared" si="108"/>
        <v>3750</v>
      </c>
      <c r="L352" s="4">
        <v>0</v>
      </c>
      <c r="M352" s="4">
        <v>0</v>
      </c>
      <c r="N352" s="4">
        <f t="shared" si="109"/>
        <v>3750</v>
      </c>
      <c r="O352" s="14">
        <f t="shared" si="110"/>
        <v>0.85034013605442171</v>
      </c>
      <c r="P352" s="4">
        <v>11</v>
      </c>
      <c r="Q352" s="4">
        <f t="shared" si="111"/>
        <v>550</v>
      </c>
      <c r="R352" s="4">
        <f t="shared" si="112"/>
        <v>550000</v>
      </c>
      <c r="S352" s="4">
        <v>2900.26</v>
      </c>
      <c r="T352" s="4">
        <f t="shared" si="113"/>
        <v>31902.86</v>
      </c>
      <c r="U352" s="4">
        <v>1861.92</v>
      </c>
      <c r="V352" s="4">
        <v>1200</v>
      </c>
    </row>
    <row r="353" spans="1:22" x14ac:dyDescent="0.35">
      <c r="A353" s="3">
        <v>65</v>
      </c>
      <c r="B353" s="2">
        <v>46165</v>
      </c>
      <c r="C353" s="4"/>
      <c r="D353" s="18"/>
      <c r="E353" s="4">
        <f t="shared" si="114"/>
        <v>4409</v>
      </c>
      <c r="F353" s="4">
        <v>0</v>
      </c>
      <c r="G353" s="14">
        <f t="shared" si="115"/>
        <v>0</v>
      </c>
      <c r="H353" s="4"/>
      <c r="I353" s="4">
        <f t="shared" si="107"/>
        <v>4409</v>
      </c>
      <c r="J353" s="4">
        <v>124</v>
      </c>
      <c r="K353" s="4">
        <f t="shared" si="108"/>
        <v>3720</v>
      </c>
      <c r="L353" s="4">
        <v>0</v>
      </c>
      <c r="M353" s="4">
        <v>0</v>
      </c>
      <c r="N353" s="4">
        <f t="shared" si="109"/>
        <v>3720</v>
      </c>
      <c r="O353" s="14">
        <f t="shared" si="110"/>
        <v>0.84372873667498294</v>
      </c>
      <c r="P353" s="4">
        <v>11</v>
      </c>
      <c r="Q353" s="4">
        <f t="shared" si="111"/>
        <v>550</v>
      </c>
      <c r="R353" s="4">
        <f t="shared" si="112"/>
        <v>550000</v>
      </c>
      <c r="S353" s="4">
        <v>2900.26</v>
      </c>
      <c r="T353" s="4">
        <f t="shared" si="113"/>
        <v>31902.86</v>
      </c>
      <c r="U353" s="4">
        <v>1861.92</v>
      </c>
      <c r="V353" s="4">
        <v>1100</v>
      </c>
    </row>
    <row r="354" spans="1:22" x14ac:dyDescent="0.35">
      <c r="A354" s="3">
        <v>65</v>
      </c>
      <c r="B354" s="2">
        <v>46166</v>
      </c>
      <c r="C354" s="4"/>
      <c r="D354" s="18"/>
      <c r="E354" s="4">
        <f t="shared" si="114"/>
        <v>4409</v>
      </c>
      <c r="F354" s="4">
        <v>2</v>
      </c>
      <c r="G354" s="14">
        <f t="shared" si="115"/>
        <v>4.5361760036289407E-4</v>
      </c>
      <c r="H354" s="4"/>
      <c r="I354" s="4">
        <f t="shared" si="107"/>
        <v>4407</v>
      </c>
      <c r="J354" s="4">
        <v>123</v>
      </c>
      <c r="K354" s="4">
        <f t="shared" si="108"/>
        <v>3690</v>
      </c>
      <c r="L354" s="4">
        <v>0</v>
      </c>
      <c r="M354" s="4">
        <v>0</v>
      </c>
      <c r="N354" s="4">
        <f t="shared" si="109"/>
        <v>3690</v>
      </c>
      <c r="O354" s="14">
        <f t="shared" si="110"/>
        <v>0.83692447266953962</v>
      </c>
      <c r="P354" s="4">
        <v>11</v>
      </c>
      <c r="Q354" s="4">
        <f t="shared" si="111"/>
        <v>550</v>
      </c>
      <c r="R354" s="4">
        <f t="shared" si="112"/>
        <v>550000</v>
      </c>
      <c r="S354" s="4">
        <v>2900.26</v>
      </c>
      <c r="T354" s="4">
        <f t="shared" si="113"/>
        <v>31902.86</v>
      </c>
      <c r="U354" s="4">
        <v>1861.92</v>
      </c>
      <c r="V354" s="4">
        <v>1300</v>
      </c>
    </row>
    <row r="355" spans="1:22" x14ac:dyDescent="0.35">
      <c r="A355" s="3">
        <v>65</v>
      </c>
      <c r="B355" s="2">
        <v>46167</v>
      </c>
      <c r="C355" s="4"/>
      <c r="D355" s="18"/>
      <c r="E355" s="4">
        <f t="shared" si="114"/>
        <v>4407</v>
      </c>
      <c r="F355" s="4">
        <v>0</v>
      </c>
      <c r="G355" s="14">
        <f t="shared" si="115"/>
        <v>0</v>
      </c>
      <c r="H355" s="4"/>
      <c r="I355" s="4">
        <f t="shared" si="107"/>
        <v>4407</v>
      </c>
      <c r="J355" s="4">
        <v>123</v>
      </c>
      <c r="K355" s="4">
        <f t="shared" si="108"/>
        <v>3690</v>
      </c>
      <c r="L355" s="4">
        <v>0</v>
      </c>
      <c r="M355" s="4">
        <v>0</v>
      </c>
      <c r="N355" s="4">
        <f t="shared" si="109"/>
        <v>3690</v>
      </c>
      <c r="O355" s="14">
        <f t="shared" si="110"/>
        <v>0.83730428863172224</v>
      </c>
      <c r="P355" s="4">
        <v>11</v>
      </c>
      <c r="Q355" s="4">
        <f t="shared" si="111"/>
        <v>550</v>
      </c>
      <c r="R355" s="4">
        <f t="shared" si="112"/>
        <v>550000</v>
      </c>
      <c r="S355" s="4">
        <v>2900.26</v>
      </c>
      <c r="T355" s="4">
        <f t="shared" si="113"/>
        <v>31902.86</v>
      </c>
      <c r="U355" s="4">
        <v>1861.92</v>
      </c>
      <c r="V355" s="4">
        <v>1300</v>
      </c>
    </row>
    <row r="356" spans="1:22" x14ac:dyDescent="0.35">
      <c r="A356" s="3">
        <v>66</v>
      </c>
      <c r="B356" s="2">
        <v>46168</v>
      </c>
      <c r="C356" s="4"/>
      <c r="D356" s="18"/>
      <c r="E356" s="4">
        <f t="shared" si="114"/>
        <v>4407</v>
      </c>
      <c r="F356" s="4">
        <v>0</v>
      </c>
      <c r="G356" s="14">
        <f t="shared" si="115"/>
        <v>0</v>
      </c>
      <c r="H356" s="4"/>
      <c r="I356" s="4">
        <f t="shared" si="107"/>
        <v>4407</v>
      </c>
      <c r="J356" s="4">
        <v>123</v>
      </c>
      <c r="K356" s="4">
        <f t="shared" si="108"/>
        <v>3690</v>
      </c>
      <c r="L356" s="4">
        <v>0</v>
      </c>
      <c r="M356" s="4">
        <v>0</v>
      </c>
      <c r="N356" s="4">
        <f t="shared" si="109"/>
        <v>3690</v>
      </c>
      <c r="O356" s="14">
        <f t="shared" si="110"/>
        <v>0.83730428863172224</v>
      </c>
      <c r="P356" s="4">
        <v>11</v>
      </c>
      <c r="Q356" s="4">
        <f t="shared" si="111"/>
        <v>550</v>
      </c>
      <c r="R356" s="4">
        <f t="shared" si="112"/>
        <v>550000</v>
      </c>
      <c r="S356" s="4">
        <v>2900.26</v>
      </c>
      <c r="T356" s="4">
        <f t="shared" si="113"/>
        <v>31902.86</v>
      </c>
      <c r="U356" s="4">
        <v>1861.92</v>
      </c>
      <c r="V356" s="4">
        <v>1300</v>
      </c>
    </row>
    <row r="357" spans="1:22" x14ac:dyDescent="0.35">
      <c r="A357" s="3">
        <v>66</v>
      </c>
      <c r="B357" s="2">
        <v>46169</v>
      </c>
      <c r="C357" s="4"/>
      <c r="D357" s="18"/>
      <c r="E357" s="4">
        <f t="shared" si="114"/>
        <v>4407</v>
      </c>
      <c r="F357" s="4">
        <v>2</v>
      </c>
      <c r="G357" s="14">
        <f t="shared" si="115"/>
        <v>4.5382346267302018E-4</v>
      </c>
      <c r="H357" s="4"/>
      <c r="I357" s="4">
        <f t="shared" si="107"/>
        <v>4405</v>
      </c>
      <c r="J357" s="4">
        <v>123</v>
      </c>
      <c r="K357" s="4">
        <f t="shared" si="108"/>
        <v>3690</v>
      </c>
      <c r="L357" s="4">
        <v>0</v>
      </c>
      <c r="M357" s="4">
        <v>0</v>
      </c>
      <c r="N357" s="4">
        <f t="shared" si="109"/>
        <v>3690</v>
      </c>
      <c r="O357" s="14">
        <f t="shared" si="110"/>
        <v>0.83730428863172224</v>
      </c>
      <c r="P357" s="4">
        <v>11</v>
      </c>
      <c r="Q357" s="4">
        <f t="shared" si="111"/>
        <v>550</v>
      </c>
      <c r="R357" s="4">
        <f t="shared" si="112"/>
        <v>550000</v>
      </c>
      <c r="S357" s="4">
        <v>2900.26</v>
      </c>
      <c r="T357" s="4">
        <f t="shared" si="113"/>
        <v>31902.86</v>
      </c>
      <c r="U357" s="4">
        <v>1861.92</v>
      </c>
      <c r="V357" s="4">
        <v>1100</v>
      </c>
    </row>
    <row r="358" spans="1:22" x14ac:dyDescent="0.35">
      <c r="A358" s="3">
        <v>66</v>
      </c>
      <c r="B358" s="2">
        <v>46170</v>
      </c>
      <c r="C358" s="4"/>
      <c r="D358" s="18"/>
      <c r="E358" s="4">
        <f t="shared" si="114"/>
        <v>4405</v>
      </c>
      <c r="F358" s="4">
        <v>1</v>
      </c>
      <c r="G358" s="14">
        <f t="shared" si="115"/>
        <v>2.2701475595913735E-4</v>
      </c>
      <c r="H358" s="4"/>
      <c r="I358" s="4">
        <f t="shared" si="107"/>
        <v>4404</v>
      </c>
      <c r="J358" s="4">
        <v>123</v>
      </c>
      <c r="K358" s="4">
        <f t="shared" si="108"/>
        <v>3690</v>
      </c>
      <c r="L358" s="4">
        <v>0</v>
      </c>
      <c r="M358" s="4">
        <v>0</v>
      </c>
      <c r="N358" s="4">
        <f t="shared" si="109"/>
        <v>3690</v>
      </c>
      <c r="O358" s="14">
        <f t="shared" si="110"/>
        <v>0.83768444948921683</v>
      </c>
      <c r="P358" s="4">
        <v>11</v>
      </c>
      <c r="Q358" s="4">
        <f t="shared" si="111"/>
        <v>550</v>
      </c>
      <c r="R358" s="4">
        <f t="shared" si="112"/>
        <v>550000</v>
      </c>
      <c r="S358" s="4">
        <v>2900.26</v>
      </c>
      <c r="T358" s="4">
        <f t="shared" si="113"/>
        <v>31902.86</v>
      </c>
      <c r="U358" s="4">
        <v>1861.92</v>
      </c>
      <c r="V358" s="4">
        <v>1100</v>
      </c>
    </row>
    <row r="359" spans="1:22" x14ac:dyDescent="0.35">
      <c r="A359" s="3">
        <v>66</v>
      </c>
      <c r="B359" s="2">
        <v>46171</v>
      </c>
      <c r="C359" s="4"/>
      <c r="D359" s="18"/>
      <c r="E359" s="4">
        <f t="shared" si="114"/>
        <v>4404</v>
      </c>
      <c r="F359" s="4">
        <v>1</v>
      </c>
      <c r="G359" s="14">
        <f t="shared" si="115"/>
        <v>2.2706630336058128E-4</v>
      </c>
      <c r="H359" s="4"/>
      <c r="I359" s="4">
        <f t="shared" si="107"/>
        <v>4403</v>
      </c>
      <c r="J359" s="4">
        <v>123</v>
      </c>
      <c r="K359" s="4">
        <f t="shared" si="108"/>
        <v>3690</v>
      </c>
      <c r="L359" s="4">
        <v>0</v>
      </c>
      <c r="M359" s="4">
        <v>0</v>
      </c>
      <c r="N359" s="4">
        <f t="shared" si="109"/>
        <v>3690</v>
      </c>
      <c r="O359" s="14">
        <f t="shared" si="110"/>
        <v>0.83787465940054495</v>
      </c>
      <c r="P359" s="4">
        <v>11</v>
      </c>
      <c r="Q359" s="4">
        <f t="shared" si="111"/>
        <v>550</v>
      </c>
      <c r="R359" s="4">
        <f t="shared" si="112"/>
        <v>550000</v>
      </c>
      <c r="S359" s="4">
        <v>2900.26</v>
      </c>
      <c r="T359" s="4">
        <f t="shared" si="113"/>
        <v>31902.86</v>
      </c>
      <c r="U359" s="4">
        <v>1861.92</v>
      </c>
      <c r="V359" s="4">
        <v>1200</v>
      </c>
    </row>
    <row r="360" spans="1:22" x14ac:dyDescent="0.35">
      <c r="A360" s="3">
        <v>66</v>
      </c>
      <c r="B360" s="2">
        <v>46172</v>
      </c>
      <c r="C360" s="4"/>
      <c r="D360" s="18"/>
      <c r="E360" s="4">
        <f t="shared" si="114"/>
        <v>4403</v>
      </c>
      <c r="F360" s="4">
        <v>1</v>
      </c>
      <c r="G360" s="14">
        <f t="shared" si="115"/>
        <v>2.2711787417669771E-4</v>
      </c>
      <c r="H360" s="4"/>
      <c r="I360" s="4">
        <f t="shared" si="107"/>
        <v>4402</v>
      </c>
      <c r="J360" s="4">
        <v>123</v>
      </c>
      <c r="K360" s="4">
        <f t="shared" si="108"/>
        <v>3690</v>
      </c>
      <c r="L360" s="4">
        <v>0</v>
      </c>
      <c r="M360" s="4">
        <v>0</v>
      </c>
      <c r="N360" s="4">
        <f t="shared" si="109"/>
        <v>3690</v>
      </c>
      <c r="O360" s="14">
        <f t="shared" si="110"/>
        <v>0.83806495571201456</v>
      </c>
      <c r="P360" s="4">
        <v>11</v>
      </c>
      <c r="Q360" s="4">
        <f t="shared" si="111"/>
        <v>550</v>
      </c>
      <c r="R360" s="4">
        <f t="shared" si="112"/>
        <v>550000</v>
      </c>
      <c r="S360" s="4">
        <v>2900.26</v>
      </c>
      <c r="T360" s="4">
        <f t="shared" si="113"/>
        <v>31902.86</v>
      </c>
      <c r="U360" s="4">
        <v>1861.92</v>
      </c>
      <c r="V360" s="4">
        <v>2200</v>
      </c>
    </row>
    <row r="361" spans="1:22" x14ac:dyDescent="0.35">
      <c r="A361" s="3">
        <v>66</v>
      </c>
      <c r="B361" s="2">
        <v>46173</v>
      </c>
      <c r="C361" s="4"/>
      <c r="D361" s="18"/>
      <c r="E361" s="4">
        <f t="shared" si="114"/>
        <v>4402</v>
      </c>
      <c r="F361" s="4">
        <v>1</v>
      </c>
      <c r="G361" s="14">
        <f t="shared" si="115"/>
        <v>2.2716946842344388E-4</v>
      </c>
      <c r="H361" s="4"/>
      <c r="I361" s="4">
        <f t="shared" si="107"/>
        <v>4401</v>
      </c>
      <c r="J361" s="4">
        <v>123</v>
      </c>
      <c r="K361" s="4">
        <f t="shared" si="108"/>
        <v>3690</v>
      </c>
      <c r="L361" s="4">
        <v>0</v>
      </c>
      <c r="M361" s="4">
        <v>0</v>
      </c>
      <c r="N361" s="4">
        <f t="shared" si="109"/>
        <v>3690</v>
      </c>
      <c r="O361" s="14">
        <f t="shared" si="110"/>
        <v>0.83825533848250799</v>
      </c>
      <c r="P361" s="4">
        <v>11</v>
      </c>
      <c r="Q361" s="4">
        <f t="shared" si="111"/>
        <v>550</v>
      </c>
      <c r="R361" s="4">
        <f t="shared" si="112"/>
        <v>550000</v>
      </c>
      <c r="S361" s="4">
        <v>2900.26</v>
      </c>
      <c r="T361" s="4">
        <f t="shared" si="113"/>
        <v>31902.86</v>
      </c>
      <c r="U361" s="4">
        <v>1861.92</v>
      </c>
      <c r="V361" s="4">
        <v>1100</v>
      </c>
    </row>
    <row r="362" spans="1:22" x14ac:dyDescent="0.35">
      <c r="A362" s="3"/>
      <c r="B362" s="2"/>
      <c r="C362" s="4"/>
      <c r="D362" s="18"/>
      <c r="E362" s="4"/>
      <c r="F362" s="4"/>
      <c r="G362" s="14"/>
      <c r="H362" s="4"/>
      <c r="I362" s="4"/>
      <c r="J362" s="4"/>
      <c r="K362" s="4"/>
      <c r="L362" s="4"/>
      <c r="M362" s="4"/>
      <c r="N362" s="4"/>
      <c r="O362" s="14"/>
      <c r="P362" s="4"/>
      <c r="Q362" s="4"/>
      <c r="R362" s="4"/>
      <c r="S362" s="22"/>
      <c r="T362" s="4"/>
    </row>
    <row r="363" spans="1:22" x14ac:dyDescent="0.35">
      <c r="B363" s="37" t="s">
        <v>1</v>
      </c>
      <c r="C363" s="38" t="s">
        <v>19</v>
      </c>
      <c r="D363" s="38" t="s">
        <v>18</v>
      </c>
      <c r="E363" s="39" t="s">
        <v>2</v>
      </c>
      <c r="F363" s="40" t="s">
        <v>3</v>
      </c>
      <c r="G363" s="41" t="s">
        <v>4</v>
      </c>
      <c r="H363" s="40" t="s">
        <v>5</v>
      </c>
      <c r="I363" s="42" t="s">
        <v>6</v>
      </c>
      <c r="J363" s="43" t="s">
        <v>7</v>
      </c>
      <c r="K363" s="40" t="s">
        <v>8</v>
      </c>
      <c r="L363" s="40" t="s">
        <v>9</v>
      </c>
      <c r="M363" s="40" t="s">
        <v>10</v>
      </c>
      <c r="N363" s="40" t="s">
        <v>11</v>
      </c>
      <c r="O363" s="44" t="s">
        <v>12</v>
      </c>
      <c r="P363" s="43" t="s">
        <v>13</v>
      </c>
      <c r="Q363" s="40" t="s">
        <v>14</v>
      </c>
      <c r="R363" s="45" t="s">
        <v>15</v>
      </c>
      <c r="S363" s="46" t="s">
        <v>16</v>
      </c>
      <c r="T363" s="47" t="s">
        <v>17</v>
      </c>
      <c r="U363" s="48" t="s">
        <v>21</v>
      </c>
      <c r="V363" s="48" t="s">
        <v>23</v>
      </c>
    </row>
    <row r="364" spans="1:22" x14ac:dyDescent="0.35">
      <c r="A364" s="3">
        <v>66</v>
      </c>
      <c r="B364" s="2">
        <v>46174</v>
      </c>
      <c r="C364" s="18"/>
      <c r="D364" s="18"/>
      <c r="E364" s="4">
        <v>4401</v>
      </c>
      <c r="F364" s="4">
        <v>3</v>
      </c>
      <c r="G364" s="14">
        <f t="shared" ref="G364:G391" si="116">F364/E364</f>
        <v>6.8166325835037494E-4</v>
      </c>
      <c r="H364" s="4"/>
      <c r="I364" s="4">
        <f t="shared" ref="I364:I378" si="117">E364-F364-H364</f>
        <v>4398</v>
      </c>
      <c r="J364" s="4">
        <v>123</v>
      </c>
      <c r="K364" s="4">
        <f t="shared" ref="K364:K393" si="118">J364*30</f>
        <v>3690</v>
      </c>
      <c r="L364" s="4">
        <v>0</v>
      </c>
      <c r="M364" s="4">
        <v>0</v>
      </c>
      <c r="N364" s="4">
        <f t="shared" ref="N364:N369" si="119">K364+L364-M364</f>
        <v>3690</v>
      </c>
      <c r="O364" s="14">
        <f t="shared" ref="O364:O393" si="120">N364/E364</f>
        <v>0.83844580777096112</v>
      </c>
      <c r="P364" s="4">
        <v>11</v>
      </c>
      <c r="Q364" s="4">
        <f t="shared" ref="Q364:Q393" si="121">P364*50</f>
        <v>550</v>
      </c>
      <c r="R364" s="4">
        <f t="shared" ref="R364:R393" si="122">Q364*1000</f>
        <v>550000</v>
      </c>
      <c r="S364" s="4">
        <v>2900.26</v>
      </c>
      <c r="T364" s="4">
        <f t="shared" ref="T364:T393" si="123">P364*S364</f>
        <v>31902.86</v>
      </c>
      <c r="U364" s="4">
        <v>1861.92</v>
      </c>
      <c r="V364" s="4">
        <v>1200</v>
      </c>
    </row>
    <row r="365" spans="1:22" x14ac:dyDescent="0.35">
      <c r="A365" s="3">
        <v>67</v>
      </c>
      <c r="B365" s="2">
        <v>46175</v>
      </c>
      <c r="C365" s="4"/>
      <c r="D365" s="18"/>
      <c r="E365" s="4">
        <f>I364</f>
        <v>4398</v>
      </c>
      <c r="F365" s="4">
        <v>1</v>
      </c>
      <c r="G365" s="14">
        <f t="shared" si="116"/>
        <v>2.2737608003638017E-4</v>
      </c>
      <c r="H365" s="4"/>
      <c r="I365" s="4">
        <f t="shared" si="117"/>
        <v>4397</v>
      </c>
      <c r="J365" s="4">
        <v>123</v>
      </c>
      <c r="K365" s="4">
        <f t="shared" si="118"/>
        <v>3690</v>
      </c>
      <c r="L365" s="4">
        <v>1</v>
      </c>
      <c r="M365" s="4">
        <v>0</v>
      </c>
      <c r="N365" s="4">
        <f t="shared" si="119"/>
        <v>3691</v>
      </c>
      <c r="O365" s="14">
        <f t="shared" si="120"/>
        <v>0.83924511141427927</v>
      </c>
      <c r="P365" s="4">
        <v>11</v>
      </c>
      <c r="Q365" s="4">
        <f t="shared" si="121"/>
        <v>550</v>
      </c>
      <c r="R365" s="4">
        <f t="shared" si="122"/>
        <v>550000</v>
      </c>
      <c r="S365" s="4">
        <v>2900.26</v>
      </c>
      <c r="T365" s="4">
        <f t="shared" si="123"/>
        <v>31902.86</v>
      </c>
      <c r="U365" s="4">
        <v>1861.92</v>
      </c>
      <c r="V365" s="4">
        <v>1100</v>
      </c>
    </row>
    <row r="366" spans="1:22" x14ac:dyDescent="0.35">
      <c r="A366" s="3">
        <v>67</v>
      </c>
      <c r="B366" s="2">
        <v>46176</v>
      </c>
      <c r="C366" s="4"/>
      <c r="D366" s="18"/>
      <c r="E366" s="4">
        <f>I365</f>
        <v>4397</v>
      </c>
      <c r="F366" s="4">
        <v>1</v>
      </c>
      <c r="G366" s="14">
        <f t="shared" si="116"/>
        <v>2.2742779167614282E-4</v>
      </c>
      <c r="H366" s="4"/>
      <c r="I366" s="4">
        <f t="shared" si="117"/>
        <v>4396</v>
      </c>
      <c r="J366" s="4">
        <v>124</v>
      </c>
      <c r="K366" s="4">
        <f t="shared" si="118"/>
        <v>3720</v>
      </c>
      <c r="L366" s="4">
        <v>0</v>
      </c>
      <c r="M366" s="4">
        <v>0</v>
      </c>
      <c r="N366" s="4">
        <f t="shared" si="119"/>
        <v>3720</v>
      </c>
      <c r="O366" s="14">
        <f t="shared" si="120"/>
        <v>0.84603138503525133</v>
      </c>
      <c r="P366" s="4">
        <v>11</v>
      </c>
      <c r="Q366" s="4">
        <f t="shared" si="121"/>
        <v>550</v>
      </c>
      <c r="R366" s="4">
        <f t="shared" si="122"/>
        <v>550000</v>
      </c>
      <c r="S366" s="4">
        <v>2900.26</v>
      </c>
      <c r="T366" s="4">
        <f t="shared" si="123"/>
        <v>31902.86</v>
      </c>
      <c r="U366" s="4">
        <v>1861.92</v>
      </c>
      <c r="V366" s="4">
        <v>1100</v>
      </c>
    </row>
    <row r="367" spans="1:22" x14ac:dyDescent="0.35">
      <c r="A367" s="3">
        <v>67</v>
      </c>
      <c r="B367" s="2">
        <v>46177</v>
      </c>
      <c r="C367" s="4"/>
      <c r="D367" s="18"/>
      <c r="E367" s="4">
        <f>I366</f>
        <v>4396</v>
      </c>
      <c r="F367" s="4">
        <v>1</v>
      </c>
      <c r="G367" s="14">
        <f t="shared" si="116"/>
        <v>2.2747952684258417E-4</v>
      </c>
      <c r="H367" s="4"/>
      <c r="I367" s="4">
        <f t="shared" si="117"/>
        <v>4395</v>
      </c>
      <c r="J367" s="4">
        <v>123</v>
      </c>
      <c r="K367" s="4">
        <f t="shared" si="118"/>
        <v>3690</v>
      </c>
      <c r="L367" s="4">
        <v>0</v>
      </c>
      <c r="M367" s="4">
        <v>0</v>
      </c>
      <c r="N367" s="4">
        <f t="shared" si="119"/>
        <v>3690</v>
      </c>
      <c r="O367" s="14">
        <f t="shared" si="120"/>
        <v>0.83939945404913563</v>
      </c>
      <c r="P367" s="4">
        <v>11</v>
      </c>
      <c r="Q367" s="4">
        <f t="shared" si="121"/>
        <v>550</v>
      </c>
      <c r="R367" s="4">
        <f t="shared" si="122"/>
        <v>550000</v>
      </c>
      <c r="S367" s="4">
        <v>2900.26</v>
      </c>
      <c r="T367" s="4">
        <f t="shared" si="123"/>
        <v>31902.86</v>
      </c>
      <c r="U367" s="4">
        <v>1861.92</v>
      </c>
      <c r="V367" s="4">
        <v>1100</v>
      </c>
    </row>
    <row r="368" spans="1:22" x14ac:dyDescent="0.35">
      <c r="A368" s="3">
        <v>67</v>
      </c>
      <c r="B368" s="2">
        <v>46178</v>
      </c>
      <c r="C368" s="4"/>
      <c r="D368" s="18"/>
      <c r="E368" s="4">
        <f>I367</f>
        <v>4395</v>
      </c>
      <c r="F368" s="4">
        <v>2</v>
      </c>
      <c r="G368" s="14">
        <f t="shared" si="116"/>
        <v>4.5506257110352672E-4</v>
      </c>
      <c r="H368" s="4"/>
      <c r="I368" s="4">
        <f t="shared" si="117"/>
        <v>4393</v>
      </c>
      <c r="J368" s="4">
        <v>124</v>
      </c>
      <c r="K368" s="4">
        <f t="shared" si="118"/>
        <v>3720</v>
      </c>
      <c r="L368" s="4">
        <v>0</v>
      </c>
      <c r="M368" s="4">
        <v>0</v>
      </c>
      <c r="N368" s="4">
        <f t="shared" si="119"/>
        <v>3720</v>
      </c>
      <c r="O368" s="14">
        <f t="shared" si="120"/>
        <v>0.84641638225255977</v>
      </c>
      <c r="P368" s="4">
        <v>11</v>
      </c>
      <c r="Q368" s="4">
        <f t="shared" si="121"/>
        <v>550</v>
      </c>
      <c r="R368" s="4">
        <f t="shared" si="122"/>
        <v>550000</v>
      </c>
      <c r="S368" s="4">
        <v>2900.26</v>
      </c>
      <c r="T368" s="4">
        <f t="shared" si="123"/>
        <v>31902.86</v>
      </c>
      <c r="U368" s="4">
        <v>1861.92</v>
      </c>
      <c r="V368" s="4">
        <v>1000</v>
      </c>
    </row>
    <row r="369" spans="1:22" x14ac:dyDescent="0.35">
      <c r="A369" s="3">
        <v>67</v>
      </c>
      <c r="B369" s="2">
        <v>46179</v>
      </c>
      <c r="C369" s="4"/>
      <c r="D369" s="18"/>
      <c r="E369" s="4">
        <f t="shared" ref="E369:E379" si="124">I368</f>
        <v>4393</v>
      </c>
      <c r="F369" s="4">
        <v>2</v>
      </c>
      <c r="G369" s="14">
        <f t="shared" si="116"/>
        <v>4.5526974732529026E-4</v>
      </c>
      <c r="H369" s="4"/>
      <c r="I369" s="4">
        <f t="shared" si="117"/>
        <v>4391</v>
      </c>
      <c r="J369" s="4">
        <v>124</v>
      </c>
      <c r="K369" s="4">
        <f t="shared" si="118"/>
        <v>3720</v>
      </c>
      <c r="L369" s="4">
        <v>0</v>
      </c>
      <c r="M369" s="4">
        <v>0</v>
      </c>
      <c r="N369" s="4">
        <f t="shared" si="119"/>
        <v>3720</v>
      </c>
      <c r="O369" s="14">
        <f t="shared" si="120"/>
        <v>0.84680173002503989</v>
      </c>
      <c r="P369" s="4">
        <v>11</v>
      </c>
      <c r="Q369" s="4">
        <f t="shared" si="121"/>
        <v>550</v>
      </c>
      <c r="R369" s="4">
        <f t="shared" si="122"/>
        <v>550000</v>
      </c>
      <c r="S369" s="4">
        <v>2900.26</v>
      </c>
      <c r="T369" s="4">
        <f t="shared" si="123"/>
        <v>31902.86</v>
      </c>
      <c r="U369" s="4">
        <v>1861.92</v>
      </c>
      <c r="V369" s="4">
        <v>1200</v>
      </c>
    </row>
    <row r="370" spans="1:22" x14ac:dyDescent="0.35">
      <c r="A370" s="3">
        <v>67</v>
      </c>
      <c r="B370" s="2">
        <v>46180</v>
      </c>
      <c r="C370" s="4"/>
      <c r="D370" s="18"/>
      <c r="E370" s="4">
        <f t="shared" si="124"/>
        <v>4391</v>
      </c>
      <c r="F370" s="4">
        <v>1</v>
      </c>
      <c r="G370" s="14">
        <f t="shared" si="116"/>
        <v>2.2773855613755409E-4</v>
      </c>
      <c r="H370" s="4"/>
      <c r="I370" s="4">
        <f t="shared" si="117"/>
        <v>4390</v>
      </c>
      <c r="J370" s="4">
        <v>124</v>
      </c>
      <c r="K370" s="4">
        <f t="shared" si="118"/>
        <v>3720</v>
      </c>
      <c r="L370" s="4">
        <v>0</v>
      </c>
      <c r="M370" s="4">
        <v>0</v>
      </c>
      <c r="N370" s="4">
        <f>K370+L370-M370</f>
        <v>3720</v>
      </c>
      <c r="O370" s="14">
        <f t="shared" si="120"/>
        <v>0.84718742883170117</v>
      </c>
      <c r="P370" s="4">
        <v>11</v>
      </c>
      <c r="Q370" s="4">
        <f t="shared" si="121"/>
        <v>550</v>
      </c>
      <c r="R370" s="4">
        <f t="shared" si="122"/>
        <v>550000</v>
      </c>
      <c r="S370" s="4">
        <v>2900.26</v>
      </c>
      <c r="T370" s="4">
        <f t="shared" si="123"/>
        <v>31902.86</v>
      </c>
      <c r="U370" s="4">
        <v>1861.92</v>
      </c>
      <c r="V370" s="4">
        <v>1100</v>
      </c>
    </row>
    <row r="371" spans="1:22" x14ac:dyDescent="0.35">
      <c r="A371" s="3">
        <v>67</v>
      </c>
      <c r="B371" s="2">
        <v>46181</v>
      </c>
      <c r="C371" s="19"/>
      <c r="D371" s="19"/>
      <c r="E371" s="4">
        <f t="shared" si="124"/>
        <v>4390</v>
      </c>
      <c r="F371" s="4">
        <v>1</v>
      </c>
      <c r="G371" s="14">
        <f t="shared" si="116"/>
        <v>2.2779043280182233E-4</v>
      </c>
      <c r="H371" s="7"/>
      <c r="I371" s="4">
        <f t="shared" si="117"/>
        <v>4389</v>
      </c>
      <c r="J371" s="4">
        <v>124</v>
      </c>
      <c r="K371" s="4">
        <f t="shared" si="118"/>
        <v>3720</v>
      </c>
      <c r="L371" s="4">
        <v>0</v>
      </c>
      <c r="M371" s="4">
        <v>0</v>
      </c>
      <c r="N371" s="4">
        <f t="shared" ref="N371:N393" si="125">K371+L371-M371</f>
        <v>3720</v>
      </c>
      <c r="O371" s="14">
        <f t="shared" si="120"/>
        <v>0.84738041002277908</v>
      </c>
      <c r="P371" s="4">
        <v>11</v>
      </c>
      <c r="Q371" s="4">
        <f t="shared" si="121"/>
        <v>550</v>
      </c>
      <c r="R371" s="4">
        <f t="shared" si="122"/>
        <v>550000</v>
      </c>
      <c r="S371" s="4">
        <v>2900.26</v>
      </c>
      <c r="T371" s="4">
        <f t="shared" si="123"/>
        <v>31902.86</v>
      </c>
      <c r="U371" s="4">
        <v>1861.92</v>
      </c>
      <c r="V371" s="4">
        <v>1200</v>
      </c>
    </row>
    <row r="372" spans="1:22" x14ac:dyDescent="0.35">
      <c r="A372" s="3">
        <v>68</v>
      </c>
      <c r="B372" s="2">
        <v>46182</v>
      </c>
      <c r="C372" s="4"/>
      <c r="D372" s="18"/>
      <c r="E372" s="4">
        <f t="shared" si="124"/>
        <v>4389</v>
      </c>
      <c r="F372" s="4">
        <v>2</v>
      </c>
      <c r="G372" s="14">
        <f t="shared" si="116"/>
        <v>4.5568466621098198E-4</v>
      </c>
      <c r="H372" s="4"/>
      <c r="I372" s="4">
        <f t="shared" si="117"/>
        <v>4387</v>
      </c>
      <c r="J372" s="4">
        <v>124</v>
      </c>
      <c r="K372" s="4">
        <f t="shared" si="118"/>
        <v>3720</v>
      </c>
      <c r="L372" s="4">
        <v>0</v>
      </c>
      <c r="M372" s="4">
        <v>0</v>
      </c>
      <c r="N372" s="4">
        <f t="shared" si="125"/>
        <v>3720</v>
      </c>
      <c r="O372" s="14">
        <f t="shared" si="120"/>
        <v>0.84757347915242653</v>
      </c>
      <c r="P372" s="4">
        <v>11</v>
      </c>
      <c r="Q372" s="4">
        <f t="shared" si="121"/>
        <v>550</v>
      </c>
      <c r="R372" s="4">
        <f t="shared" si="122"/>
        <v>550000</v>
      </c>
      <c r="S372" s="4">
        <v>2900.26</v>
      </c>
      <c r="T372" s="4">
        <f t="shared" si="123"/>
        <v>31902.86</v>
      </c>
      <c r="U372" s="4">
        <v>1861.92</v>
      </c>
      <c r="V372" s="4">
        <v>1200</v>
      </c>
    </row>
    <row r="373" spans="1:22" x14ac:dyDescent="0.35">
      <c r="A373" s="3">
        <v>68</v>
      </c>
      <c r="B373" s="2">
        <v>46183</v>
      </c>
      <c r="C373" s="4"/>
      <c r="D373" s="18"/>
      <c r="E373" s="4">
        <f t="shared" si="124"/>
        <v>4387</v>
      </c>
      <c r="F373" s="4">
        <v>2</v>
      </c>
      <c r="G373" s="14">
        <f t="shared" si="116"/>
        <v>4.5589240939138365E-4</v>
      </c>
      <c r="H373" s="4"/>
      <c r="I373" s="4">
        <f t="shared" si="117"/>
        <v>4385</v>
      </c>
      <c r="J373" s="4">
        <v>124</v>
      </c>
      <c r="K373" s="4">
        <f t="shared" si="118"/>
        <v>3720</v>
      </c>
      <c r="L373" s="4">
        <v>0</v>
      </c>
      <c r="M373" s="4">
        <v>0</v>
      </c>
      <c r="N373" s="4">
        <f t="shared" si="125"/>
        <v>3720</v>
      </c>
      <c r="O373" s="14">
        <f t="shared" si="120"/>
        <v>0.84795988146797352</v>
      </c>
      <c r="P373" s="4">
        <v>11</v>
      </c>
      <c r="Q373" s="4">
        <f t="shared" si="121"/>
        <v>550</v>
      </c>
      <c r="R373" s="4">
        <f t="shared" si="122"/>
        <v>550000</v>
      </c>
      <c r="S373" s="4">
        <v>2900.26</v>
      </c>
      <c r="T373" s="4">
        <f t="shared" si="123"/>
        <v>31902.86</v>
      </c>
      <c r="U373" s="4">
        <v>1861.92</v>
      </c>
      <c r="V373" s="4">
        <v>1200</v>
      </c>
    </row>
    <row r="374" spans="1:22" x14ac:dyDescent="0.35">
      <c r="A374" s="3">
        <v>68</v>
      </c>
      <c r="B374" s="2">
        <v>46184</v>
      </c>
      <c r="C374" s="4"/>
      <c r="D374" s="18"/>
      <c r="E374" s="4">
        <f t="shared" si="124"/>
        <v>4385</v>
      </c>
      <c r="F374" s="4">
        <v>1</v>
      </c>
      <c r="G374" s="14">
        <f t="shared" si="116"/>
        <v>2.2805017103762827E-4</v>
      </c>
      <c r="H374" s="4"/>
      <c r="I374" s="4">
        <f t="shared" si="117"/>
        <v>4384</v>
      </c>
      <c r="J374" s="4">
        <v>122</v>
      </c>
      <c r="K374" s="4">
        <f t="shared" si="118"/>
        <v>3660</v>
      </c>
      <c r="L374" s="4">
        <v>0</v>
      </c>
      <c r="M374" s="4">
        <v>0</v>
      </c>
      <c r="N374" s="4">
        <f t="shared" si="125"/>
        <v>3660</v>
      </c>
      <c r="O374" s="14">
        <f t="shared" si="120"/>
        <v>0.83466362599771948</v>
      </c>
      <c r="P374" s="4">
        <v>11</v>
      </c>
      <c r="Q374" s="4">
        <f t="shared" si="121"/>
        <v>550</v>
      </c>
      <c r="R374" s="4">
        <f t="shared" si="122"/>
        <v>550000</v>
      </c>
      <c r="S374" s="4">
        <v>2900.26</v>
      </c>
      <c r="T374" s="4">
        <f t="shared" si="123"/>
        <v>31902.86</v>
      </c>
      <c r="U374" s="4">
        <v>1861.92</v>
      </c>
      <c r="V374" s="4">
        <v>1100</v>
      </c>
    </row>
    <row r="375" spans="1:22" x14ac:dyDescent="0.35">
      <c r="A375" s="3">
        <v>68</v>
      </c>
      <c r="B375" s="2">
        <v>46185</v>
      </c>
      <c r="C375" s="4"/>
      <c r="D375" s="18"/>
      <c r="E375" s="4">
        <f t="shared" si="124"/>
        <v>4384</v>
      </c>
      <c r="F375" s="4">
        <v>0</v>
      </c>
      <c r="G375" s="14">
        <f t="shared" si="116"/>
        <v>0</v>
      </c>
      <c r="H375" s="4"/>
      <c r="I375" s="4">
        <f t="shared" si="117"/>
        <v>4384</v>
      </c>
      <c r="J375" s="4">
        <v>124</v>
      </c>
      <c r="K375" s="4">
        <f t="shared" si="118"/>
        <v>3720</v>
      </c>
      <c r="L375" s="4">
        <v>0</v>
      </c>
      <c r="M375" s="4">
        <v>0</v>
      </c>
      <c r="N375" s="4">
        <f t="shared" si="125"/>
        <v>3720</v>
      </c>
      <c r="O375" s="14">
        <f t="shared" si="120"/>
        <v>0.84854014598540151</v>
      </c>
      <c r="P375" s="4">
        <v>11</v>
      </c>
      <c r="Q375" s="4">
        <f t="shared" si="121"/>
        <v>550</v>
      </c>
      <c r="R375" s="4">
        <f t="shared" si="122"/>
        <v>550000</v>
      </c>
      <c r="S375" s="4">
        <v>2900.26</v>
      </c>
      <c r="T375" s="4">
        <f t="shared" si="123"/>
        <v>31902.86</v>
      </c>
      <c r="U375" s="4">
        <v>1861.92</v>
      </c>
      <c r="V375" s="4">
        <v>1100</v>
      </c>
    </row>
    <row r="376" spans="1:22" x14ac:dyDescent="0.35">
      <c r="A376" s="3">
        <v>68</v>
      </c>
      <c r="B376" s="2">
        <v>46186</v>
      </c>
      <c r="C376" s="4"/>
      <c r="D376" s="18"/>
      <c r="E376" s="4">
        <f t="shared" si="124"/>
        <v>4384</v>
      </c>
      <c r="F376" s="4">
        <v>1</v>
      </c>
      <c r="G376" s="14">
        <f t="shared" si="116"/>
        <v>2.2810218978102189E-4</v>
      </c>
      <c r="H376" s="4"/>
      <c r="I376" s="4">
        <f t="shared" si="117"/>
        <v>4383</v>
      </c>
      <c r="J376" s="4">
        <v>123</v>
      </c>
      <c r="K376" s="4">
        <f t="shared" si="118"/>
        <v>3690</v>
      </c>
      <c r="L376" s="4">
        <v>0</v>
      </c>
      <c r="M376" s="4">
        <v>0</v>
      </c>
      <c r="N376" s="4">
        <f t="shared" si="125"/>
        <v>3690</v>
      </c>
      <c r="O376" s="14">
        <f t="shared" si="120"/>
        <v>0.84169708029197077</v>
      </c>
      <c r="P376" s="4">
        <v>11</v>
      </c>
      <c r="Q376" s="4">
        <f t="shared" si="121"/>
        <v>550</v>
      </c>
      <c r="R376" s="4">
        <f t="shared" si="122"/>
        <v>550000</v>
      </c>
      <c r="S376" s="4">
        <v>2922.26</v>
      </c>
      <c r="T376" s="4">
        <f t="shared" si="123"/>
        <v>32144.86</v>
      </c>
      <c r="U376" s="4">
        <v>1861.92</v>
      </c>
      <c r="V376" s="4">
        <v>1100</v>
      </c>
    </row>
    <row r="377" spans="1:22" x14ac:dyDescent="0.35">
      <c r="A377" s="3">
        <v>68</v>
      </c>
      <c r="B377" s="2">
        <v>46187</v>
      </c>
      <c r="C377" s="4"/>
      <c r="D377" s="18"/>
      <c r="E377" s="4">
        <f t="shared" si="124"/>
        <v>4383</v>
      </c>
      <c r="F377" s="4">
        <v>2</v>
      </c>
      <c r="G377" s="14">
        <f t="shared" si="116"/>
        <v>4.5630846452201688E-4</v>
      </c>
      <c r="H377" s="4"/>
      <c r="I377" s="4">
        <f t="shared" si="117"/>
        <v>4381</v>
      </c>
      <c r="J377" s="4">
        <v>122</v>
      </c>
      <c r="K377" s="4">
        <f t="shared" si="118"/>
        <v>3660</v>
      </c>
      <c r="L377" s="4">
        <v>0</v>
      </c>
      <c r="M377" s="4">
        <v>0</v>
      </c>
      <c r="N377" s="4">
        <f t="shared" si="125"/>
        <v>3660</v>
      </c>
      <c r="O377" s="14">
        <f t="shared" si="120"/>
        <v>0.83504449007529091</v>
      </c>
      <c r="P377" s="4">
        <v>11</v>
      </c>
      <c r="Q377" s="4">
        <f t="shared" si="121"/>
        <v>550</v>
      </c>
      <c r="R377" s="4">
        <f t="shared" si="122"/>
        <v>550000</v>
      </c>
      <c r="S377" s="4">
        <v>2922.26</v>
      </c>
      <c r="T377" s="4">
        <f t="shared" si="123"/>
        <v>32144.86</v>
      </c>
      <c r="U377" s="4">
        <v>1861.92</v>
      </c>
      <c r="V377" s="4">
        <v>1300</v>
      </c>
    </row>
    <row r="378" spans="1:22" x14ac:dyDescent="0.35">
      <c r="A378" s="3">
        <v>68</v>
      </c>
      <c r="B378" s="2">
        <v>46188</v>
      </c>
      <c r="C378" s="4"/>
      <c r="D378" s="18"/>
      <c r="E378" s="4">
        <f t="shared" si="124"/>
        <v>4381</v>
      </c>
      <c r="F378" s="4">
        <v>2</v>
      </c>
      <c r="G378" s="14">
        <f t="shared" si="116"/>
        <v>4.5651677699155445E-4</v>
      </c>
      <c r="H378" s="4"/>
      <c r="I378" s="4">
        <f t="shared" si="117"/>
        <v>4379</v>
      </c>
      <c r="J378" s="4">
        <v>122</v>
      </c>
      <c r="K378" s="4">
        <f t="shared" si="118"/>
        <v>3660</v>
      </c>
      <c r="L378" s="4">
        <v>0</v>
      </c>
      <c r="M378" s="4">
        <v>0</v>
      </c>
      <c r="N378" s="4">
        <f t="shared" si="125"/>
        <v>3660</v>
      </c>
      <c r="O378" s="14">
        <f t="shared" si="120"/>
        <v>0.83542570189454457</v>
      </c>
      <c r="P378" s="4">
        <v>11</v>
      </c>
      <c r="Q378" s="4">
        <f t="shared" si="121"/>
        <v>550</v>
      </c>
      <c r="R378" s="4">
        <f t="shared" si="122"/>
        <v>550000</v>
      </c>
      <c r="S378" s="4">
        <v>2922.26</v>
      </c>
      <c r="T378" s="4">
        <f t="shared" si="123"/>
        <v>32144.86</v>
      </c>
      <c r="U378" s="4">
        <v>1861.92</v>
      </c>
      <c r="V378" s="4">
        <v>2500</v>
      </c>
    </row>
    <row r="379" spans="1:22" x14ac:dyDescent="0.35">
      <c r="A379" s="3">
        <v>69</v>
      </c>
      <c r="B379" s="2">
        <v>46189</v>
      </c>
      <c r="C379" s="4"/>
      <c r="D379" s="18"/>
      <c r="E379" s="4">
        <f t="shared" si="124"/>
        <v>4379</v>
      </c>
      <c r="F379" s="4">
        <v>2</v>
      </c>
      <c r="G379" s="14">
        <f t="shared" si="116"/>
        <v>4.5672527974423386E-4</v>
      </c>
      <c r="H379" s="4"/>
      <c r="I379" s="4">
        <f t="shared" ref="I379:I391" si="126">E379-F379-H379</f>
        <v>4377</v>
      </c>
      <c r="J379" s="4">
        <v>122</v>
      </c>
      <c r="K379" s="4">
        <f t="shared" si="118"/>
        <v>3660</v>
      </c>
      <c r="L379" s="4">
        <v>0</v>
      </c>
      <c r="M379" s="4">
        <v>0</v>
      </c>
      <c r="N379" s="4">
        <f t="shared" si="125"/>
        <v>3660</v>
      </c>
      <c r="O379" s="14">
        <f t="shared" si="120"/>
        <v>0.83580726193194799</v>
      </c>
      <c r="P379" s="4">
        <v>11</v>
      </c>
      <c r="Q379" s="4">
        <f t="shared" si="121"/>
        <v>550</v>
      </c>
      <c r="R379" s="4">
        <f t="shared" si="122"/>
        <v>550000</v>
      </c>
      <c r="S379" s="4">
        <v>2922.26</v>
      </c>
      <c r="T379" s="4">
        <f t="shared" si="123"/>
        <v>32144.86</v>
      </c>
      <c r="U379" s="4">
        <v>1861.92</v>
      </c>
      <c r="V379" s="4">
        <v>1200</v>
      </c>
    </row>
    <row r="380" spans="1:22" x14ac:dyDescent="0.35">
      <c r="A380" s="3">
        <v>69</v>
      </c>
      <c r="B380" s="2">
        <v>46190</v>
      </c>
      <c r="C380" s="4"/>
      <c r="D380" s="18"/>
      <c r="E380" s="4">
        <f t="shared" ref="E380:E393" si="127">I379</f>
        <v>4377</v>
      </c>
      <c r="F380" s="4">
        <v>1</v>
      </c>
      <c r="G380" s="14">
        <f t="shared" si="116"/>
        <v>2.284669865204478E-4</v>
      </c>
      <c r="H380" s="4"/>
      <c r="I380" s="4">
        <f t="shared" si="126"/>
        <v>4376</v>
      </c>
      <c r="J380" s="4">
        <v>122</v>
      </c>
      <c r="K380" s="4">
        <f t="shared" si="118"/>
        <v>3660</v>
      </c>
      <c r="L380" s="4">
        <v>0</v>
      </c>
      <c r="M380" s="4">
        <v>0</v>
      </c>
      <c r="N380" s="4">
        <f t="shared" si="125"/>
        <v>3660</v>
      </c>
      <c r="O380" s="14">
        <f t="shared" si="120"/>
        <v>0.83618917066483889</v>
      </c>
      <c r="P380" s="4">
        <v>11</v>
      </c>
      <c r="Q380" s="4">
        <f t="shared" si="121"/>
        <v>550</v>
      </c>
      <c r="R380" s="4">
        <f t="shared" si="122"/>
        <v>550000</v>
      </c>
      <c r="S380" s="4">
        <v>2943.76</v>
      </c>
      <c r="T380" s="4">
        <f t="shared" si="123"/>
        <v>32381.360000000001</v>
      </c>
      <c r="U380" s="4">
        <v>1861.92</v>
      </c>
      <c r="V380" s="4">
        <v>1200</v>
      </c>
    </row>
    <row r="381" spans="1:22" x14ac:dyDescent="0.35">
      <c r="A381" s="3">
        <v>69</v>
      </c>
      <c r="B381" s="2">
        <v>46191</v>
      </c>
      <c r="C381" s="4"/>
      <c r="D381" s="18"/>
      <c r="E381" s="4">
        <f t="shared" si="127"/>
        <v>4376</v>
      </c>
      <c r="F381" s="4">
        <v>1</v>
      </c>
      <c r="G381" s="14">
        <f t="shared" si="116"/>
        <v>2.2851919561243144E-4</v>
      </c>
      <c r="H381" s="4"/>
      <c r="I381" s="4">
        <f t="shared" si="126"/>
        <v>4375</v>
      </c>
      <c r="J381" s="4">
        <v>122</v>
      </c>
      <c r="K381" s="4">
        <f t="shared" si="118"/>
        <v>3660</v>
      </c>
      <c r="L381" s="4">
        <v>0</v>
      </c>
      <c r="M381" s="4">
        <v>0</v>
      </c>
      <c r="N381" s="4">
        <f t="shared" si="125"/>
        <v>3660</v>
      </c>
      <c r="O381" s="14">
        <f t="shared" si="120"/>
        <v>0.83638025594149912</v>
      </c>
      <c r="P381" s="4">
        <v>11</v>
      </c>
      <c r="Q381" s="4">
        <f t="shared" si="121"/>
        <v>550</v>
      </c>
      <c r="R381" s="4">
        <f t="shared" si="122"/>
        <v>550000</v>
      </c>
      <c r="S381" s="4">
        <v>2943.76</v>
      </c>
      <c r="T381" s="4">
        <f t="shared" si="123"/>
        <v>32381.360000000001</v>
      </c>
      <c r="U381" s="4">
        <v>1861.92</v>
      </c>
      <c r="V381" s="4">
        <v>1100</v>
      </c>
    </row>
    <row r="382" spans="1:22" x14ac:dyDescent="0.35">
      <c r="A382" s="3">
        <v>69</v>
      </c>
      <c r="B382" s="2">
        <v>46192</v>
      </c>
      <c r="C382" s="4"/>
      <c r="D382" s="18"/>
      <c r="E382" s="4">
        <f t="shared" si="127"/>
        <v>4375</v>
      </c>
      <c r="F382" s="4">
        <v>2</v>
      </c>
      <c r="G382" s="14">
        <f t="shared" si="116"/>
        <v>4.5714285714285713E-4</v>
      </c>
      <c r="H382" s="4"/>
      <c r="I382" s="4">
        <f t="shared" si="126"/>
        <v>4373</v>
      </c>
      <c r="J382" s="4">
        <v>122</v>
      </c>
      <c r="K382" s="4">
        <f t="shared" si="118"/>
        <v>3660</v>
      </c>
      <c r="L382" s="4">
        <v>0</v>
      </c>
      <c r="M382" s="4">
        <v>0</v>
      </c>
      <c r="N382" s="4">
        <f t="shared" si="125"/>
        <v>3660</v>
      </c>
      <c r="O382" s="14">
        <f t="shared" si="120"/>
        <v>0.83657142857142852</v>
      </c>
      <c r="P382" s="4">
        <v>11</v>
      </c>
      <c r="Q382" s="4">
        <f t="shared" si="121"/>
        <v>550</v>
      </c>
      <c r="R382" s="4">
        <f t="shared" si="122"/>
        <v>550000</v>
      </c>
      <c r="S382" s="4">
        <v>2943.76</v>
      </c>
      <c r="T382" s="4">
        <f t="shared" si="123"/>
        <v>32381.360000000001</v>
      </c>
      <c r="U382" s="4">
        <v>1861.92</v>
      </c>
      <c r="V382" s="4">
        <v>1200</v>
      </c>
    </row>
    <row r="383" spans="1:22" x14ac:dyDescent="0.35">
      <c r="A383" s="3">
        <v>69</v>
      </c>
      <c r="B383" s="2">
        <v>46193</v>
      </c>
      <c r="C383" s="4"/>
      <c r="D383" s="18"/>
      <c r="E383" s="4">
        <f t="shared" si="127"/>
        <v>4373</v>
      </c>
      <c r="F383" s="4">
        <v>1</v>
      </c>
      <c r="G383" s="14">
        <f t="shared" si="116"/>
        <v>2.2867596615595701E-4</v>
      </c>
      <c r="H383" s="4"/>
      <c r="I383" s="4">
        <f t="shared" si="126"/>
        <v>4372</v>
      </c>
      <c r="J383" s="4">
        <v>122</v>
      </c>
      <c r="K383" s="4">
        <f t="shared" si="118"/>
        <v>3660</v>
      </c>
      <c r="L383" s="4">
        <v>0</v>
      </c>
      <c r="M383" s="4">
        <v>0</v>
      </c>
      <c r="N383" s="4">
        <f t="shared" si="125"/>
        <v>3660</v>
      </c>
      <c r="O383" s="14">
        <f t="shared" si="120"/>
        <v>0.83695403613080266</v>
      </c>
      <c r="P383" s="4">
        <v>11</v>
      </c>
      <c r="Q383" s="4">
        <f t="shared" si="121"/>
        <v>550</v>
      </c>
      <c r="R383" s="4">
        <f t="shared" si="122"/>
        <v>550000</v>
      </c>
      <c r="S383" s="4">
        <v>2918.26</v>
      </c>
      <c r="T383" s="4">
        <f t="shared" si="123"/>
        <v>32100.86</v>
      </c>
      <c r="U383" s="4">
        <v>1861.92</v>
      </c>
      <c r="V383" s="4">
        <v>1200</v>
      </c>
    </row>
    <row r="384" spans="1:22" x14ac:dyDescent="0.35">
      <c r="A384" s="3">
        <v>69</v>
      </c>
      <c r="B384" s="2">
        <v>46194</v>
      </c>
      <c r="C384" s="4"/>
      <c r="D384" s="18"/>
      <c r="E384" s="4">
        <f t="shared" si="127"/>
        <v>4372</v>
      </c>
      <c r="F384" s="4">
        <v>3</v>
      </c>
      <c r="G384" s="14">
        <f t="shared" si="116"/>
        <v>6.8618481244281794E-4</v>
      </c>
      <c r="H384" s="4"/>
      <c r="I384" s="4">
        <f t="shared" si="126"/>
        <v>4369</v>
      </c>
      <c r="J384" s="4">
        <v>122</v>
      </c>
      <c r="K384" s="4">
        <f t="shared" si="118"/>
        <v>3660</v>
      </c>
      <c r="L384" s="4">
        <v>0</v>
      </c>
      <c r="M384" s="4">
        <v>0</v>
      </c>
      <c r="N384" s="4">
        <f t="shared" si="125"/>
        <v>3660</v>
      </c>
      <c r="O384" s="14">
        <f t="shared" si="120"/>
        <v>0.83714547118023785</v>
      </c>
      <c r="P384" s="4">
        <v>11</v>
      </c>
      <c r="Q384" s="4">
        <f t="shared" si="121"/>
        <v>550</v>
      </c>
      <c r="R384" s="4">
        <f t="shared" si="122"/>
        <v>550000</v>
      </c>
      <c r="S384" s="4">
        <v>2918.26</v>
      </c>
      <c r="T384" s="4">
        <f t="shared" si="123"/>
        <v>32100.86</v>
      </c>
      <c r="U384" s="4">
        <v>1861.92</v>
      </c>
      <c r="V384" s="4">
        <v>800</v>
      </c>
    </row>
    <row r="385" spans="1:22" x14ac:dyDescent="0.35">
      <c r="A385" s="3">
        <v>69</v>
      </c>
      <c r="B385" s="2">
        <v>46195</v>
      </c>
      <c r="C385" s="4"/>
      <c r="D385" s="18"/>
      <c r="E385" s="4">
        <f t="shared" si="127"/>
        <v>4369</v>
      </c>
      <c r="F385" s="4">
        <v>2</v>
      </c>
      <c r="G385" s="14">
        <f t="shared" si="116"/>
        <v>4.5777065690089265E-4</v>
      </c>
      <c r="H385" s="4"/>
      <c r="I385" s="4">
        <f t="shared" si="126"/>
        <v>4367</v>
      </c>
      <c r="J385" s="4">
        <v>122</v>
      </c>
      <c r="K385" s="4">
        <f t="shared" si="118"/>
        <v>3660</v>
      </c>
      <c r="L385" s="4">
        <v>0</v>
      </c>
      <c r="M385" s="4">
        <v>0</v>
      </c>
      <c r="N385" s="4">
        <f t="shared" si="125"/>
        <v>3660</v>
      </c>
      <c r="O385" s="14">
        <f t="shared" si="120"/>
        <v>0.83772030212863358</v>
      </c>
      <c r="P385" s="4">
        <v>11</v>
      </c>
      <c r="Q385" s="4">
        <f t="shared" si="121"/>
        <v>550</v>
      </c>
      <c r="R385" s="4">
        <f t="shared" si="122"/>
        <v>550000</v>
      </c>
      <c r="S385" s="4">
        <v>2918.26</v>
      </c>
      <c r="T385" s="4">
        <f t="shared" si="123"/>
        <v>32100.86</v>
      </c>
      <c r="U385" s="4">
        <v>1861.92</v>
      </c>
      <c r="V385" s="4">
        <v>1300</v>
      </c>
    </row>
    <row r="386" spans="1:22" x14ac:dyDescent="0.35">
      <c r="A386" s="3">
        <v>70</v>
      </c>
      <c r="B386" s="2">
        <v>46196</v>
      </c>
      <c r="C386" s="4"/>
      <c r="D386" s="18"/>
      <c r="E386" s="4">
        <f t="shared" si="127"/>
        <v>4367</v>
      </c>
      <c r="F386" s="4">
        <v>2</v>
      </c>
      <c r="G386" s="14">
        <f t="shared" si="116"/>
        <v>4.5798030684680559E-4</v>
      </c>
      <c r="H386" s="4"/>
      <c r="I386" s="4">
        <f t="shared" si="126"/>
        <v>4365</v>
      </c>
      <c r="J386" s="4">
        <v>122</v>
      </c>
      <c r="K386" s="4">
        <f t="shared" si="118"/>
        <v>3660</v>
      </c>
      <c r="L386" s="4">
        <v>0</v>
      </c>
      <c r="M386" s="4">
        <v>0</v>
      </c>
      <c r="N386" s="4">
        <f t="shared" si="125"/>
        <v>3660</v>
      </c>
      <c r="O386" s="14">
        <f t="shared" si="120"/>
        <v>0.83810396152965427</v>
      </c>
      <c r="P386" s="4">
        <v>11</v>
      </c>
      <c r="Q386" s="4">
        <f t="shared" si="121"/>
        <v>550</v>
      </c>
      <c r="R386" s="4">
        <f t="shared" si="122"/>
        <v>550000</v>
      </c>
      <c r="S386" s="4">
        <v>2918.26</v>
      </c>
      <c r="T386" s="4">
        <f t="shared" si="123"/>
        <v>32100.86</v>
      </c>
      <c r="U386" s="4">
        <v>1861.92</v>
      </c>
      <c r="V386" s="4">
        <v>1100</v>
      </c>
    </row>
    <row r="387" spans="1:22" x14ac:dyDescent="0.35">
      <c r="A387" s="3">
        <v>70</v>
      </c>
      <c r="B387" s="2">
        <v>46197</v>
      </c>
      <c r="C387" s="4"/>
      <c r="D387" s="18"/>
      <c r="E387" s="4">
        <f t="shared" si="127"/>
        <v>4365</v>
      </c>
      <c r="F387" s="4">
        <v>2</v>
      </c>
      <c r="G387" s="14">
        <f t="shared" si="116"/>
        <v>4.5819014891179839E-4</v>
      </c>
      <c r="H387" s="4"/>
      <c r="I387" s="4">
        <f t="shared" si="126"/>
        <v>4363</v>
      </c>
      <c r="J387" s="4">
        <v>122</v>
      </c>
      <c r="K387" s="4">
        <f t="shared" si="118"/>
        <v>3660</v>
      </c>
      <c r="L387" s="4">
        <v>0</v>
      </c>
      <c r="M387" s="4">
        <v>0</v>
      </c>
      <c r="N387" s="4">
        <f t="shared" si="125"/>
        <v>3660</v>
      </c>
      <c r="O387" s="14">
        <f t="shared" si="120"/>
        <v>0.83848797250859108</v>
      </c>
      <c r="P387" s="4">
        <v>11</v>
      </c>
      <c r="Q387" s="4">
        <f t="shared" si="121"/>
        <v>550</v>
      </c>
      <c r="R387" s="4">
        <f t="shared" si="122"/>
        <v>550000</v>
      </c>
      <c r="S387" s="4">
        <v>2918.26</v>
      </c>
      <c r="T387" s="4">
        <f t="shared" si="123"/>
        <v>32100.86</v>
      </c>
      <c r="U387" s="4">
        <v>1861.92</v>
      </c>
      <c r="V387" s="4">
        <v>1100</v>
      </c>
    </row>
    <row r="388" spans="1:22" x14ac:dyDescent="0.35">
      <c r="A388" s="3">
        <v>70</v>
      </c>
      <c r="B388" s="2">
        <v>46198</v>
      </c>
      <c r="C388" s="4"/>
      <c r="D388" s="18"/>
      <c r="E388" s="4">
        <f t="shared" si="127"/>
        <v>4363</v>
      </c>
      <c r="F388" s="4">
        <v>1</v>
      </c>
      <c r="G388" s="14">
        <f t="shared" si="116"/>
        <v>2.2920009168003668E-4</v>
      </c>
      <c r="H388" s="4"/>
      <c r="I388" s="4">
        <f t="shared" si="126"/>
        <v>4362</v>
      </c>
      <c r="J388" s="4">
        <v>122</v>
      </c>
      <c r="K388" s="4">
        <f t="shared" si="118"/>
        <v>3660</v>
      </c>
      <c r="L388" s="4">
        <v>0</v>
      </c>
      <c r="M388" s="4">
        <v>0</v>
      </c>
      <c r="N388" s="4">
        <f t="shared" si="125"/>
        <v>3660</v>
      </c>
      <c r="O388" s="14">
        <f t="shared" si="120"/>
        <v>0.83887233554893426</v>
      </c>
      <c r="P388" s="4">
        <v>11</v>
      </c>
      <c r="Q388" s="4">
        <f t="shared" si="121"/>
        <v>550</v>
      </c>
      <c r="R388" s="4">
        <f t="shared" si="122"/>
        <v>550000</v>
      </c>
      <c r="S388" s="4">
        <v>2918.26</v>
      </c>
      <c r="T388" s="4">
        <f t="shared" si="123"/>
        <v>32100.86</v>
      </c>
      <c r="U388" s="4">
        <v>1861.92</v>
      </c>
      <c r="V388" s="4">
        <v>1100</v>
      </c>
    </row>
    <row r="389" spans="1:22" x14ac:dyDescent="0.35">
      <c r="A389" s="3">
        <v>70</v>
      </c>
      <c r="B389" s="2">
        <v>46199</v>
      </c>
      <c r="C389" s="4"/>
      <c r="D389" s="18"/>
      <c r="E389" s="4">
        <f t="shared" si="127"/>
        <v>4362</v>
      </c>
      <c r="F389" s="4">
        <v>1</v>
      </c>
      <c r="G389" s="14">
        <f t="shared" si="116"/>
        <v>2.2925263640531865E-4</v>
      </c>
      <c r="H389" s="4"/>
      <c r="I389" s="4">
        <f t="shared" si="126"/>
        <v>4361</v>
      </c>
      <c r="J389" s="4">
        <v>120</v>
      </c>
      <c r="K389" s="4">
        <f t="shared" si="118"/>
        <v>3600</v>
      </c>
      <c r="L389" s="4">
        <v>0</v>
      </c>
      <c r="M389" s="4">
        <v>0</v>
      </c>
      <c r="N389" s="4">
        <f t="shared" si="125"/>
        <v>3600</v>
      </c>
      <c r="O389" s="14">
        <f t="shared" si="120"/>
        <v>0.82530949105914719</v>
      </c>
      <c r="P389" s="4">
        <v>11</v>
      </c>
      <c r="Q389" s="4">
        <f t="shared" si="121"/>
        <v>550</v>
      </c>
      <c r="R389" s="4">
        <f t="shared" si="122"/>
        <v>550000</v>
      </c>
      <c r="S389" s="4">
        <v>2918.26</v>
      </c>
      <c r="T389" s="4">
        <f t="shared" si="123"/>
        <v>32100.86</v>
      </c>
      <c r="U389" s="4">
        <v>1861.92</v>
      </c>
      <c r="V389" s="4">
        <v>500</v>
      </c>
    </row>
    <row r="390" spans="1:22" x14ac:dyDescent="0.35">
      <c r="A390" s="3">
        <v>70</v>
      </c>
      <c r="B390" s="2">
        <v>46200</v>
      </c>
      <c r="C390" s="4"/>
      <c r="D390" s="18"/>
      <c r="E390" s="4">
        <f t="shared" si="127"/>
        <v>4361</v>
      </c>
      <c r="F390" s="4">
        <v>1</v>
      </c>
      <c r="G390" s="14">
        <f t="shared" si="116"/>
        <v>2.2930520522815867E-4</v>
      </c>
      <c r="H390" s="4"/>
      <c r="I390" s="4">
        <f t="shared" si="126"/>
        <v>4360</v>
      </c>
      <c r="J390" s="4">
        <v>122</v>
      </c>
      <c r="K390" s="4">
        <f t="shared" si="118"/>
        <v>3660</v>
      </c>
      <c r="L390" s="4">
        <v>0</v>
      </c>
      <c r="M390" s="4">
        <v>0</v>
      </c>
      <c r="N390" s="4">
        <f t="shared" si="125"/>
        <v>3660</v>
      </c>
      <c r="O390" s="14">
        <f t="shared" si="120"/>
        <v>0.83925705113506077</v>
      </c>
      <c r="P390" s="4">
        <v>11</v>
      </c>
      <c r="Q390" s="4">
        <f t="shared" si="121"/>
        <v>550</v>
      </c>
      <c r="R390" s="4">
        <f t="shared" si="122"/>
        <v>550000</v>
      </c>
      <c r="S390" s="4">
        <v>2918.26</v>
      </c>
      <c r="T390" s="4">
        <f t="shared" si="123"/>
        <v>32100.86</v>
      </c>
      <c r="U390" s="4">
        <v>1861.92</v>
      </c>
      <c r="V390" s="4">
        <v>1600</v>
      </c>
    </row>
    <row r="391" spans="1:22" x14ac:dyDescent="0.35">
      <c r="A391" s="3">
        <v>70</v>
      </c>
      <c r="B391" s="2">
        <v>46201</v>
      </c>
      <c r="C391" s="4"/>
      <c r="D391" s="18"/>
      <c r="E391" s="4">
        <f t="shared" si="127"/>
        <v>4360</v>
      </c>
      <c r="F391" s="4">
        <v>2</v>
      </c>
      <c r="G391" s="14">
        <f t="shared" si="116"/>
        <v>4.5871559633027525E-4</v>
      </c>
      <c r="H391" s="4"/>
      <c r="I391" s="4">
        <f t="shared" si="126"/>
        <v>4358</v>
      </c>
      <c r="J391" s="4">
        <v>122</v>
      </c>
      <c r="K391" s="4">
        <f t="shared" si="118"/>
        <v>3660</v>
      </c>
      <c r="L391" s="4">
        <v>0</v>
      </c>
      <c r="M391" s="4">
        <v>0</v>
      </c>
      <c r="N391" s="4">
        <f t="shared" si="125"/>
        <v>3660</v>
      </c>
      <c r="O391" s="14">
        <f t="shared" si="120"/>
        <v>0.83944954128440363</v>
      </c>
      <c r="P391" s="4">
        <v>11</v>
      </c>
      <c r="Q391" s="4">
        <f t="shared" si="121"/>
        <v>550</v>
      </c>
      <c r="R391" s="4">
        <f t="shared" si="122"/>
        <v>550000</v>
      </c>
      <c r="S391" s="4">
        <v>2918.26</v>
      </c>
      <c r="T391" s="4">
        <f t="shared" si="123"/>
        <v>32100.86</v>
      </c>
      <c r="U391" s="4">
        <v>1861.92</v>
      </c>
      <c r="V391" s="4">
        <v>1100</v>
      </c>
    </row>
    <row r="392" spans="1:22" x14ac:dyDescent="0.35">
      <c r="A392" s="3">
        <v>70</v>
      </c>
      <c r="B392" s="2">
        <v>46202</v>
      </c>
      <c r="C392" s="4"/>
      <c r="D392" s="18"/>
      <c r="E392" s="4">
        <f t="shared" si="127"/>
        <v>4358</v>
      </c>
      <c r="F392" s="4">
        <v>1</v>
      </c>
      <c r="G392" s="14">
        <f>F392/E392</f>
        <v>2.2946305644791189E-4</v>
      </c>
      <c r="H392" s="4"/>
      <c r="I392" s="4">
        <f>E392-F392-H392</f>
        <v>4357</v>
      </c>
      <c r="J392" s="4">
        <v>122</v>
      </c>
      <c r="K392" s="4">
        <f t="shared" si="118"/>
        <v>3660</v>
      </c>
      <c r="L392" s="4">
        <v>0</v>
      </c>
      <c r="M392" s="4">
        <v>0</v>
      </c>
      <c r="N392" s="4">
        <f t="shared" si="125"/>
        <v>3660</v>
      </c>
      <c r="O392" s="14">
        <f t="shared" si="120"/>
        <v>0.83983478659935751</v>
      </c>
      <c r="P392" s="4">
        <v>11</v>
      </c>
      <c r="Q392" s="4">
        <f t="shared" si="121"/>
        <v>550</v>
      </c>
      <c r="R392" s="4">
        <f t="shared" si="122"/>
        <v>550000</v>
      </c>
      <c r="S392" s="4">
        <v>2918.26</v>
      </c>
      <c r="T392" s="4">
        <f t="shared" si="123"/>
        <v>32100.86</v>
      </c>
      <c r="U392" s="4">
        <v>1861.92</v>
      </c>
      <c r="V392" s="4">
        <v>1000</v>
      </c>
    </row>
    <row r="393" spans="1:22" x14ac:dyDescent="0.35">
      <c r="A393" s="3">
        <v>71</v>
      </c>
      <c r="B393" s="2">
        <v>46203</v>
      </c>
      <c r="C393" s="4"/>
      <c r="D393" s="18"/>
      <c r="E393" s="4">
        <f t="shared" si="127"/>
        <v>4357</v>
      </c>
      <c r="F393" s="4">
        <v>1</v>
      </c>
      <c r="G393" s="14">
        <f>F393/E393</f>
        <v>2.2951572182694515E-4</v>
      </c>
      <c r="H393" s="4"/>
      <c r="I393" s="4">
        <f>E393-F393-H393</f>
        <v>4356</v>
      </c>
      <c r="J393" s="4">
        <v>121</v>
      </c>
      <c r="K393" s="4">
        <f t="shared" si="118"/>
        <v>3630</v>
      </c>
      <c r="L393" s="4">
        <v>0</v>
      </c>
      <c r="M393" s="4">
        <v>0</v>
      </c>
      <c r="N393" s="4">
        <f t="shared" si="125"/>
        <v>3630</v>
      </c>
      <c r="O393" s="14">
        <f t="shared" si="120"/>
        <v>0.83314207023181086</v>
      </c>
      <c r="P393" s="4">
        <v>11</v>
      </c>
      <c r="Q393" s="4">
        <f t="shared" si="121"/>
        <v>550</v>
      </c>
      <c r="R393" s="4">
        <f t="shared" si="122"/>
        <v>550000</v>
      </c>
      <c r="S393" s="4">
        <v>2918.26</v>
      </c>
      <c r="T393" s="4">
        <f t="shared" si="123"/>
        <v>32100.86</v>
      </c>
      <c r="U393" s="4">
        <v>1861.92</v>
      </c>
      <c r="V393" s="4">
        <v>2600</v>
      </c>
    </row>
    <row r="394" spans="1:22" x14ac:dyDescent="0.35">
      <c r="A394" s="3"/>
      <c r="B394" s="23"/>
      <c r="C394" s="4"/>
      <c r="D394" s="18"/>
      <c r="E394" s="4"/>
      <c r="F394" s="4"/>
      <c r="G394" s="14"/>
      <c r="H394" s="4"/>
      <c r="I394" s="4"/>
      <c r="J394" s="4"/>
      <c r="K394" s="4"/>
      <c r="L394" s="4"/>
      <c r="M394" s="4"/>
      <c r="N394" s="4"/>
      <c r="O394" s="14"/>
      <c r="P394" s="4"/>
      <c r="Q394" s="4"/>
      <c r="R394" s="4"/>
      <c r="S394" s="22"/>
      <c r="T394" s="4"/>
      <c r="U394" s="4"/>
      <c r="V394" s="4"/>
    </row>
    <row r="395" spans="1:22" x14ac:dyDescent="0.35">
      <c r="B395" s="37" t="s">
        <v>1</v>
      </c>
      <c r="C395" s="38" t="s">
        <v>19</v>
      </c>
      <c r="D395" s="38" t="s">
        <v>18</v>
      </c>
      <c r="E395" s="39" t="s">
        <v>2</v>
      </c>
      <c r="F395" s="40" t="s">
        <v>3</v>
      </c>
      <c r="G395" s="41" t="s">
        <v>4</v>
      </c>
      <c r="H395" s="40" t="s">
        <v>5</v>
      </c>
      <c r="I395" s="42" t="s">
        <v>6</v>
      </c>
      <c r="J395" s="43" t="s">
        <v>7</v>
      </c>
      <c r="K395" s="40" t="s">
        <v>8</v>
      </c>
      <c r="L395" s="40" t="s">
        <v>9</v>
      </c>
      <c r="M395" s="40" t="s">
        <v>10</v>
      </c>
      <c r="N395" s="40" t="s">
        <v>11</v>
      </c>
      <c r="O395" s="44" t="s">
        <v>12</v>
      </c>
      <c r="P395" s="43" t="s">
        <v>13</v>
      </c>
      <c r="Q395" s="40" t="s">
        <v>14</v>
      </c>
      <c r="R395" s="45" t="s">
        <v>15</v>
      </c>
      <c r="S395" s="46" t="s">
        <v>16</v>
      </c>
      <c r="T395" s="47" t="s">
        <v>17</v>
      </c>
      <c r="U395" s="48" t="s">
        <v>21</v>
      </c>
      <c r="V395" s="48" t="s">
        <v>23</v>
      </c>
    </row>
    <row r="396" spans="1:22" x14ac:dyDescent="0.35">
      <c r="A396" s="3">
        <v>71</v>
      </c>
      <c r="B396" s="2">
        <v>46204</v>
      </c>
      <c r="C396" s="18"/>
      <c r="D396" s="18"/>
      <c r="E396" s="4">
        <v>4356</v>
      </c>
      <c r="F396" s="4">
        <v>2</v>
      </c>
      <c r="G396" s="14">
        <f t="shared" ref="G396:G403" si="128">F396/E396</f>
        <v>4.591368227731864E-4</v>
      </c>
      <c r="H396" s="4"/>
      <c r="I396" s="4">
        <f t="shared" ref="I396:I403" si="129">E396-F396-H396</f>
        <v>4354</v>
      </c>
      <c r="J396" s="4">
        <v>120</v>
      </c>
      <c r="K396" s="4">
        <f t="shared" ref="K396:K426" si="130">J396*30</f>
        <v>3600</v>
      </c>
      <c r="L396" s="4">
        <v>0</v>
      </c>
      <c r="M396" s="4">
        <v>0</v>
      </c>
      <c r="N396" s="4">
        <f t="shared" ref="N396:N419" si="131">K396+L396-M396</f>
        <v>3600</v>
      </c>
      <c r="O396" s="14">
        <f t="shared" ref="O396:O426" si="132">N396/E396</f>
        <v>0.82644628099173556</v>
      </c>
      <c r="P396" s="4">
        <v>11</v>
      </c>
      <c r="Q396" s="4">
        <f t="shared" ref="Q396:Q426" si="133">P396*50</f>
        <v>550</v>
      </c>
      <c r="R396" s="4">
        <f t="shared" ref="R396:R403" si="134">Q396*1000</f>
        <v>550000</v>
      </c>
      <c r="S396" s="4">
        <v>2918.26</v>
      </c>
      <c r="T396" s="4">
        <f t="shared" ref="T396:T406" si="135">P396*S396</f>
        <v>32100.86</v>
      </c>
      <c r="U396" s="4">
        <v>1861.92</v>
      </c>
      <c r="V396" s="4">
        <v>1000</v>
      </c>
    </row>
    <row r="397" spans="1:22" x14ac:dyDescent="0.35">
      <c r="A397" s="3">
        <v>71</v>
      </c>
      <c r="B397" s="2">
        <v>46205</v>
      </c>
      <c r="C397" s="4"/>
      <c r="D397" s="18"/>
      <c r="E397" s="4">
        <f>I396</f>
        <v>4354</v>
      </c>
      <c r="F397" s="4">
        <v>2</v>
      </c>
      <c r="G397" s="14">
        <f t="shared" si="128"/>
        <v>4.5934772622875517E-4</v>
      </c>
      <c r="H397" s="4"/>
      <c r="I397" s="4">
        <f t="shared" si="129"/>
        <v>4352</v>
      </c>
      <c r="J397" s="4">
        <v>120</v>
      </c>
      <c r="K397" s="4">
        <f t="shared" si="130"/>
        <v>3600</v>
      </c>
      <c r="L397" s="4">
        <v>0</v>
      </c>
      <c r="M397" s="4">
        <v>0</v>
      </c>
      <c r="N397" s="4">
        <f t="shared" si="131"/>
        <v>3600</v>
      </c>
      <c r="O397" s="14">
        <f t="shared" si="132"/>
        <v>0.8268259072117593</v>
      </c>
      <c r="P397" s="4">
        <v>11</v>
      </c>
      <c r="Q397" s="4">
        <f t="shared" si="133"/>
        <v>550</v>
      </c>
      <c r="R397" s="4">
        <f t="shared" si="134"/>
        <v>550000</v>
      </c>
      <c r="S397" s="4">
        <v>2810.11</v>
      </c>
      <c r="T397" s="4">
        <f t="shared" si="135"/>
        <v>30911.210000000003</v>
      </c>
      <c r="U397" s="4">
        <v>1861.92</v>
      </c>
      <c r="V397" s="4">
        <v>1100</v>
      </c>
    </row>
    <row r="398" spans="1:22" x14ac:dyDescent="0.35">
      <c r="A398" s="3">
        <v>71</v>
      </c>
      <c r="B398" s="2">
        <v>46206</v>
      </c>
      <c r="C398" s="4"/>
      <c r="D398" s="18"/>
      <c r="E398" s="4">
        <f>I397</f>
        <v>4352</v>
      </c>
      <c r="F398" s="4">
        <v>1</v>
      </c>
      <c r="G398" s="14">
        <f t="shared" si="128"/>
        <v>2.2977941176470588E-4</v>
      </c>
      <c r="H398" s="4"/>
      <c r="I398" s="4">
        <f t="shared" si="129"/>
        <v>4351</v>
      </c>
      <c r="J398" s="4">
        <v>120</v>
      </c>
      <c r="K398" s="4">
        <f t="shared" si="130"/>
        <v>3600</v>
      </c>
      <c r="L398" s="4">
        <v>0</v>
      </c>
      <c r="M398" s="4">
        <v>0</v>
      </c>
      <c r="N398" s="4">
        <f t="shared" si="131"/>
        <v>3600</v>
      </c>
      <c r="O398" s="14">
        <f t="shared" si="132"/>
        <v>0.82720588235294112</v>
      </c>
      <c r="P398" s="4">
        <v>11</v>
      </c>
      <c r="Q398" s="4">
        <f t="shared" si="133"/>
        <v>550</v>
      </c>
      <c r="R398" s="4">
        <f t="shared" si="134"/>
        <v>550000</v>
      </c>
      <c r="S398" s="4">
        <v>2810.11</v>
      </c>
      <c r="T398" s="4">
        <f t="shared" si="135"/>
        <v>30911.210000000003</v>
      </c>
      <c r="U398" s="4">
        <v>1861.92</v>
      </c>
      <c r="V398" s="4">
        <v>1100</v>
      </c>
    </row>
    <row r="399" spans="1:22" x14ac:dyDescent="0.35">
      <c r="A399" s="3">
        <v>71</v>
      </c>
      <c r="B399" s="2">
        <v>46207</v>
      </c>
      <c r="C399" s="4"/>
      <c r="D399" s="18"/>
      <c r="E399" s="4">
        <f t="shared" ref="E399:E419" si="136">I398</f>
        <v>4351</v>
      </c>
      <c r="F399" s="4">
        <v>2</v>
      </c>
      <c r="G399" s="14">
        <f t="shared" si="128"/>
        <v>4.5966444495518271E-4</v>
      </c>
      <c r="H399" s="4"/>
      <c r="I399" s="4">
        <f t="shared" si="129"/>
        <v>4349</v>
      </c>
      <c r="J399" s="4">
        <v>120</v>
      </c>
      <c r="K399" s="4">
        <f t="shared" si="130"/>
        <v>3600</v>
      </c>
      <c r="L399" s="4">
        <v>0</v>
      </c>
      <c r="M399" s="4">
        <v>0</v>
      </c>
      <c r="N399" s="4">
        <f t="shared" si="131"/>
        <v>3600</v>
      </c>
      <c r="O399" s="14">
        <f t="shared" si="132"/>
        <v>0.82739600091932886</v>
      </c>
      <c r="P399" s="4">
        <v>11</v>
      </c>
      <c r="Q399" s="4">
        <f t="shared" si="133"/>
        <v>550</v>
      </c>
      <c r="R399" s="4">
        <f t="shared" si="134"/>
        <v>550000</v>
      </c>
      <c r="S399" s="4">
        <v>2827.36</v>
      </c>
      <c r="T399" s="4">
        <f t="shared" si="135"/>
        <v>31100.960000000003</v>
      </c>
      <c r="U399" s="4">
        <v>1861.92</v>
      </c>
      <c r="V399" s="4">
        <v>1200</v>
      </c>
    </row>
    <row r="400" spans="1:22" x14ac:dyDescent="0.35">
      <c r="A400" s="3">
        <v>71</v>
      </c>
      <c r="B400" s="2">
        <v>46208</v>
      </c>
      <c r="C400" s="4"/>
      <c r="D400" s="18"/>
      <c r="E400" s="4">
        <f t="shared" si="136"/>
        <v>4349</v>
      </c>
      <c r="F400" s="4">
        <v>2</v>
      </c>
      <c r="G400" s="14">
        <f t="shared" si="128"/>
        <v>4.5987583352494828E-4</v>
      </c>
      <c r="H400" s="4"/>
      <c r="I400" s="4">
        <f t="shared" si="129"/>
        <v>4347</v>
      </c>
      <c r="J400" s="4">
        <v>120</v>
      </c>
      <c r="K400" s="4">
        <f t="shared" si="130"/>
        <v>3600</v>
      </c>
      <c r="L400" s="4">
        <v>0</v>
      </c>
      <c r="M400" s="4">
        <v>0</v>
      </c>
      <c r="N400" s="4">
        <f t="shared" si="131"/>
        <v>3600</v>
      </c>
      <c r="O400" s="14">
        <f t="shared" si="132"/>
        <v>0.82777650034490691</v>
      </c>
      <c r="P400" s="4">
        <v>11</v>
      </c>
      <c r="Q400" s="4">
        <f t="shared" si="133"/>
        <v>550</v>
      </c>
      <c r="R400" s="4">
        <f t="shared" si="134"/>
        <v>550000</v>
      </c>
      <c r="S400" s="4">
        <v>2827.36</v>
      </c>
      <c r="T400" s="4">
        <f t="shared" si="135"/>
        <v>31100.960000000003</v>
      </c>
      <c r="U400" s="4">
        <v>1861.92</v>
      </c>
      <c r="V400" s="4">
        <v>1100</v>
      </c>
    </row>
    <row r="401" spans="1:22" x14ac:dyDescent="0.35">
      <c r="A401" s="3">
        <v>71</v>
      </c>
      <c r="B401" s="2">
        <v>46209</v>
      </c>
      <c r="C401" s="4"/>
      <c r="D401" s="18"/>
      <c r="E401" s="4">
        <f t="shared" si="136"/>
        <v>4347</v>
      </c>
      <c r="F401" s="4">
        <v>2</v>
      </c>
      <c r="G401" s="14">
        <f t="shared" si="128"/>
        <v>4.6008741660915573E-4</v>
      </c>
      <c r="H401" s="4"/>
      <c r="I401" s="4">
        <f t="shared" si="129"/>
        <v>4345</v>
      </c>
      <c r="J401" s="4">
        <v>120</v>
      </c>
      <c r="K401" s="4">
        <f t="shared" si="130"/>
        <v>3600</v>
      </c>
      <c r="L401" s="4">
        <v>0</v>
      </c>
      <c r="M401" s="4">
        <v>0</v>
      </c>
      <c r="N401" s="4">
        <f t="shared" si="131"/>
        <v>3600</v>
      </c>
      <c r="O401" s="14">
        <f t="shared" si="132"/>
        <v>0.82815734989648038</v>
      </c>
      <c r="P401" s="4">
        <v>10</v>
      </c>
      <c r="Q401" s="4">
        <f t="shared" si="133"/>
        <v>500</v>
      </c>
      <c r="R401" s="4">
        <f t="shared" si="134"/>
        <v>500000</v>
      </c>
      <c r="S401" s="4">
        <v>2827.36</v>
      </c>
      <c r="T401" s="4">
        <f t="shared" si="135"/>
        <v>28273.600000000002</v>
      </c>
      <c r="U401" s="4">
        <v>1861.92</v>
      </c>
      <c r="V401" s="4">
        <v>1100</v>
      </c>
    </row>
    <row r="402" spans="1:22" x14ac:dyDescent="0.35">
      <c r="A402" s="3">
        <v>72</v>
      </c>
      <c r="B402" s="2">
        <v>46210</v>
      </c>
      <c r="C402" s="4"/>
      <c r="D402" s="18"/>
      <c r="E402" s="4">
        <f t="shared" si="136"/>
        <v>4345</v>
      </c>
      <c r="F402" s="4">
        <v>2</v>
      </c>
      <c r="G402" s="14">
        <f t="shared" si="128"/>
        <v>4.6029919447640965E-4</v>
      </c>
      <c r="H402" s="4"/>
      <c r="I402" s="4">
        <f t="shared" si="129"/>
        <v>4343</v>
      </c>
      <c r="J402" s="4">
        <v>120</v>
      </c>
      <c r="K402" s="4">
        <f t="shared" si="130"/>
        <v>3600</v>
      </c>
      <c r="L402" s="4">
        <v>0</v>
      </c>
      <c r="M402" s="4">
        <v>0</v>
      </c>
      <c r="N402" s="4">
        <f t="shared" si="131"/>
        <v>3600</v>
      </c>
      <c r="O402" s="14">
        <f t="shared" si="132"/>
        <v>0.8285385500575374</v>
      </c>
      <c r="P402" s="4">
        <v>10</v>
      </c>
      <c r="Q402" s="4">
        <f t="shared" si="133"/>
        <v>500</v>
      </c>
      <c r="R402" s="4">
        <f t="shared" si="134"/>
        <v>500000</v>
      </c>
      <c r="S402" s="4">
        <v>2827.36</v>
      </c>
      <c r="T402" s="4">
        <f t="shared" si="135"/>
        <v>28273.600000000002</v>
      </c>
      <c r="U402" s="4">
        <v>1861.92</v>
      </c>
      <c r="V402" s="4">
        <v>1100</v>
      </c>
    </row>
    <row r="403" spans="1:22" x14ac:dyDescent="0.35">
      <c r="A403" s="3">
        <v>72</v>
      </c>
      <c r="B403" s="2">
        <v>46211</v>
      </c>
      <c r="C403" s="4"/>
      <c r="D403" s="18"/>
      <c r="E403" s="4">
        <f t="shared" si="136"/>
        <v>4343</v>
      </c>
      <c r="F403" s="4">
        <v>1</v>
      </c>
      <c r="G403" s="14">
        <f t="shared" si="128"/>
        <v>2.3025558369790466E-4</v>
      </c>
      <c r="H403" s="4"/>
      <c r="I403" s="4">
        <f t="shared" si="129"/>
        <v>4342</v>
      </c>
      <c r="J403" s="4">
        <v>119</v>
      </c>
      <c r="K403" s="4">
        <f t="shared" si="130"/>
        <v>3570</v>
      </c>
      <c r="L403" s="4">
        <v>0</v>
      </c>
      <c r="M403" s="4">
        <v>0</v>
      </c>
      <c r="N403" s="4">
        <f t="shared" si="131"/>
        <v>3570</v>
      </c>
      <c r="O403" s="14">
        <f t="shared" si="132"/>
        <v>0.82201243380151967</v>
      </c>
      <c r="P403" s="4">
        <v>10</v>
      </c>
      <c r="Q403" s="4">
        <f t="shared" si="133"/>
        <v>500</v>
      </c>
      <c r="R403" s="4">
        <f t="shared" si="134"/>
        <v>500000</v>
      </c>
      <c r="S403" s="4">
        <v>2827.36</v>
      </c>
      <c r="T403" s="4">
        <f t="shared" si="135"/>
        <v>28273.600000000002</v>
      </c>
      <c r="U403" s="4">
        <v>1861.92</v>
      </c>
      <c r="V403" s="4">
        <v>1200</v>
      </c>
    </row>
    <row r="404" spans="1:22" x14ac:dyDescent="0.35">
      <c r="A404" s="3">
        <v>72</v>
      </c>
      <c r="B404" s="2">
        <v>46212</v>
      </c>
      <c r="C404" s="19"/>
      <c r="D404" s="19"/>
      <c r="E404" s="4">
        <f t="shared" si="136"/>
        <v>4342</v>
      </c>
      <c r="F404" s="4">
        <v>2</v>
      </c>
      <c r="G404" s="14">
        <f>F404/E404</f>
        <v>4.6061722708429296E-4</v>
      </c>
      <c r="H404" s="7"/>
      <c r="I404" s="4">
        <f>E404-F404-H404</f>
        <v>4340</v>
      </c>
      <c r="J404" s="4">
        <v>119</v>
      </c>
      <c r="K404" s="4">
        <f t="shared" si="130"/>
        <v>3570</v>
      </c>
      <c r="L404" s="4">
        <v>0</v>
      </c>
      <c r="M404" s="4">
        <v>0</v>
      </c>
      <c r="N404" s="4">
        <f t="shared" si="131"/>
        <v>3570</v>
      </c>
      <c r="O404" s="14">
        <f t="shared" si="132"/>
        <v>0.82220175034546295</v>
      </c>
      <c r="P404" s="4">
        <v>10</v>
      </c>
      <c r="Q404" s="4">
        <f t="shared" si="133"/>
        <v>500</v>
      </c>
      <c r="R404" s="4">
        <f>Q404*1000</f>
        <v>500000</v>
      </c>
      <c r="S404" s="4">
        <v>2827.36</v>
      </c>
      <c r="T404" s="4">
        <f t="shared" si="135"/>
        <v>28273.600000000002</v>
      </c>
      <c r="U404" s="4">
        <v>1861.92</v>
      </c>
      <c r="V404" s="4">
        <v>1100</v>
      </c>
    </row>
    <row r="405" spans="1:22" x14ac:dyDescent="0.35">
      <c r="A405" s="3">
        <v>72</v>
      </c>
      <c r="B405" s="2">
        <v>46213</v>
      </c>
      <c r="C405" s="4"/>
      <c r="D405" s="18"/>
      <c r="E405" s="4">
        <f t="shared" si="136"/>
        <v>4340</v>
      </c>
      <c r="F405" s="4">
        <v>0</v>
      </c>
      <c r="G405" s="14">
        <f>F405/E405</f>
        <v>0</v>
      </c>
      <c r="H405" s="4"/>
      <c r="I405" s="4">
        <f>E405-F405-H405</f>
        <v>4340</v>
      </c>
      <c r="J405" s="4">
        <v>120</v>
      </c>
      <c r="K405" s="4">
        <f t="shared" si="130"/>
        <v>3600</v>
      </c>
      <c r="L405" s="4">
        <v>0</v>
      </c>
      <c r="M405" s="4">
        <v>0</v>
      </c>
      <c r="N405" s="4">
        <f t="shared" si="131"/>
        <v>3600</v>
      </c>
      <c r="O405" s="14">
        <f t="shared" si="132"/>
        <v>0.82949308755760365</v>
      </c>
      <c r="P405" s="4">
        <v>10</v>
      </c>
      <c r="Q405" s="4">
        <f t="shared" si="133"/>
        <v>500</v>
      </c>
      <c r="R405" s="4">
        <f>Q405*1000</f>
        <v>500000</v>
      </c>
      <c r="S405" s="4">
        <v>2827.36</v>
      </c>
      <c r="T405" s="4">
        <f t="shared" si="135"/>
        <v>28273.600000000002</v>
      </c>
      <c r="U405" s="4">
        <v>1861.92</v>
      </c>
      <c r="V405" s="4">
        <v>1200</v>
      </c>
    </row>
    <row r="406" spans="1:22" x14ac:dyDescent="0.35">
      <c r="A406" s="3">
        <v>72</v>
      </c>
      <c r="B406" s="2">
        <v>46214</v>
      </c>
      <c r="C406" s="4"/>
      <c r="D406" s="18"/>
      <c r="E406" s="4">
        <f t="shared" si="136"/>
        <v>4340</v>
      </c>
      <c r="F406" s="4">
        <v>0</v>
      </c>
      <c r="G406" s="14">
        <f t="shared" ref="G406:G426" si="137">F406/E406</f>
        <v>0</v>
      </c>
      <c r="H406" s="4"/>
      <c r="I406" s="4">
        <f t="shared" ref="I406:I426" si="138">E406-F406-H406</f>
        <v>4340</v>
      </c>
      <c r="J406" s="4">
        <v>120</v>
      </c>
      <c r="K406" s="4">
        <f t="shared" si="130"/>
        <v>3600</v>
      </c>
      <c r="L406" s="4">
        <v>0</v>
      </c>
      <c r="M406" s="4">
        <v>0</v>
      </c>
      <c r="N406" s="4">
        <f t="shared" si="131"/>
        <v>3600</v>
      </c>
      <c r="O406" s="14">
        <f t="shared" si="132"/>
        <v>0.82949308755760365</v>
      </c>
      <c r="P406" s="4">
        <v>10</v>
      </c>
      <c r="Q406" s="4">
        <f t="shared" si="133"/>
        <v>500</v>
      </c>
      <c r="R406" s="4">
        <f t="shared" ref="R406:R426" si="139">Q406*1000</f>
        <v>500000</v>
      </c>
      <c r="S406" s="4">
        <v>2827.36</v>
      </c>
      <c r="T406" s="4">
        <f t="shared" si="135"/>
        <v>28273.600000000002</v>
      </c>
      <c r="U406" s="4">
        <v>1861.92</v>
      </c>
      <c r="V406" s="4">
        <v>1200</v>
      </c>
    </row>
    <row r="407" spans="1:22" x14ac:dyDescent="0.35">
      <c r="A407" s="3">
        <v>72</v>
      </c>
      <c r="B407" s="2">
        <v>46215</v>
      </c>
      <c r="C407" s="4"/>
      <c r="D407" s="18"/>
      <c r="E407" s="4">
        <f t="shared" si="136"/>
        <v>4340</v>
      </c>
      <c r="F407" s="4">
        <v>2</v>
      </c>
      <c r="G407" s="14">
        <f t="shared" si="137"/>
        <v>4.608294930875576E-4</v>
      </c>
      <c r="H407" s="4"/>
      <c r="I407" s="4">
        <f t="shared" si="138"/>
        <v>4338</v>
      </c>
      <c r="J407" s="4">
        <v>117</v>
      </c>
      <c r="K407" s="4">
        <f t="shared" si="130"/>
        <v>3510</v>
      </c>
      <c r="L407" s="4">
        <v>0</v>
      </c>
      <c r="M407" s="4">
        <v>0</v>
      </c>
      <c r="N407" s="4">
        <f t="shared" si="131"/>
        <v>3510</v>
      </c>
      <c r="O407" s="14">
        <f t="shared" si="132"/>
        <v>0.80875576036866359</v>
      </c>
      <c r="P407" s="4">
        <v>10</v>
      </c>
      <c r="Q407" s="4">
        <f t="shared" si="133"/>
        <v>500</v>
      </c>
      <c r="R407" s="4">
        <f t="shared" si="139"/>
        <v>500000</v>
      </c>
      <c r="S407" s="4">
        <v>2827.36</v>
      </c>
      <c r="T407" s="4">
        <f t="shared" ref="T407:T426" si="140">P407*S407</f>
        <v>28273.600000000002</v>
      </c>
      <c r="U407" s="4">
        <v>1861.92</v>
      </c>
      <c r="V407" s="4">
        <v>1100</v>
      </c>
    </row>
    <row r="408" spans="1:22" x14ac:dyDescent="0.35">
      <c r="A408" s="3">
        <v>72</v>
      </c>
      <c r="B408" s="2">
        <v>46216</v>
      </c>
      <c r="C408" s="4"/>
      <c r="D408" s="18"/>
      <c r="E408" s="4">
        <f t="shared" si="136"/>
        <v>4338</v>
      </c>
      <c r="F408" s="4">
        <v>2</v>
      </c>
      <c r="G408" s="14">
        <f t="shared" si="137"/>
        <v>4.6104195481788842E-4</v>
      </c>
      <c r="H408" s="4"/>
      <c r="I408" s="4">
        <f t="shared" si="138"/>
        <v>4336</v>
      </c>
      <c r="J408" s="4">
        <v>119</v>
      </c>
      <c r="K408" s="4">
        <f t="shared" si="130"/>
        <v>3570</v>
      </c>
      <c r="L408" s="4">
        <v>0</v>
      </c>
      <c r="M408" s="4">
        <v>0</v>
      </c>
      <c r="N408" s="4">
        <f t="shared" si="131"/>
        <v>3570</v>
      </c>
      <c r="O408" s="14">
        <f t="shared" si="132"/>
        <v>0.82295988934993081</v>
      </c>
      <c r="P408" s="4">
        <v>10</v>
      </c>
      <c r="Q408" s="4">
        <f t="shared" si="133"/>
        <v>500</v>
      </c>
      <c r="R408" s="4">
        <f t="shared" si="139"/>
        <v>500000</v>
      </c>
      <c r="S408" s="4">
        <v>2827.36</v>
      </c>
      <c r="T408" s="4">
        <f t="shared" si="140"/>
        <v>28273.600000000002</v>
      </c>
      <c r="U408" s="4">
        <v>1861.92</v>
      </c>
      <c r="V408" s="4">
        <v>1200</v>
      </c>
    </row>
    <row r="409" spans="1:22" x14ac:dyDescent="0.35">
      <c r="A409" s="3">
        <v>73</v>
      </c>
      <c r="B409" s="2">
        <v>46217</v>
      </c>
      <c r="C409" s="4"/>
      <c r="D409" s="18"/>
      <c r="E409" s="4">
        <f t="shared" si="136"/>
        <v>4336</v>
      </c>
      <c r="F409" s="4">
        <v>1</v>
      </c>
      <c r="G409" s="14">
        <f t="shared" si="137"/>
        <v>2.3062730627306272E-4</v>
      </c>
      <c r="H409" s="4"/>
      <c r="I409" s="4">
        <f t="shared" si="138"/>
        <v>4335</v>
      </c>
      <c r="J409" s="4">
        <v>118</v>
      </c>
      <c r="K409" s="4">
        <f t="shared" si="130"/>
        <v>3540</v>
      </c>
      <c r="L409" s="4">
        <v>0</v>
      </c>
      <c r="M409" s="4">
        <v>0</v>
      </c>
      <c r="N409" s="4">
        <f t="shared" si="131"/>
        <v>3540</v>
      </c>
      <c r="O409" s="14">
        <f t="shared" si="132"/>
        <v>0.81642066420664205</v>
      </c>
      <c r="P409" s="4">
        <v>10</v>
      </c>
      <c r="Q409" s="4">
        <f t="shared" si="133"/>
        <v>500</v>
      </c>
      <c r="R409" s="4">
        <f t="shared" si="139"/>
        <v>500000</v>
      </c>
      <c r="S409" s="4">
        <v>2827.36</v>
      </c>
      <c r="T409" s="4">
        <f t="shared" si="140"/>
        <v>28273.600000000002</v>
      </c>
      <c r="U409" s="4">
        <v>1861.92</v>
      </c>
      <c r="V409" s="4">
        <v>2300</v>
      </c>
    </row>
    <row r="410" spans="1:22" x14ac:dyDescent="0.35">
      <c r="A410" s="3">
        <v>73</v>
      </c>
      <c r="B410" s="2">
        <v>46218</v>
      </c>
      <c r="C410" s="4"/>
      <c r="D410" s="18"/>
      <c r="E410" s="4">
        <f t="shared" si="136"/>
        <v>4335</v>
      </c>
      <c r="F410" s="4">
        <v>2</v>
      </c>
      <c r="G410" s="14">
        <f t="shared" si="137"/>
        <v>4.6136101499423299E-4</v>
      </c>
      <c r="H410" s="4"/>
      <c r="I410" s="4">
        <f t="shared" si="138"/>
        <v>4333</v>
      </c>
      <c r="J410" s="4">
        <v>118</v>
      </c>
      <c r="K410" s="4">
        <f t="shared" si="130"/>
        <v>3540</v>
      </c>
      <c r="L410" s="4">
        <v>0</v>
      </c>
      <c r="M410" s="4">
        <v>0</v>
      </c>
      <c r="N410" s="4">
        <f t="shared" si="131"/>
        <v>3540</v>
      </c>
      <c r="O410" s="14">
        <f t="shared" si="132"/>
        <v>0.81660899653979235</v>
      </c>
      <c r="P410" s="4">
        <v>10</v>
      </c>
      <c r="Q410" s="4">
        <f t="shared" si="133"/>
        <v>500</v>
      </c>
      <c r="R410" s="4">
        <f t="shared" si="139"/>
        <v>500000</v>
      </c>
      <c r="S410" s="4">
        <v>2838.96</v>
      </c>
      <c r="T410" s="4">
        <f t="shared" si="140"/>
        <v>28389.599999999999</v>
      </c>
      <c r="U410" s="4">
        <v>1861.92</v>
      </c>
      <c r="V410" s="4">
        <v>1200</v>
      </c>
    </row>
    <row r="411" spans="1:22" x14ac:dyDescent="0.35">
      <c r="A411" s="3">
        <v>73</v>
      </c>
      <c r="B411" s="2">
        <v>46219</v>
      </c>
      <c r="C411" s="4"/>
      <c r="D411" s="18"/>
      <c r="E411" s="4">
        <f t="shared" si="136"/>
        <v>4333</v>
      </c>
      <c r="F411" s="4">
        <v>2</v>
      </c>
      <c r="G411" s="14">
        <f t="shared" si="137"/>
        <v>4.6157396722824835E-4</v>
      </c>
      <c r="H411" s="4"/>
      <c r="I411" s="4">
        <f t="shared" si="138"/>
        <v>4331</v>
      </c>
      <c r="J411" s="4">
        <v>118</v>
      </c>
      <c r="K411" s="4">
        <f t="shared" si="130"/>
        <v>3540</v>
      </c>
      <c r="L411" s="4">
        <v>0</v>
      </c>
      <c r="M411" s="4">
        <v>0</v>
      </c>
      <c r="N411" s="4">
        <f t="shared" si="131"/>
        <v>3540</v>
      </c>
      <c r="O411" s="14">
        <f t="shared" si="132"/>
        <v>0.81698592199399955</v>
      </c>
      <c r="P411" s="4">
        <v>10</v>
      </c>
      <c r="Q411" s="4">
        <f t="shared" si="133"/>
        <v>500</v>
      </c>
      <c r="R411" s="4">
        <f t="shared" si="139"/>
        <v>500000</v>
      </c>
      <c r="S411" s="4">
        <v>2838.96</v>
      </c>
      <c r="T411" s="4">
        <f t="shared" si="140"/>
        <v>28389.599999999999</v>
      </c>
      <c r="U411" s="4">
        <v>1861.92</v>
      </c>
      <c r="V411" s="4">
        <v>1000</v>
      </c>
    </row>
    <row r="412" spans="1:22" x14ac:dyDescent="0.35">
      <c r="A412" s="3">
        <v>73</v>
      </c>
      <c r="B412" s="2">
        <v>46220</v>
      </c>
      <c r="C412" s="4"/>
      <c r="D412" s="18"/>
      <c r="E412" s="4">
        <f t="shared" si="136"/>
        <v>4331</v>
      </c>
      <c r="F412" s="4">
        <v>3</v>
      </c>
      <c r="G412" s="14">
        <f t="shared" si="137"/>
        <v>6.9268067420918955E-4</v>
      </c>
      <c r="H412" s="4"/>
      <c r="I412" s="4">
        <f t="shared" si="138"/>
        <v>4328</v>
      </c>
      <c r="J412" s="4">
        <v>118</v>
      </c>
      <c r="K412" s="4">
        <f t="shared" si="130"/>
        <v>3540</v>
      </c>
      <c r="L412" s="4">
        <v>0</v>
      </c>
      <c r="M412" s="4">
        <v>0</v>
      </c>
      <c r="N412" s="4">
        <f t="shared" si="131"/>
        <v>3540</v>
      </c>
      <c r="O412" s="14">
        <f t="shared" si="132"/>
        <v>0.81736319556684367</v>
      </c>
      <c r="P412" s="4">
        <v>10</v>
      </c>
      <c r="Q412" s="4">
        <f t="shared" si="133"/>
        <v>500</v>
      </c>
      <c r="R412" s="4">
        <f t="shared" si="139"/>
        <v>500000</v>
      </c>
      <c r="S412" s="4">
        <v>2838.96</v>
      </c>
      <c r="T412" s="4">
        <f t="shared" si="140"/>
        <v>28389.599999999999</v>
      </c>
      <c r="U412" s="4">
        <v>1861.92</v>
      </c>
      <c r="V412" s="4">
        <v>1100</v>
      </c>
    </row>
    <row r="413" spans="1:22" x14ac:dyDescent="0.35">
      <c r="A413" s="3">
        <v>73</v>
      </c>
      <c r="B413" s="2">
        <v>46221</v>
      </c>
      <c r="C413" s="4"/>
      <c r="D413" s="18"/>
      <c r="E413" s="4">
        <f t="shared" si="136"/>
        <v>4328</v>
      </c>
      <c r="F413" s="4">
        <v>2</v>
      </c>
      <c r="G413" s="14">
        <f t="shared" si="137"/>
        <v>4.621072088724584E-4</v>
      </c>
      <c r="H413" s="4"/>
      <c r="I413" s="4">
        <f t="shared" si="138"/>
        <v>4326</v>
      </c>
      <c r="J413" s="4">
        <v>118</v>
      </c>
      <c r="K413" s="4">
        <f t="shared" si="130"/>
        <v>3540</v>
      </c>
      <c r="L413" s="4">
        <v>0</v>
      </c>
      <c r="M413" s="4">
        <v>0</v>
      </c>
      <c r="N413" s="4">
        <f t="shared" si="131"/>
        <v>3540</v>
      </c>
      <c r="O413" s="14">
        <f t="shared" si="132"/>
        <v>0.81792975970425141</v>
      </c>
      <c r="P413" s="4">
        <v>10</v>
      </c>
      <c r="Q413" s="4">
        <f t="shared" si="133"/>
        <v>500</v>
      </c>
      <c r="R413" s="4">
        <f t="shared" si="139"/>
        <v>500000</v>
      </c>
      <c r="S413" s="4">
        <v>2838.96</v>
      </c>
      <c r="T413" s="4">
        <f t="shared" si="140"/>
        <v>28389.599999999999</v>
      </c>
      <c r="U413" s="4">
        <v>1861.92</v>
      </c>
      <c r="V413" s="4">
        <v>1100</v>
      </c>
    </row>
    <row r="414" spans="1:22" x14ac:dyDescent="0.35">
      <c r="A414" s="3">
        <v>73</v>
      </c>
      <c r="B414" s="2">
        <v>46222</v>
      </c>
      <c r="C414" s="4"/>
      <c r="D414" s="18"/>
      <c r="E414" s="4">
        <f t="shared" si="136"/>
        <v>4326</v>
      </c>
      <c r="F414" s="4">
        <v>2</v>
      </c>
      <c r="G414" s="14">
        <f t="shared" si="137"/>
        <v>4.6232085067036521E-4</v>
      </c>
      <c r="H414" s="4"/>
      <c r="I414" s="4">
        <f t="shared" si="138"/>
        <v>4324</v>
      </c>
      <c r="J414" s="4">
        <v>118</v>
      </c>
      <c r="K414" s="4">
        <f t="shared" si="130"/>
        <v>3540</v>
      </c>
      <c r="L414" s="4">
        <v>0</v>
      </c>
      <c r="M414" s="4">
        <v>0</v>
      </c>
      <c r="N414" s="4">
        <f t="shared" si="131"/>
        <v>3540</v>
      </c>
      <c r="O414" s="14">
        <f t="shared" si="132"/>
        <v>0.81830790568654643</v>
      </c>
      <c r="P414" s="4">
        <v>10</v>
      </c>
      <c r="Q414" s="4">
        <f t="shared" si="133"/>
        <v>500</v>
      </c>
      <c r="R414" s="4">
        <f t="shared" si="139"/>
        <v>500000</v>
      </c>
      <c r="S414" s="4">
        <v>2838.96</v>
      </c>
      <c r="T414" s="4">
        <f t="shared" si="140"/>
        <v>28389.599999999999</v>
      </c>
      <c r="U414" s="4">
        <v>1861.92</v>
      </c>
      <c r="V414" s="4">
        <v>1100</v>
      </c>
    </row>
    <row r="415" spans="1:22" x14ac:dyDescent="0.35">
      <c r="A415" s="3">
        <v>73</v>
      </c>
      <c r="B415" s="2">
        <v>46223</v>
      </c>
      <c r="C415" s="4"/>
      <c r="D415" s="18"/>
      <c r="E415" s="4">
        <f t="shared" si="136"/>
        <v>4324</v>
      </c>
      <c r="F415" s="4">
        <v>1</v>
      </c>
      <c r="G415" s="14">
        <f t="shared" si="137"/>
        <v>2.3126734505087883E-4</v>
      </c>
      <c r="H415" s="4"/>
      <c r="I415" s="4">
        <f t="shared" si="138"/>
        <v>4323</v>
      </c>
      <c r="J415" s="4">
        <v>118</v>
      </c>
      <c r="K415" s="4">
        <f t="shared" si="130"/>
        <v>3540</v>
      </c>
      <c r="L415" s="4">
        <v>0</v>
      </c>
      <c r="M415" s="4">
        <v>0</v>
      </c>
      <c r="N415" s="4">
        <f t="shared" si="131"/>
        <v>3540</v>
      </c>
      <c r="O415" s="14">
        <f t="shared" si="132"/>
        <v>0.81868640148011096</v>
      </c>
      <c r="P415" s="4">
        <v>10</v>
      </c>
      <c r="Q415" s="4">
        <f t="shared" si="133"/>
        <v>500</v>
      </c>
      <c r="R415" s="4">
        <f t="shared" si="139"/>
        <v>500000</v>
      </c>
      <c r="S415" s="4">
        <v>2838.96</v>
      </c>
      <c r="T415" s="4">
        <f t="shared" si="140"/>
        <v>28389.599999999999</v>
      </c>
      <c r="U415" s="4">
        <v>1861.92</v>
      </c>
      <c r="V415" s="4">
        <v>1000</v>
      </c>
    </row>
    <row r="416" spans="1:22" x14ac:dyDescent="0.35">
      <c r="A416" s="3">
        <v>74</v>
      </c>
      <c r="B416" s="2">
        <v>46224</v>
      </c>
      <c r="C416" s="4"/>
      <c r="D416" s="18"/>
      <c r="E416" s="4">
        <f t="shared" si="136"/>
        <v>4323</v>
      </c>
      <c r="F416" s="4">
        <v>2</v>
      </c>
      <c r="G416" s="14">
        <f t="shared" si="137"/>
        <v>4.6264168401572982E-4</v>
      </c>
      <c r="H416" s="4"/>
      <c r="I416" s="4">
        <f t="shared" si="138"/>
        <v>4321</v>
      </c>
      <c r="J416" s="4">
        <v>118</v>
      </c>
      <c r="K416" s="4">
        <f t="shared" si="130"/>
        <v>3540</v>
      </c>
      <c r="L416" s="4">
        <v>0</v>
      </c>
      <c r="M416" s="4">
        <v>0</v>
      </c>
      <c r="N416" s="4">
        <f t="shared" si="131"/>
        <v>3540</v>
      </c>
      <c r="O416" s="14">
        <f t="shared" si="132"/>
        <v>0.81887578070784173</v>
      </c>
      <c r="P416" s="4">
        <v>10</v>
      </c>
      <c r="Q416" s="4">
        <f t="shared" si="133"/>
        <v>500</v>
      </c>
      <c r="R416" s="4">
        <f t="shared" si="139"/>
        <v>500000</v>
      </c>
      <c r="S416" s="4">
        <v>2838.96</v>
      </c>
      <c r="T416" s="4">
        <f t="shared" si="140"/>
        <v>28389.599999999999</v>
      </c>
      <c r="U416" s="4">
        <v>1861.92</v>
      </c>
      <c r="V416" s="4">
        <v>1100</v>
      </c>
    </row>
    <row r="417" spans="1:22" x14ac:dyDescent="0.35">
      <c r="A417" s="3">
        <v>74</v>
      </c>
      <c r="B417" s="2">
        <v>46225</v>
      </c>
      <c r="C417" s="4"/>
      <c r="D417" s="18"/>
      <c r="E417" s="4">
        <f t="shared" si="136"/>
        <v>4321</v>
      </c>
      <c r="F417" s="4">
        <v>2</v>
      </c>
      <c r="G417" s="14">
        <f t="shared" si="137"/>
        <v>4.628558204119417E-4</v>
      </c>
      <c r="H417" s="4"/>
      <c r="I417" s="4">
        <f t="shared" si="138"/>
        <v>4319</v>
      </c>
      <c r="J417" s="4">
        <v>118</v>
      </c>
      <c r="K417" s="4">
        <f t="shared" si="130"/>
        <v>3540</v>
      </c>
      <c r="L417" s="4">
        <v>0</v>
      </c>
      <c r="M417" s="4">
        <v>0</v>
      </c>
      <c r="N417" s="4">
        <f t="shared" si="131"/>
        <v>3540</v>
      </c>
      <c r="O417" s="14">
        <f t="shared" si="132"/>
        <v>0.81925480212913682</v>
      </c>
      <c r="P417" s="4">
        <v>10</v>
      </c>
      <c r="Q417" s="4">
        <f t="shared" si="133"/>
        <v>500</v>
      </c>
      <c r="R417" s="4">
        <f t="shared" si="139"/>
        <v>500000</v>
      </c>
      <c r="S417" s="4">
        <v>2838.96</v>
      </c>
      <c r="T417" s="4">
        <f t="shared" si="140"/>
        <v>28389.599999999999</v>
      </c>
      <c r="U417" s="4">
        <v>1861.92</v>
      </c>
      <c r="V417" s="4">
        <v>1100</v>
      </c>
    </row>
    <row r="418" spans="1:22" x14ac:dyDescent="0.35">
      <c r="A418" s="3">
        <v>74</v>
      </c>
      <c r="B418" s="2">
        <v>46226</v>
      </c>
      <c r="C418" s="4"/>
      <c r="D418" s="18"/>
      <c r="E418" s="4">
        <f t="shared" si="136"/>
        <v>4319</v>
      </c>
      <c r="F418" s="4">
        <v>2</v>
      </c>
      <c r="G418" s="14">
        <f t="shared" si="137"/>
        <v>4.6307015512850195E-4</v>
      </c>
      <c r="H418" s="4"/>
      <c r="I418" s="4">
        <f t="shared" si="138"/>
        <v>4317</v>
      </c>
      <c r="J418" s="4">
        <v>118</v>
      </c>
      <c r="K418" s="4">
        <f t="shared" si="130"/>
        <v>3540</v>
      </c>
      <c r="L418" s="4">
        <v>0</v>
      </c>
      <c r="M418" s="4">
        <v>0</v>
      </c>
      <c r="N418" s="4">
        <f t="shared" si="131"/>
        <v>3540</v>
      </c>
      <c r="O418" s="14">
        <f t="shared" si="132"/>
        <v>0.81963417457744847</v>
      </c>
      <c r="P418" s="4">
        <v>10</v>
      </c>
      <c r="Q418" s="4">
        <f t="shared" si="133"/>
        <v>500</v>
      </c>
      <c r="R418" s="4">
        <f t="shared" si="139"/>
        <v>500000</v>
      </c>
      <c r="S418" s="4">
        <v>2838.96</v>
      </c>
      <c r="T418" s="4">
        <f t="shared" si="140"/>
        <v>28389.599999999999</v>
      </c>
      <c r="U418" s="4">
        <v>1861.92</v>
      </c>
      <c r="V418" s="4">
        <v>1000</v>
      </c>
    </row>
    <row r="419" spans="1:22" x14ac:dyDescent="0.35">
      <c r="A419" s="3">
        <v>74</v>
      </c>
      <c r="B419" s="2">
        <v>46227</v>
      </c>
      <c r="C419" s="4"/>
      <c r="D419" s="18"/>
      <c r="E419" s="4">
        <f t="shared" si="136"/>
        <v>4317</v>
      </c>
      <c r="F419" s="4">
        <v>2</v>
      </c>
      <c r="G419" s="14">
        <f t="shared" si="137"/>
        <v>4.6328468844104701E-4</v>
      </c>
      <c r="H419" s="4"/>
      <c r="I419" s="4">
        <f t="shared" si="138"/>
        <v>4315</v>
      </c>
      <c r="J419" s="4">
        <v>118</v>
      </c>
      <c r="K419" s="4">
        <f t="shared" si="130"/>
        <v>3540</v>
      </c>
      <c r="L419" s="4">
        <v>0</v>
      </c>
      <c r="M419" s="4">
        <v>0</v>
      </c>
      <c r="N419" s="4">
        <f t="shared" si="131"/>
        <v>3540</v>
      </c>
      <c r="O419" s="14">
        <f t="shared" si="132"/>
        <v>0.82001389854065321</v>
      </c>
      <c r="P419" s="4">
        <v>11</v>
      </c>
      <c r="Q419" s="4">
        <f t="shared" si="133"/>
        <v>550</v>
      </c>
      <c r="R419" s="4">
        <f t="shared" si="139"/>
        <v>550000</v>
      </c>
      <c r="S419" s="4">
        <v>2838.96</v>
      </c>
      <c r="T419" s="4">
        <f t="shared" si="140"/>
        <v>31228.560000000001</v>
      </c>
      <c r="U419" s="4">
        <v>1861.92</v>
      </c>
      <c r="V419" s="4">
        <v>1100</v>
      </c>
    </row>
    <row r="420" spans="1:22" x14ac:dyDescent="0.35">
      <c r="A420" s="3">
        <v>74</v>
      </c>
      <c r="B420" s="2">
        <v>46228</v>
      </c>
      <c r="C420" s="4"/>
      <c r="D420" s="18"/>
      <c r="E420" s="4">
        <f t="shared" ref="E420:E426" si="141">I419</f>
        <v>4315</v>
      </c>
      <c r="F420" s="4">
        <v>1</v>
      </c>
      <c r="G420" s="14">
        <f t="shared" si="137"/>
        <v>2.3174971031286211E-4</v>
      </c>
      <c r="H420" s="4"/>
      <c r="I420" s="4">
        <f t="shared" si="138"/>
        <v>4314</v>
      </c>
      <c r="J420" s="4">
        <v>118</v>
      </c>
      <c r="K420" s="4">
        <f t="shared" si="130"/>
        <v>3540</v>
      </c>
      <c r="L420" s="4">
        <v>0</v>
      </c>
      <c r="M420" s="4">
        <v>0</v>
      </c>
      <c r="N420" s="4">
        <f t="shared" ref="N420:N426" si="142">K420+L420-M420</f>
        <v>3540</v>
      </c>
      <c r="O420" s="14">
        <f t="shared" si="132"/>
        <v>0.82039397450753182</v>
      </c>
      <c r="P420" s="4">
        <v>11</v>
      </c>
      <c r="Q420" s="4">
        <f t="shared" si="133"/>
        <v>550</v>
      </c>
      <c r="R420" s="4">
        <f t="shared" si="139"/>
        <v>550000</v>
      </c>
      <c r="S420" s="4">
        <v>2838.96</v>
      </c>
      <c r="T420" s="4">
        <f t="shared" si="140"/>
        <v>31228.560000000001</v>
      </c>
      <c r="U420" s="4">
        <v>1861.92</v>
      </c>
      <c r="V420" s="4">
        <v>1200</v>
      </c>
    </row>
    <row r="421" spans="1:22" x14ac:dyDescent="0.35">
      <c r="A421" s="3">
        <v>74</v>
      </c>
      <c r="B421" s="2">
        <v>46229</v>
      </c>
      <c r="C421" s="4"/>
      <c r="D421" s="18"/>
      <c r="E421" s="4">
        <f t="shared" si="141"/>
        <v>4314</v>
      </c>
      <c r="F421" s="4">
        <v>1</v>
      </c>
      <c r="G421" s="14">
        <f t="shared" si="137"/>
        <v>2.3180343069077421E-4</v>
      </c>
      <c r="H421" s="4"/>
      <c r="I421" s="4">
        <f t="shared" si="138"/>
        <v>4313</v>
      </c>
      <c r="J421" s="4">
        <v>119</v>
      </c>
      <c r="K421" s="4">
        <f t="shared" si="130"/>
        <v>3570</v>
      </c>
      <c r="L421" s="4">
        <v>0</v>
      </c>
      <c r="M421" s="4">
        <v>0</v>
      </c>
      <c r="N421" s="4">
        <f t="shared" si="142"/>
        <v>3570</v>
      </c>
      <c r="O421" s="14">
        <f t="shared" si="132"/>
        <v>0.82753824756606398</v>
      </c>
      <c r="P421" s="4">
        <v>11</v>
      </c>
      <c r="Q421" s="4">
        <f t="shared" si="133"/>
        <v>550</v>
      </c>
      <c r="R421" s="4">
        <f t="shared" si="139"/>
        <v>550000</v>
      </c>
      <c r="S421" s="4">
        <v>2838.96</v>
      </c>
      <c r="T421" s="4">
        <f t="shared" si="140"/>
        <v>31228.560000000001</v>
      </c>
      <c r="U421" s="4">
        <v>1861.92</v>
      </c>
      <c r="V421" s="4">
        <v>1200</v>
      </c>
    </row>
    <row r="422" spans="1:22" x14ac:dyDescent="0.35">
      <c r="A422" s="3">
        <v>74</v>
      </c>
      <c r="B422" s="2">
        <v>46230</v>
      </c>
      <c r="C422" s="4"/>
      <c r="D422" s="18"/>
      <c r="E422" s="4">
        <f t="shared" si="141"/>
        <v>4313</v>
      </c>
      <c r="F422" s="4">
        <v>1</v>
      </c>
      <c r="G422" s="14">
        <f t="shared" si="137"/>
        <v>2.3185717597959656E-4</v>
      </c>
      <c r="H422" s="4"/>
      <c r="I422" s="4">
        <f t="shared" si="138"/>
        <v>4312</v>
      </c>
      <c r="J422" s="4">
        <v>120</v>
      </c>
      <c r="K422" s="4">
        <f t="shared" si="130"/>
        <v>3600</v>
      </c>
      <c r="L422" s="4">
        <v>0</v>
      </c>
      <c r="M422" s="4">
        <v>0</v>
      </c>
      <c r="N422" s="4">
        <f t="shared" si="142"/>
        <v>3600</v>
      </c>
      <c r="O422" s="14">
        <f t="shared" si="132"/>
        <v>0.83468583352654768</v>
      </c>
      <c r="P422" s="4">
        <v>11</v>
      </c>
      <c r="Q422" s="4">
        <f t="shared" si="133"/>
        <v>550</v>
      </c>
      <c r="R422" s="4">
        <f t="shared" si="139"/>
        <v>550000</v>
      </c>
      <c r="S422" s="4">
        <v>2838.96</v>
      </c>
      <c r="T422" s="4">
        <f t="shared" si="140"/>
        <v>31228.560000000001</v>
      </c>
      <c r="U422" s="4">
        <v>1861.92</v>
      </c>
      <c r="V422" s="4">
        <v>1100</v>
      </c>
    </row>
    <row r="423" spans="1:22" x14ac:dyDescent="0.35">
      <c r="A423" s="3">
        <v>75</v>
      </c>
      <c r="B423" s="2">
        <v>46231</v>
      </c>
      <c r="C423" s="4"/>
      <c r="D423" s="18"/>
      <c r="E423" s="4">
        <f t="shared" si="141"/>
        <v>4312</v>
      </c>
      <c r="F423" s="4">
        <v>1</v>
      </c>
      <c r="G423" s="14">
        <f t="shared" si="137"/>
        <v>2.3191094619666049E-4</v>
      </c>
      <c r="H423" s="4"/>
      <c r="I423" s="4">
        <f t="shared" si="138"/>
        <v>4311</v>
      </c>
      <c r="J423" s="4">
        <v>119</v>
      </c>
      <c r="K423" s="4">
        <f t="shared" si="130"/>
        <v>3570</v>
      </c>
      <c r="L423" s="4">
        <v>0</v>
      </c>
      <c r="M423" s="4">
        <v>0</v>
      </c>
      <c r="N423" s="4">
        <f t="shared" si="142"/>
        <v>3570</v>
      </c>
      <c r="O423" s="14">
        <f t="shared" si="132"/>
        <v>0.82792207792207795</v>
      </c>
      <c r="P423" s="4">
        <v>10</v>
      </c>
      <c r="Q423" s="4">
        <f t="shared" si="133"/>
        <v>500</v>
      </c>
      <c r="R423" s="4">
        <f t="shared" si="139"/>
        <v>500000</v>
      </c>
      <c r="S423" s="4">
        <v>2802.96</v>
      </c>
      <c r="T423" s="4">
        <f t="shared" si="140"/>
        <v>28029.599999999999</v>
      </c>
      <c r="U423" s="4">
        <v>1861.92</v>
      </c>
      <c r="V423" s="4">
        <v>1000</v>
      </c>
    </row>
    <row r="424" spans="1:22" x14ac:dyDescent="0.35">
      <c r="A424" s="3">
        <v>75</v>
      </c>
      <c r="B424" s="2">
        <v>46232</v>
      </c>
      <c r="C424" s="4"/>
      <c r="D424" s="18"/>
      <c r="E424" s="4">
        <f t="shared" si="141"/>
        <v>4311</v>
      </c>
      <c r="F424" s="4">
        <v>1</v>
      </c>
      <c r="G424" s="14">
        <f t="shared" si="137"/>
        <v>2.3196474135931338E-4</v>
      </c>
      <c r="H424" s="4"/>
      <c r="I424" s="4">
        <f t="shared" si="138"/>
        <v>4310</v>
      </c>
      <c r="J424" s="4">
        <v>119</v>
      </c>
      <c r="K424" s="4">
        <f t="shared" si="130"/>
        <v>3570</v>
      </c>
      <c r="L424" s="4">
        <v>0</v>
      </c>
      <c r="M424" s="4">
        <v>0</v>
      </c>
      <c r="N424" s="4">
        <f t="shared" si="142"/>
        <v>3570</v>
      </c>
      <c r="O424" s="14">
        <f t="shared" si="132"/>
        <v>0.82811412665274875</v>
      </c>
      <c r="P424" s="4">
        <v>11</v>
      </c>
      <c r="Q424" s="4">
        <f t="shared" si="133"/>
        <v>550</v>
      </c>
      <c r="R424" s="4">
        <f t="shared" si="139"/>
        <v>550000</v>
      </c>
      <c r="S424" s="4">
        <v>2802.96</v>
      </c>
      <c r="T424" s="4">
        <f t="shared" si="140"/>
        <v>30832.560000000001</v>
      </c>
      <c r="U424" s="4">
        <v>1861.92</v>
      </c>
      <c r="V424" s="4">
        <v>1100</v>
      </c>
    </row>
    <row r="425" spans="1:22" x14ac:dyDescent="0.35">
      <c r="A425" s="3">
        <v>75</v>
      </c>
      <c r="B425" s="2">
        <v>46233</v>
      </c>
      <c r="C425" s="4"/>
      <c r="D425" s="18"/>
      <c r="E425" s="4">
        <f t="shared" si="141"/>
        <v>4310</v>
      </c>
      <c r="F425" s="4">
        <v>2</v>
      </c>
      <c r="G425" s="14">
        <f t="shared" si="137"/>
        <v>4.6403712296983759E-4</v>
      </c>
      <c r="H425" s="4"/>
      <c r="I425" s="4">
        <f t="shared" si="138"/>
        <v>4308</v>
      </c>
      <c r="J425" s="4">
        <v>119</v>
      </c>
      <c r="K425" s="4">
        <f t="shared" si="130"/>
        <v>3570</v>
      </c>
      <c r="L425" s="4">
        <v>0</v>
      </c>
      <c r="M425" s="4">
        <v>0</v>
      </c>
      <c r="N425" s="4">
        <f t="shared" si="142"/>
        <v>3570</v>
      </c>
      <c r="O425" s="14">
        <f t="shared" si="132"/>
        <v>0.82830626450116007</v>
      </c>
      <c r="P425" s="4">
        <v>11</v>
      </c>
      <c r="Q425" s="4">
        <f t="shared" si="133"/>
        <v>550</v>
      </c>
      <c r="R425" s="4">
        <f t="shared" si="139"/>
        <v>550000</v>
      </c>
      <c r="S425" s="4">
        <v>2802.96</v>
      </c>
      <c r="T425" s="4">
        <f t="shared" si="140"/>
        <v>30832.560000000001</v>
      </c>
      <c r="U425" s="4">
        <v>1861.92</v>
      </c>
      <c r="V425" s="4">
        <v>2300</v>
      </c>
    </row>
    <row r="426" spans="1:22" x14ac:dyDescent="0.35">
      <c r="A426" s="3">
        <v>75</v>
      </c>
      <c r="B426" s="2">
        <v>46234</v>
      </c>
      <c r="C426" s="4"/>
      <c r="D426" s="18"/>
      <c r="E426" s="4">
        <f t="shared" si="141"/>
        <v>4308</v>
      </c>
      <c r="F426" s="4">
        <v>2</v>
      </c>
      <c r="G426" s="14">
        <f t="shared" si="137"/>
        <v>4.6425255338904364E-4</v>
      </c>
      <c r="H426" s="4"/>
      <c r="I426" s="4">
        <f t="shared" si="138"/>
        <v>4306</v>
      </c>
      <c r="J426" s="4">
        <v>118</v>
      </c>
      <c r="K426" s="4">
        <f t="shared" si="130"/>
        <v>3540</v>
      </c>
      <c r="L426" s="4">
        <v>0</v>
      </c>
      <c r="M426" s="4">
        <v>0</v>
      </c>
      <c r="N426" s="4">
        <f t="shared" si="142"/>
        <v>3540</v>
      </c>
      <c r="O426" s="14">
        <f t="shared" si="132"/>
        <v>0.82172701949860727</v>
      </c>
      <c r="P426" s="4">
        <v>11</v>
      </c>
      <c r="Q426" s="4">
        <f t="shared" si="133"/>
        <v>550</v>
      </c>
      <c r="R426" s="4">
        <f t="shared" si="139"/>
        <v>550000</v>
      </c>
      <c r="S426" s="4">
        <v>2802.96</v>
      </c>
      <c r="T426" s="4">
        <f t="shared" si="140"/>
        <v>30832.560000000001</v>
      </c>
      <c r="U426" s="4">
        <v>1861.92</v>
      </c>
      <c r="V426" s="4">
        <v>1200</v>
      </c>
    </row>
    <row r="427" spans="1:22" x14ac:dyDescent="0.35">
      <c r="A427" s="3"/>
      <c r="B427" s="2"/>
      <c r="C427" s="4"/>
      <c r="D427" s="18"/>
      <c r="E427" s="4"/>
      <c r="F427" s="4"/>
      <c r="G427" s="14"/>
      <c r="H427" s="4"/>
      <c r="I427" s="4"/>
      <c r="J427" s="4"/>
      <c r="K427" s="4"/>
      <c r="L427" s="4"/>
      <c r="M427" s="4"/>
      <c r="N427" s="4"/>
      <c r="O427" s="14"/>
      <c r="P427" s="4"/>
      <c r="Q427" s="4"/>
      <c r="R427" s="4"/>
      <c r="S427" s="4"/>
      <c r="T427" s="4"/>
    </row>
    <row r="428" spans="1:22" x14ac:dyDescent="0.35">
      <c r="A428" s="3"/>
      <c r="B428" s="2"/>
      <c r="C428" s="4"/>
      <c r="D428" s="18"/>
      <c r="E428" s="4"/>
      <c r="F428" s="4"/>
      <c r="G428" s="14"/>
      <c r="H428" s="4"/>
      <c r="I428" s="4"/>
      <c r="J428" s="4"/>
      <c r="K428" s="4"/>
      <c r="L428" s="4"/>
      <c r="M428" s="4"/>
      <c r="N428" s="4"/>
      <c r="O428" s="14"/>
      <c r="P428" s="4"/>
      <c r="Q428" s="4"/>
      <c r="R428" s="4"/>
      <c r="S428" s="4"/>
      <c r="T428" s="4"/>
    </row>
    <row r="429" spans="1:22" x14ac:dyDescent="0.35">
      <c r="A429" s="3"/>
      <c r="B429" s="2"/>
      <c r="C429" s="4"/>
      <c r="D429" s="18"/>
      <c r="E429" s="4"/>
      <c r="F429" s="4"/>
      <c r="G429" s="14"/>
      <c r="H429" s="4"/>
      <c r="I429" s="4"/>
      <c r="J429" s="4"/>
      <c r="K429" s="4"/>
      <c r="L429" s="4"/>
      <c r="M429" s="4"/>
      <c r="N429" s="4"/>
      <c r="O429" s="14"/>
      <c r="P429" s="4"/>
      <c r="Q429" s="4"/>
      <c r="R429" s="4"/>
      <c r="S429" s="4"/>
      <c r="T429" s="4"/>
    </row>
    <row r="430" spans="1:22" x14ac:dyDescent="0.35">
      <c r="A430" s="3"/>
      <c r="B430" s="2"/>
      <c r="C430" s="4"/>
      <c r="D430" s="18"/>
      <c r="E430" s="4"/>
      <c r="F430" s="4"/>
      <c r="G430" s="14"/>
      <c r="H430" s="4"/>
      <c r="I430" s="4"/>
      <c r="J430" s="4"/>
      <c r="K430" s="4"/>
      <c r="L430" s="4"/>
      <c r="M430" s="4"/>
      <c r="N430" s="4"/>
      <c r="O430" s="14"/>
      <c r="P430" s="4"/>
      <c r="Q430" s="4"/>
      <c r="R430" s="4"/>
      <c r="S430" s="4"/>
      <c r="T430" s="4"/>
    </row>
    <row r="431" spans="1:22" x14ac:dyDescent="0.35">
      <c r="A431" s="3"/>
      <c r="B431" s="2"/>
      <c r="C431" s="4"/>
      <c r="D431" s="18"/>
      <c r="E431" s="4"/>
      <c r="F431" s="4"/>
      <c r="G431" s="14"/>
      <c r="H431" s="4"/>
      <c r="I431" s="4"/>
      <c r="J431" s="4"/>
      <c r="K431" s="4"/>
      <c r="L431" s="4"/>
      <c r="M431" s="4"/>
      <c r="N431" s="4"/>
      <c r="O431" s="14"/>
      <c r="P431" s="4"/>
      <c r="Q431" s="4"/>
      <c r="R431" s="4"/>
      <c r="S431" s="4"/>
      <c r="T431" s="4"/>
    </row>
    <row r="432" spans="1:22" x14ac:dyDescent="0.35">
      <c r="A432" s="3"/>
      <c r="B432" s="2"/>
      <c r="C432" s="4"/>
      <c r="D432" s="18"/>
      <c r="E432" s="4"/>
      <c r="F432" s="4"/>
      <c r="G432" s="14"/>
      <c r="H432" s="4"/>
      <c r="I432" s="4"/>
      <c r="J432" s="4"/>
      <c r="K432" s="4"/>
      <c r="L432" s="4"/>
      <c r="M432" s="4"/>
      <c r="N432" s="4"/>
      <c r="O432" s="14"/>
      <c r="P432" s="4"/>
      <c r="Q432" s="4"/>
      <c r="R432" s="4"/>
      <c r="S432" s="4"/>
      <c r="T432" s="4"/>
    </row>
    <row r="433" spans="1:20" x14ac:dyDescent="0.35">
      <c r="A433" s="3"/>
      <c r="B433" s="2"/>
      <c r="C433" s="4"/>
      <c r="D433" s="18"/>
      <c r="E433" s="4"/>
      <c r="F433" s="4"/>
      <c r="G433" s="14"/>
      <c r="H433" s="4"/>
      <c r="I433" s="4"/>
      <c r="J433" s="4"/>
      <c r="K433" s="4"/>
      <c r="L433" s="4"/>
      <c r="M433" s="4"/>
      <c r="N433" s="4"/>
      <c r="O433" s="14"/>
      <c r="P433" s="4"/>
      <c r="Q433" s="4"/>
      <c r="R433" s="4"/>
      <c r="S433" s="4"/>
      <c r="T433" s="4"/>
    </row>
    <row r="434" spans="1:20" x14ac:dyDescent="0.35">
      <c r="A434" s="3"/>
      <c r="B434" s="2"/>
      <c r="C434" s="4"/>
      <c r="D434" s="18"/>
      <c r="E434" s="4"/>
      <c r="F434" s="4"/>
      <c r="G434" s="14"/>
      <c r="H434" s="4"/>
      <c r="I434" s="4"/>
      <c r="J434" s="4"/>
      <c r="K434" s="4"/>
      <c r="L434" s="4"/>
      <c r="M434" s="4"/>
      <c r="N434" s="4"/>
      <c r="O434" s="14"/>
      <c r="P434" s="4"/>
      <c r="Q434" s="4"/>
      <c r="R434" s="4"/>
      <c r="S434" s="4"/>
      <c r="T434" s="4"/>
    </row>
    <row r="435" spans="1:20" x14ac:dyDescent="0.35">
      <c r="A435" s="3"/>
      <c r="B435" s="2"/>
      <c r="C435" s="4"/>
      <c r="D435" s="18"/>
      <c r="E435" s="4"/>
      <c r="F435" s="4"/>
      <c r="G435" s="14"/>
      <c r="H435" s="4"/>
      <c r="I435" s="4"/>
      <c r="J435" s="4"/>
      <c r="K435" s="4"/>
      <c r="L435" s="4"/>
      <c r="M435" s="4"/>
      <c r="N435" s="4"/>
      <c r="O435" s="14"/>
      <c r="P435" s="4"/>
      <c r="Q435" s="4"/>
      <c r="R435" s="4"/>
      <c r="S435" s="4"/>
      <c r="T435" s="4"/>
    </row>
    <row r="436" spans="1:20" x14ac:dyDescent="0.35">
      <c r="A436" s="3"/>
      <c r="B436" s="2"/>
      <c r="C436" s="4"/>
      <c r="D436" s="18"/>
      <c r="E436" s="4"/>
      <c r="F436" s="4"/>
      <c r="G436" s="14"/>
      <c r="H436" s="4"/>
      <c r="I436" s="4"/>
      <c r="J436" s="4"/>
      <c r="K436" s="4"/>
      <c r="L436" s="4"/>
      <c r="M436" s="4"/>
      <c r="N436" s="4"/>
      <c r="O436" s="14"/>
      <c r="P436" s="4"/>
      <c r="Q436" s="4"/>
      <c r="R436" s="4"/>
      <c r="S436" s="4"/>
      <c r="T436" s="4"/>
    </row>
    <row r="437" spans="1:20" x14ac:dyDescent="0.35">
      <c r="A437" s="3"/>
      <c r="B437" s="4"/>
      <c r="C437" s="4"/>
      <c r="D437" s="18"/>
      <c r="E437" s="4"/>
      <c r="F437" s="4"/>
      <c r="G437" s="14"/>
      <c r="H437" s="4"/>
      <c r="I437" s="4"/>
      <c r="J437" s="4"/>
      <c r="K437" s="4"/>
      <c r="L437" s="4"/>
      <c r="M437" s="4"/>
      <c r="N437" s="4"/>
      <c r="O437" s="14"/>
      <c r="P437" s="4"/>
      <c r="Q437" s="4"/>
      <c r="R437" s="4"/>
      <c r="S437" s="4"/>
      <c r="T437" s="4"/>
    </row>
    <row r="438" spans="1:20" x14ac:dyDescent="0.35">
      <c r="A438" s="3"/>
      <c r="B438" s="4"/>
      <c r="C438" s="4"/>
      <c r="D438" s="18"/>
      <c r="E438" s="4"/>
      <c r="F438" s="4"/>
      <c r="G438" s="14"/>
      <c r="H438" s="4"/>
      <c r="I438" s="4"/>
      <c r="J438" s="4"/>
      <c r="K438" s="4"/>
      <c r="L438" s="4"/>
      <c r="M438" s="4"/>
      <c r="N438" s="4"/>
      <c r="O438" s="14"/>
      <c r="P438" s="4"/>
      <c r="Q438" s="4"/>
      <c r="R438" s="4"/>
      <c r="S438" s="4"/>
      <c r="T438" s="4"/>
    </row>
    <row r="439" spans="1:20" x14ac:dyDescent="0.35">
      <c r="A439" s="3"/>
      <c r="B439" s="3"/>
      <c r="C439" s="19"/>
      <c r="D439" s="19"/>
      <c r="E439" s="6"/>
      <c r="F439" s="7"/>
      <c r="G439" s="8"/>
      <c r="H439" s="7"/>
      <c r="I439" s="9"/>
      <c r="J439" s="10"/>
      <c r="K439" s="7"/>
      <c r="L439" s="7"/>
      <c r="M439" s="7"/>
      <c r="N439" s="7"/>
      <c r="O439" s="35"/>
      <c r="P439" s="10"/>
      <c r="Q439" s="7"/>
      <c r="R439" s="11"/>
      <c r="S439" s="12"/>
      <c r="T439" s="13"/>
    </row>
    <row r="440" spans="1:20" x14ac:dyDescent="0.35">
      <c r="A440" s="3"/>
      <c r="B440" s="2"/>
      <c r="C440" s="4"/>
      <c r="D440" s="18"/>
      <c r="E440" s="4"/>
      <c r="F440" s="4"/>
      <c r="G440" s="14"/>
      <c r="H440" s="4"/>
      <c r="I440" s="4"/>
      <c r="J440" s="4"/>
      <c r="K440" s="4"/>
      <c r="L440" s="4"/>
      <c r="M440" s="4"/>
      <c r="N440" s="4"/>
      <c r="O440" s="14"/>
      <c r="P440" s="4"/>
      <c r="Q440" s="4"/>
      <c r="R440" s="4"/>
      <c r="S440" s="4"/>
      <c r="T440" s="4"/>
    </row>
    <row r="441" spans="1:20" x14ac:dyDescent="0.35">
      <c r="A441" s="3"/>
      <c r="B441" s="2"/>
      <c r="C441" s="4"/>
      <c r="D441" s="18"/>
      <c r="E441" s="4"/>
      <c r="F441" s="4"/>
      <c r="G441" s="14"/>
      <c r="H441" s="4"/>
      <c r="I441" s="4"/>
      <c r="J441" s="4"/>
      <c r="K441" s="4"/>
      <c r="L441" s="4"/>
      <c r="M441" s="4"/>
      <c r="N441" s="4"/>
      <c r="O441" s="14"/>
      <c r="P441" s="4"/>
      <c r="Q441" s="4"/>
      <c r="R441" s="4"/>
      <c r="S441" s="4"/>
      <c r="T441" s="4"/>
    </row>
    <row r="442" spans="1:20" x14ac:dyDescent="0.35">
      <c r="A442" s="3"/>
      <c r="B442" s="2"/>
      <c r="C442" s="4"/>
      <c r="D442" s="18"/>
      <c r="E442" s="4"/>
      <c r="F442" s="4"/>
      <c r="G442" s="14"/>
      <c r="H442" s="4"/>
      <c r="I442" s="4"/>
      <c r="J442" s="4"/>
      <c r="K442" s="4"/>
      <c r="L442" s="4"/>
      <c r="M442" s="4"/>
      <c r="N442" s="4"/>
      <c r="O442" s="14"/>
      <c r="P442" s="4"/>
      <c r="Q442" s="4"/>
      <c r="R442" s="4"/>
      <c r="S442" s="4"/>
      <c r="T442" s="4"/>
    </row>
    <row r="443" spans="1:20" x14ac:dyDescent="0.35">
      <c r="A443" s="3"/>
      <c r="B443" s="2"/>
      <c r="C443" s="4"/>
      <c r="D443" s="18"/>
      <c r="E443" s="4"/>
      <c r="F443" s="4"/>
      <c r="G443" s="14"/>
      <c r="H443" s="4"/>
      <c r="I443" s="4"/>
      <c r="J443" s="4"/>
      <c r="K443" s="4"/>
      <c r="L443" s="4"/>
      <c r="M443" s="4"/>
      <c r="N443" s="4"/>
      <c r="O443" s="14"/>
      <c r="P443" s="4"/>
      <c r="Q443" s="4"/>
      <c r="R443" s="4"/>
      <c r="S443" s="4"/>
      <c r="T443" s="4"/>
    </row>
    <row r="444" spans="1:20" x14ac:dyDescent="0.35">
      <c r="A444" s="3"/>
      <c r="B444" s="2"/>
      <c r="C444" s="4"/>
      <c r="D444" s="18"/>
      <c r="E444" s="4"/>
      <c r="F444" s="4"/>
      <c r="G444" s="14"/>
      <c r="H444" s="4"/>
      <c r="I444" s="4"/>
      <c r="J444" s="4"/>
      <c r="K444" s="4"/>
      <c r="L444" s="4"/>
      <c r="M444" s="4"/>
      <c r="N444" s="4"/>
      <c r="O444" s="14"/>
      <c r="P444" s="4"/>
      <c r="Q444" s="4"/>
      <c r="R444" s="4"/>
      <c r="S444" s="4"/>
      <c r="T444" s="4"/>
    </row>
    <row r="445" spans="1:20" x14ac:dyDescent="0.35">
      <c r="A445" s="3"/>
      <c r="B445" s="2"/>
      <c r="C445" s="4"/>
      <c r="D445" s="18"/>
      <c r="E445" s="4"/>
      <c r="F445" s="4"/>
      <c r="G445" s="14"/>
      <c r="H445" s="4"/>
      <c r="I445" s="4"/>
      <c r="J445" s="4"/>
      <c r="K445" s="4"/>
      <c r="L445" s="4"/>
      <c r="M445" s="4"/>
      <c r="N445" s="4"/>
      <c r="O445" s="14"/>
      <c r="P445" s="4"/>
      <c r="Q445" s="4"/>
      <c r="R445" s="4"/>
      <c r="S445" s="4"/>
      <c r="T445" s="4"/>
    </row>
    <row r="446" spans="1:20" x14ac:dyDescent="0.35">
      <c r="A446" s="3"/>
      <c r="B446" s="2"/>
      <c r="C446" s="4"/>
      <c r="D446" s="18"/>
      <c r="E446" s="4"/>
      <c r="F446" s="4"/>
      <c r="G446" s="14"/>
      <c r="H446" s="4"/>
      <c r="I446" s="4"/>
      <c r="J446" s="4"/>
      <c r="K446" s="4"/>
      <c r="L446" s="4"/>
      <c r="M446" s="4"/>
      <c r="N446" s="4"/>
      <c r="O446" s="14"/>
      <c r="P446" s="4"/>
      <c r="Q446" s="4"/>
      <c r="R446" s="4"/>
      <c r="S446" s="4"/>
      <c r="T446" s="4"/>
    </row>
    <row r="447" spans="1:20" x14ac:dyDescent="0.35">
      <c r="A447" s="3"/>
      <c r="B447" s="2"/>
      <c r="C447" s="4"/>
      <c r="D447" s="18"/>
      <c r="E447" s="4"/>
      <c r="F447" s="4"/>
      <c r="G447" s="14"/>
      <c r="H447" s="4"/>
      <c r="I447" s="4"/>
      <c r="J447" s="4"/>
      <c r="K447" s="4"/>
      <c r="L447" s="4"/>
      <c r="M447" s="4"/>
      <c r="N447" s="4"/>
      <c r="O447" s="14"/>
      <c r="P447" s="4"/>
      <c r="Q447" s="4"/>
      <c r="R447" s="4"/>
      <c r="S447" s="4"/>
      <c r="T447" s="4"/>
    </row>
    <row r="448" spans="1:20" x14ac:dyDescent="0.35">
      <c r="A448" s="3"/>
      <c r="B448" s="2"/>
      <c r="C448" s="4"/>
      <c r="D448" s="18"/>
      <c r="E448" s="4"/>
      <c r="F448" s="4"/>
      <c r="G448" s="14"/>
      <c r="H448" s="4"/>
      <c r="I448" s="4"/>
      <c r="J448" s="4"/>
      <c r="K448" s="4"/>
      <c r="L448" s="4"/>
      <c r="M448" s="4"/>
      <c r="N448" s="4"/>
      <c r="O448" s="14"/>
      <c r="P448" s="4"/>
      <c r="Q448" s="4"/>
      <c r="R448" s="4"/>
      <c r="S448" s="4"/>
      <c r="T448" s="4"/>
    </row>
    <row r="449" spans="1:20" x14ac:dyDescent="0.35">
      <c r="A449" s="3"/>
      <c r="B449" s="2"/>
      <c r="C449" s="4"/>
      <c r="D449" s="18"/>
      <c r="E449" s="4"/>
      <c r="F449" s="4"/>
      <c r="G449" s="14"/>
      <c r="H449" s="4"/>
      <c r="I449" s="4"/>
      <c r="J449" s="4"/>
      <c r="K449" s="4"/>
      <c r="L449" s="4"/>
      <c r="M449" s="4"/>
      <c r="N449" s="4"/>
      <c r="O449" s="14"/>
      <c r="P449" s="4"/>
      <c r="Q449" s="4"/>
      <c r="R449" s="4"/>
      <c r="S449" s="4"/>
      <c r="T449" s="4"/>
    </row>
    <row r="450" spans="1:20" x14ac:dyDescent="0.35">
      <c r="A450" s="3"/>
      <c r="B450" s="2"/>
      <c r="C450" s="4"/>
      <c r="D450" s="18"/>
      <c r="E450" s="4"/>
      <c r="F450" s="4"/>
      <c r="G450" s="14"/>
      <c r="H450" s="4"/>
      <c r="I450" s="4"/>
      <c r="J450" s="4"/>
      <c r="K450" s="4"/>
      <c r="L450" s="4"/>
      <c r="M450" s="4"/>
      <c r="N450" s="4"/>
      <c r="O450" s="14"/>
      <c r="P450" s="4"/>
      <c r="Q450" s="4"/>
      <c r="R450" s="4"/>
      <c r="S450" s="4"/>
      <c r="T450" s="4"/>
    </row>
    <row r="451" spans="1:20" x14ac:dyDescent="0.35">
      <c r="A451" s="3"/>
      <c r="B451" s="2"/>
      <c r="C451" s="4"/>
      <c r="D451" s="18"/>
      <c r="E451" s="4"/>
      <c r="F451" s="4"/>
      <c r="G451" s="14"/>
      <c r="H451" s="4"/>
      <c r="I451" s="4"/>
      <c r="J451" s="4"/>
      <c r="K451" s="4"/>
      <c r="L451" s="4"/>
      <c r="M451" s="4"/>
      <c r="N451" s="4"/>
      <c r="O451" s="14"/>
      <c r="P451" s="4"/>
      <c r="Q451" s="4"/>
      <c r="R451" s="4"/>
      <c r="S451" s="4"/>
      <c r="T451" s="4"/>
    </row>
    <row r="452" spans="1:20" x14ac:dyDescent="0.35">
      <c r="A452" s="3"/>
      <c r="B452" s="2"/>
      <c r="C452" s="4"/>
      <c r="D452" s="18"/>
      <c r="E452" s="4"/>
      <c r="F452" s="4"/>
      <c r="G452" s="14"/>
      <c r="H452" s="4"/>
      <c r="I452" s="4"/>
      <c r="J452" s="4"/>
      <c r="K452" s="4"/>
      <c r="L452" s="4"/>
      <c r="M452" s="4"/>
      <c r="N452" s="4"/>
      <c r="O452" s="14"/>
      <c r="P452" s="4"/>
      <c r="Q452" s="4"/>
      <c r="R452" s="4"/>
      <c r="S452" s="4"/>
      <c r="T452" s="4"/>
    </row>
    <row r="453" spans="1:20" x14ac:dyDescent="0.35">
      <c r="A453" s="3"/>
      <c r="B453" s="2"/>
      <c r="C453" s="4"/>
      <c r="D453" s="18"/>
      <c r="E453" s="4"/>
      <c r="F453" s="4"/>
      <c r="G453" s="14"/>
      <c r="H453" s="4"/>
      <c r="I453" s="4"/>
      <c r="J453" s="4"/>
      <c r="K453" s="4"/>
      <c r="L453" s="4"/>
      <c r="M453" s="4"/>
      <c r="N453" s="4"/>
      <c r="O453" s="14"/>
      <c r="P453" s="4"/>
      <c r="Q453" s="4"/>
      <c r="R453" s="4"/>
      <c r="S453" s="4"/>
      <c r="T453" s="4"/>
    </row>
    <row r="454" spans="1:20" x14ac:dyDescent="0.35">
      <c r="A454" s="3"/>
      <c r="B454" s="2"/>
      <c r="C454" s="4"/>
      <c r="D454" s="18"/>
      <c r="E454" s="4"/>
      <c r="F454" s="4"/>
      <c r="G454" s="14"/>
      <c r="H454" s="4"/>
      <c r="I454" s="4"/>
      <c r="J454" s="4"/>
      <c r="K454" s="4"/>
      <c r="L454" s="4"/>
      <c r="M454" s="4"/>
      <c r="N454" s="4"/>
      <c r="O454" s="14"/>
      <c r="P454" s="4"/>
      <c r="Q454" s="4"/>
      <c r="R454" s="4"/>
      <c r="S454" s="4"/>
      <c r="T454" s="4"/>
    </row>
    <row r="455" spans="1:20" x14ac:dyDescent="0.35">
      <c r="A455" s="3"/>
      <c r="B455" s="2"/>
      <c r="C455" s="4"/>
      <c r="D455" s="18"/>
      <c r="E455" s="4"/>
      <c r="F455" s="4"/>
      <c r="G455" s="14"/>
      <c r="H455" s="4"/>
      <c r="I455" s="4"/>
      <c r="J455" s="4"/>
      <c r="K455" s="4"/>
      <c r="L455" s="4"/>
      <c r="M455" s="4"/>
      <c r="N455" s="4"/>
      <c r="O455" s="14"/>
      <c r="P455" s="4"/>
      <c r="Q455" s="4"/>
      <c r="R455" s="4"/>
      <c r="S455" s="4"/>
      <c r="T455" s="4"/>
    </row>
    <row r="456" spans="1:20" x14ac:dyDescent="0.35">
      <c r="A456" s="3"/>
      <c r="B456" s="2"/>
      <c r="C456" s="4"/>
      <c r="D456" s="18"/>
      <c r="E456" s="4"/>
      <c r="F456" s="4"/>
      <c r="G456" s="14"/>
      <c r="H456" s="4"/>
      <c r="I456" s="4"/>
      <c r="J456" s="4"/>
      <c r="K456" s="4"/>
      <c r="L456" s="4"/>
      <c r="M456" s="4"/>
      <c r="N456" s="4"/>
      <c r="O456" s="14"/>
      <c r="P456" s="4"/>
      <c r="Q456" s="4"/>
      <c r="R456" s="4"/>
      <c r="S456" s="4"/>
      <c r="T456" s="4"/>
    </row>
    <row r="457" spans="1:20" x14ac:dyDescent="0.35">
      <c r="A457" s="3"/>
      <c r="B457" s="2"/>
      <c r="C457" s="4"/>
      <c r="D457" s="18"/>
      <c r="E457" s="4"/>
      <c r="F457" s="4"/>
      <c r="G457" s="14"/>
      <c r="H457" s="4"/>
      <c r="I457" s="4"/>
      <c r="J457" s="4"/>
      <c r="K457" s="4"/>
      <c r="L457" s="4"/>
      <c r="M457" s="4"/>
      <c r="N457" s="4"/>
      <c r="O457" s="14"/>
      <c r="P457" s="4"/>
      <c r="Q457" s="4"/>
      <c r="R457" s="4"/>
      <c r="S457" s="4"/>
      <c r="T457" s="4"/>
    </row>
    <row r="458" spans="1:20" x14ac:dyDescent="0.35">
      <c r="A458" s="3"/>
      <c r="B458" s="2"/>
      <c r="C458" s="4"/>
      <c r="D458" s="18"/>
      <c r="E458" s="4"/>
      <c r="F458" s="4"/>
      <c r="G458" s="14"/>
      <c r="H458" s="4"/>
      <c r="I458" s="4"/>
      <c r="J458" s="4"/>
      <c r="K458" s="4"/>
      <c r="L458" s="4"/>
      <c r="M458" s="4"/>
      <c r="N458" s="4"/>
      <c r="O458" s="14"/>
      <c r="P458" s="4"/>
      <c r="Q458" s="4"/>
      <c r="R458" s="4"/>
      <c r="S458" s="4"/>
      <c r="T458" s="4"/>
    </row>
    <row r="459" spans="1:20" x14ac:dyDescent="0.35">
      <c r="A459" s="3"/>
      <c r="B459" s="2"/>
      <c r="C459" s="4"/>
      <c r="D459" s="18"/>
      <c r="E459" s="4"/>
      <c r="F459" s="4"/>
      <c r="G459" s="14"/>
      <c r="H459" s="4"/>
      <c r="I459" s="4"/>
      <c r="J459" s="4"/>
      <c r="K459" s="4"/>
      <c r="L459" s="4"/>
      <c r="M459" s="4"/>
      <c r="N459" s="4"/>
      <c r="O459" s="14"/>
      <c r="P459" s="4"/>
      <c r="Q459" s="4"/>
      <c r="R459" s="4"/>
      <c r="S459" s="4"/>
      <c r="T459" s="4"/>
    </row>
    <row r="460" spans="1:20" x14ac:dyDescent="0.35">
      <c r="A460" s="3"/>
      <c r="B460" s="2"/>
      <c r="C460" s="4"/>
      <c r="D460" s="18"/>
      <c r="E460" s="4"/>
      <c r="F460" s="4"/>
      <c r="G460" s="14"/>
      <c r="H460" s="4"/>
      <c r="I460" s="4"/>
      <c r="J460" s="4"/>
      <c r="K460" s="4"/>
      <c r="L460" s="4"/>
      <c r="M460" s="4"/>
      <c r="N460" s="4"/>
      <c r="O460" s="14"/>
      <c r="P460" s="4"/>
      <c r="Q460" s="4"/>
      <c r="R460" s="4"/>
      <c r="S460" s="4"/>
      <c r="T460" s="4"/>
    </row>
    <row r="461" spans="1:20" x14ac:dyDescent="0.35">
      <c r="A461" s="3"/>
      <c r="B461" s="2"/>
      <c r="C461" s="4"/>
      <c r="D461" s="18"/>
      <c r="E461" s="4"/>
      <c r="F461" s="4"/>
      <c r="G461" s="14"/>
      <c r="H461" s="4"/>
      <c r="I461" s="4"/>
      <c r="J461" s="4"/>
      <c r="K461" s="4"/>
      <c r="L461" s="4"/>
      <c r="M461" s="4"/>
      <c r="N461" s="4"/>
      <c r="O461" s="14"/>
      <c r="P461" s="4"/>
      <c r="Q461" s="4"/>
      <c r="R461" s="4"/>
      <c r="S461" s="4"/>
      <c r="T461" s="4"/>
    </row>
    <row r="462" spans="1:20" x14ac:dyDescent="0.35">
      <c r="A462" s="3"/>
      <c r="B462" s="2"/>
      <c r="C462" s="4"/>
      <c r="D462" s="18"/>
      <c r="E462" s="4"/>
      <c r="F462" s="4"/>
      <c r="G462" s="14"/>
      <c r="H462" s="4"/>
      <c r="I462" s="4"/>
      <c r="J462" s="4"/>
      <c r="K462" s="4"/>
      <c r="L462" s="4"/>
      <c r="M462" s="4"/>
      <c r="N462" s="4"/>
      <c r="O462" s="14"/>
      <c r="P462" s="4"/>
      <c r="Q462" s="4"/>
      <c r="R462" s="4"/>
      <c r="S462" s="4"/>
      <c r="T462" s="4"/>
    </row>
    <row r="463" spans="1:20" x14ac:dyDescent="0.35">
      <c r="A463" s="3"/>
      <c r="B463" s="2"/>
      <c r="C463" s="4"/>
      <c r="D463" s="18"/>
      <c r="E463" s="4"/>
      <c r="F463" s="4"/>
      <c r="G463" s="14"/>
      <c r="H463" s="4"/>
      <c r="I463" s="4"/>
      <c r="J463" s="4"/>
      <c r="K463" s="4"/>
      <c r="L463" s="4"/>
      <c r="M463" s="4"/>
      <c r="N463" s="4"/>
      <c r="O463" s="14"/>
      <c r="P463" s="4"/>
      <c r="Q463" s="4"/>
      <c r="R463" s="4"/>
      <c r="S463" s="4"/>
      <c r="T463" s="4"/>
    </row>
    <row r="464" spans="1:20" x14ac:dyDescent="0.35">
      <c r="A464" s="3"/>
      <c r="B464" s="2"/>
      <c r="C464" s="4"/>
      <c r="D464" s="18"/>
      <c r="E464" s="4"/>
      <c r="F464" s="4"/>
      <c r="G464" s="14"/>
      <c r="H464" s="4"/>
      <c r="I464" s="4"/>
      <c r="J464" s="4"/>
      <c r="K464" s="4"/>
      <c r="L464" s="4"/>
      <c r="M464" s="4"/>
      <c r="N464" s="4"/>
      <c r="O464" s="14"/>
      <c r="P464" s="4"/>
      <c r="Q464" s="4"/>
      <c r="R464" s="4"/>
      <c r="S464" s="4"/>
      <c r="T464" s="4"/>
    </row>
    <row r="465" spans="1:20" x14ac:dyDescent="0.35">
      <c r="A465" s="3"/>
      <c r="B465" s="2"/>
      <c r="C465" s="4"/>
      <c r="D465" s="18"/>
      <c r="E465" s="4"/>
      <c r="F465" s="4"/>
      <c r="G465" s="14"/>
      <c r="H465" s="4"/>
      <c r="I465" s="4"/>
      <c r="J465" s="4"/>
      <c r="K465" s="4"/>
      <c r="L465" s="4"/>
      <c r="M465" s="4"/>
      <c r="N465" s="4"/>
      <c r="O465" s="14"/>
      <c r="P465" s="4"/>
      <c r="Q465" s="4"/>
      <c r="R465" s="4"/>
      <c r="S465" s="4"/>
      <c r="T465" s="4"/>
    </row>
    <row r="466" spans="1:20" x14ac:dyDescent="0.35">
      <c r="A466" s="3"/>
      <c r="B466" s="2"/>
      <c r="C466" s="4"/>
      <c r="D466" s="18"/>
      <c r="E466" s="4"/>
      <c r="F466" s="4"/>
      <c r="G466" s="14"/>
      <c r="H466" s="4"/>
      <c r="I466" s="4"/>
      <c r="J466" s="4"/>
      <c r="K466" s="4"/>
      <c r="L466" s="4"/>
      <c r="M466" s="4"/>
      <c r="N466" s="4"/>
      <c r="O466" s="14"/>
      <c r="P466" s="4"/>
      <c r="Q466" s="4"/>
      <c r="R466" s="4"/>
      <c r="S466" s="4"/>
      <c r="T466" s="4"/>
    </row>
    <row r="467" spans="1:20" x14ac:dyDescent="0.35">
      <c r="A467" s="3"/>
      <c r="B467" s="2"/>
      <c r="C467" s="4"/>
      <c r="D467" s="18"/>
      <c r="E467" s="4"/>
      <c r="F467" s="4"/>
      <c r="G467" s="14"/>
      <c r="H467" s="4"/>
      <c r="I467" s="4"/>
      <c r="J467" s="4"/>
      <c r="K467" s="4"/>
      <c r="L467" s="4"/>
      <c r="M467" s="4"/>
      <c r="N467" s="4"/>
      <c r="O467" s="14"/>
      <c r="P467" s="4"/>
      <c r="Q467" s="4"/>
      <c r="R467" s="4"/>
      <c r="S467" s="4"/>
      <c r="T467" s="4"/>
    </row>
    <row r="468" spans="1:20" x14ac:dyDescent="0.35">
      <c r="A468" s="3"/>
      <c r="B468" s="2"/>
      <c r="C468" s="4"/>
      <c r="D468" s="18"/>
      <c r="E468" s="4"/>
      <c r="F468" s="4"/>
      <c r="G468" s="14"/>
      <c r="H468" s="4"/>
      <c r="I468" s="4"/>
      <c r="J468" s="4"/>
      <c r="K468" s="4"/>
      <c r="L468" s="4"/>
      <c r="M468" s="4"/>
      <c r="N468" s="4"/>
      <c r="O468" s="14"/>
      <c r="P468" s="4"/>
      <c r="Q468" s="4"/>
      <c r="R468" s="4"/>
      <c r="S468" s="4"/>
      <c r="T468" s="4"/>
    </row>
    <row r="469" spans="1:20" x14ac:dyDescent="0.35">
      <c r="A469" s="3"/>
      <c r="B469" s="2"/>
      <c r="C469" s="4"/>
      <c r="D469" s="18"/>
      <c r="E469" s="4"/>
      <c r="F469" s="4"/>
      <c r="G469" s="14"/>
      <c r="H469" s="4"/>
      <c r="I469" s="4"/>
      <c r="J469" s="4"/>
      <c r="K469" s="4"/>
      <c r="L469" s="4"/>
      <c r="M469" s="4"/>
      <c r="N469" s="4"/>
      <c r="O469" s="14"/>
      <c r="P469" s="4"/>
      <c r="Q469" s="4"/>
      <c r="R469" s="4"/>
      <c r="S469" s="4"/>
      <c r="T469" s="4"/>
    </row>
    <row r="470" spans="1:20" x14ac:dyDescent="0.35">
      <c r="A470" s="3"/>
      <c r="B470" s="2"/>
      <c r="C470" s="4"/>
      <c r="D470" s="18"/>
      <c r="E470" s="4"/>
      <c r="F470" s="4"/>
      <c r="G470" s="14"/>
      <c r="H470" s="4"/>
      <c r="I470" s="4"/>
      <c r="J470" s="4"/>
      <c r="K470" s="4"/>
      <c r="L470" s="4"/>
      <c r="M470" s="4"/>
      <c r="N470" s="4"/>
      <c r="O470" s="14"/>
      <c r="P470" s="4"/>
      <c r="Q470" s="4"/>
      <c r="R470" s="4"/>
      <c r="S470" s="4"/>
      <c r="T470" s="4"/>
    </row>
    <row r="471" spans="1:20" x14ac:dyDescent="0.35">
      <c r="A471" s="3"/>
      <c r="B471" s="2"/>
      <c r="C471" s="4"/>
      <c r="D471" s="18"/>
      <c r="E471" s="4"/>
      <c r="F471" s="4"/>
      <c r="G471" s="14"/>
      <c r="H471" s="4"/>
      <c r="I471" s="4"/>
      <c r="J471" s="4"/>
      <c r="K471" s="4"/>
      <c r="L471" s="4"/>
      <c r="M471" s="4"/>
      <c r="N471" s="4"/>
      <c r="O471" s="14"/>
      <c r="P471" s="4"/>
      <c r="Q471" s="4"/>
      <c r="R471" s="4"/>
      <c r="S471" s="4"/>
      <c r="T471" s="4"/>
    </row>
    <row r="472" spans="1:20" x14ac:dyDescent="0.35">
      <c r="A472" s="3"/>
      <c r="B472" s="4"/>
      <c r="C472" s="4"/>
      <c r="D472" s="18"/>
      <c r="E472" s="4"/>
      <c r="F472" s="4"/>
      <c r="G472" s="14"/>
      <c r="H472" s="4"/>
      <c r="I472" s="4"/>
      <c r="J472" s="4"/>
      <c r="K472" s="4"/>
      <c r="L472" s="4"/>
      <c r="M472" s="4"/>
      <c r="N472" s="4"/>
      <c r="O472" s="14"/>
      <c r="P472" s="4"/>
      <c r="Q472" s="4"/>
      <c r="R472" s="4"/>
      <c r="S472" s="4"/>
      <c r="T472" s="4"/>
    </row>
    <row r="473" spans="1:20" x14ac:dyDescent="0.35">
      <c r="A473" s="3"/>
      <c r="B473" s="4"/>
      <c r="C473" s="4"/>
      <c r="D473" s="18"/>
      <c r="E473" s="4"/>
      <c r="F473" s="4"/>
      <c r="G473" s="14"/>
      <c r="H473" s="4"/>
      <c r="I473" s="4"/>
      <c r="J473" s="4"/>
      <c r="K473" s="4"/>
      <c r="L473" s="4"/>
      <c r="M473" s="4"/>
      <c r="N473" s="4"/>
      <c r="O473" s="14"/>
      <c r="P473" s="4"/>
      <c r="Q473" s="4"/>
      <c r="R473" s="4"/>
      <c r="S473" s="4"/>
      <c r="T473" s="4"/>
    </row>
    <row r="474" spans="1:20" x14ac:dyDescent="0.35">
      <c r="A474" s="3"/>
      <c r="B474" s="3"/>
      <c r="C474" s="19"/>
      <c r="D474" s="19"/>
      <c r="E474" s="6"/>
      <c r="F474" s="7"/>
      <c r="G474" s="8"/>
      <c r="H474" s="7"/>
      <c r="I474" s="9"/>
      <c r="J474" s="10"/>
      <c r="K474" s="7"/>
      <c r="L474" s="7"/>
      <c r="M474" s="7"/>
      <c r="N474" s="7"/>
      <c r="O474" s="35"/>
      <c r="P474" s="10"/>
      <c r="Q474" s="7"/>
      <c r="R474" s="11"/>
      <c r="S474" s="12"/>
      <c r="T474" s="13"/>
    </row>
    <row r="475" spans="1:20" x14ac:dyDescent="0.35">
      <c r="A475" s="3"/>
      <c r="B475" s="2"/>
      <c r="C475" s="4"/>
      <c r="D475" s="18"/>
      <c r="E475" s="4"/>
      <c r="F475" s="4"/>
      <c r="G475" s="14"/>
      <c r="H475" s="4"/>
      <c r="I475" s="4"/>
      <c r="J475" s="4"/>
      <c r="K475" s="4"/>
      <c r="L475" s="4"/>
      <c r="M475" s="4"/>
      <c r="N475" s="4"/>
      <c r="O475" s="14"/>
      <c r="P475" s="4"/>
      <c r="Q475" s="4"/>
      <c r="R475" s="4"/>
      <c r="S475" s="4"/>
      <c r="T475" s="4"/>
    </row>
    <row r="476" spans="1:20" x14ac:dyDescent="0.35">
      <c r="A476" s="3"/>
      <c r="B476" s="2"/>
      <c r="C476" s="4"/>
      <c r="D476" s="18"/>
      <c r="E476" s="4"/>
      <c r="F476" s="4"/>
      <c r="G476" s="14"/>
      <c r="H476" s="4"/>
      <c r="I476" s="4"/>
      <c r="J476" s="4"/>
      <c r="K476" s="4"/>
      <c r="L476" s="4"/>
      <c r="M476" s="4"/>
      <c r="N476" s="4"/>
      <c r="O476" s="14"/>
      <c r="P476" s="4"/>
      <c r="Q476" s="4"/>
      <c r="R476" s="4"/>
      <c r="S476" s="4"/>
      <c r="T476" s="4"/>
    </row>
    <row r="477" spans="1:20" x14ac:dyDescent="0.35">
      <c r="A477" s="3"/>
      <c r="B477" s="2"/>
      <c r="C477" s="4"/>
      <c r="D477" s="18"/>
      <c r="E477" s="4"/>
      <c r="F477" s="4"/>
      <c r="G477" s="14"/>
      <c r="H477" s="4"/>
      <c r="I477" s="4"/>
      <c r="J477" s="4"/>
      <c r="K477" s="4"/>
      <c r="L477" s="4"/>
      <c r="M477" s="4"/>
      <c r="N477" s="4"/>
      <c r="O477" s="14"/>
      <c r="P477" s="4"/>
      <c r="Q477" s="4"/>
      <c r="R477" s="4"/>
      <c r="S477" s="4"/>
      <c r="T477" s="4"/>
    </row>
    <row r="478" spans="1:20" x14ac:dyDescent="0.35">
      <c r="A478" s="3"/>
      <c r="B478" s="2"/>
      <c r="C478" s="4"/>
      <c r="D478" s="18"/>
      <c r="E478" s="4"/>
      <c r="F478" s="4"/>
      <c r="G478" s="14"/>
      <c r="H478" s="4"/>
      <c r="I478" s="4"/>
      <c r="J478" s="4"/>
      <c r="K478" s="4"/>
      <c r="L478" s="4"/>
      <c r="M478" s="4"/>
      <c r="N478" s="4"/>
      <c r="O478" s="14"/>
      <c r="P478" s="4"/>
      <c r="Q478" s="4"/>
      <c r="R478" s="4"/>
      <c r="S478" s="4"/>
      <c r="T478" s="4"/>
    </row>
    <row r="479" spans="1:20" x14ac:dyDescent="0.35">
      <c r="A479" s="3"/>
      <c r="B479" s="2"/>
      <c r="C479" s="4"/>
      <c r="D479" s="18"/>
      <c r="E479" s="4"/>
      <c r="F479" s="4"/>
      <c r="G479" s="14"/>
      <c r="H479" s="4"/>
      <c r="I479" s="4"/>
      <c r="J479" s="4"/>
      <c r="K479" s="4"/>
      <c r="L479" s="4"/>
      <c r="M479" s="4"/>
      <c r="N479" s="4"/>
      <c r="O479" s="14"/>
      <c r="P479" s="4"/>
      <c r="Q479" s="4"/>
      <c r="R479" s="4"/>
      <c r="S479" s="4"/>
      <c r="T479" s="4"/>
    </row>
    <row r="480" spans="1:20" x14ac:dyDescent="0.35">
      <c r="A480" s="3"/>
      <c r="B480" s="2"/>
      <c r="C480" s="4"/>
      <c r="D480" s="18"/>
      <c r="E480" s="4"/>
      <c r="F480" s="4"/>
      <c r="G480" s="14"/>
      <c r="H480" s="4"/>
      <c r="I480" s="4"/>
      <c r="J480" s="4"/>
      <c r="K480" s="4"/>
      <c r="L480" s="4"/>
      <c r="M480" s="4"/>
      <c r="N480" s="4"/>
      <c r="O480" s="14"/>
      <c r="P480" s="4"/>
      <c r="Q480" s="4"/>
      <c r="R480" s="4"/>
      <c r="S480" s="4"/>
      <c r="T480" s="4"/>
    </row>
    <row r="481" spans="1:20" x14ac:dyDescent="0.35">
      <c r="A481" s="3"/>
      <c r="B481" s="2"/>
      <c r="C481" s="4"/>
      <c r="D481" s="18"/>
      <c r="E481" s="4"/>
      <c r="F481" s="4"/>
      <c r="G481" s="14"/>
      <c r="H481" s="4"/>
      <c r="I481" s="4"/>
      <c r="J481" s="4"/>
      <c r="K481" s="4"/>
      <c r="L481" s="4"/>
      <c r="M481" s="4"/>
      <c r="N481" s="4"/>
      <c r="O481" s="14"/>
      <c r="P481" s="4"/>
      <c r="Q481" s="4"/>
      <c r="R481" s="4"/>
      <c r="S481" s="4"/>
      <c r="T481" s="4"/>
    </row>
    <row r="482" spans="1:20" x14ac:dyDescent="0.35">
      <c r="A482" s="3"/>
      <c r="B482" s="2"/>
      <c r="C482" s="4"/>
      <c r="D482" s="18"/>
      <c r="E482" s="4"/>
      <c r="F482" s="4"/>
      <c r="G482" s="14"/>
      <c r="H482" s="4"/>
      <c r="I482" s="4"/>
      <c r="J482" s="4"/>
      <c r="K482" s="4"/>
      <c r="L482" s="4"/>
      <c r="M482" s="4"/>
      <c r="N482" s="4"/>
      <c r="O482" s="14"/>
      <c r="P482" s="4"/>
      <c r="Q482" s="4"/>
      <c r="R482" s="4"/>
      <c r="S482" s="4"/>
      <c r="T482" s="4"/>
    </row>
    <row r="483" spans="1:20" x14ac:dyDescent="0.35">
      <c r="A483" s="3"/>
      <c r="B483" s="2"/>
      <c r="C483" s="4"/>
      <c r="D483" s="18"/>
      <c r="E483" s="4"/>
      <c r="F483" s="4"/>
      <c r="G483" s="14"/>
      <c r="H483" s="4"/>
      <c r="I483" s="4"/>
      <c r="J483" s="4"/>
      <c r="K483" s="4"/>
      <c r="L483" s="4"/>
      <c r="M483" s="4"/>
      <c r="N483" s="4"/>
      <c r="O483" s="14"/>
      <c r="P483" s="4"/>
      <c r="Q483" s="4"/>
      <c r="R483" s="4"/>
      <c r="S483" s="4"/>
      <c r="T483" s="4"/>
    </row>
    <row r="484" spans="1:20" x14ac:dyDescent="0.35">
      <c r="A484" s="3"/>
      <c r="B484" s="2"/>
      <c r="C484" s="4"/>
      <c r="D484" s="18"/>
      <c r="E484" s="4"/>
      <c r="F484" s="4"/>
      <c r="G484" s="14"/>
      <c r="H484" s="4"/>
      <c r="I484" s="4"/>
      <c r="J484" s="4"/>
      <c r="K484" s="4"/>
      <c r="L484" s="4"/>
      <c r="M484" s="4"/>
      <c r="N484" s="4"/>
      <c r="O484" s="14"/>
      <c r="P484" s="4"/>
      <c r="Q484" s="4"/>
      <c r="R484" s="4"/>
      <c r="S484" s="4"/>
      <c r="T484" s="4"/>
    </row>
    <row r="485" spans="1:20" x14ac:dyDescent="0.35">
      <c r="A485" s="3"/>
      <c r="B485" s="2"/>
      <c r="C485" s="4"/>
      <c r="D485" s="18"/>
      <c r="E485" s="4"/>
      <c r="F485" s="4"/>
      <c r="G485" s="14"/>
      <c r="H485" s="4"/>
      <c r="I485" s="4"/>
      <c r="J485" s="4"/>
      <c r="K485" s="4"/>
      <c r="L485" s="4"/>
      <c r="M485" s="4"/>
      <c r="N485" s="4"/>
      <c r="O485" s="14"/>
      <c r="P485" s="4"/>
      <c r="Q485" s="4"/>
      <c r="R485" s="4"/>
      <c r="S485" s="4"/>
      <c r="T485" s="4"/>
    </row>
    <row r="486" spans="1:20" x14ac:dyDescent="0.35">
      <c r="A486" s="3"/>
      <c r="B486" s="2"/>
      <c r="C486" s="4"/>
      <c r="D486" s="18"/>
      <c r="E486" s="4"/>
      <c r="F486" s="4"/>
      <c r="G486" s="14"/>
      <c r="H486" s="4"/>
      <c r="I486" s="4"/>
      <c r="J486" s="4"/>
      <c r="K486" s="4"/>
      <c r="L486" s="4"/>
      <c r="M486" s="4"/>
      <c r="N486" s="4"/>
      <c r="O486" s="14"/>
      <c r="P486" s="4"/>
      <c r="Q486" s="4"/>
      <c r="R486" s="4"/>
      <c r="S486" s="4"/>
      <c r="T486" s="4"/>
    </row>
    <row r="487" spans="1:20" x14ac:dyDescent="0.35">
      <c r="A487" s="3"/>
      <c r="B487" s="2"/>
      <c r="C487" s="4"/>
      <c r="D487" s="18"/>
      <c r="E487" s="4"/>
      <c r="F487" s="4"/>
      <c r="G487" s="14"/>
      <c r="H487" s="4"/>
      <c r="I487" s="4"/>
      <c r="J487" s="4"/>
      <c r="K487" s="4"/>
      <c r="L487" s="4"/>
      <c r="M487" s="4"/>
      <c r="N487" s="4"/>
      <c r="O487" s="14"/>
      <c r="P487" s="4"/>
      <c r="Q487" s="4"/>
      <c r="R487" s="4"/>
      <c r="S487" s="4"/>
      <c r="T487" s="4"/>
    </row>
    <row r="488" spans="1:20" x14ac:dyDescent="0.35">
      <c r="A488" s="3"/>
      <c r="B488" s="2"/>
      <c r="C488" s="4"/>
      <c r="D488" s="18"/>
      <c r="E488" s="4"/>
      <c r="F488" s="4"/>
      <c r="G488" s="14"/>
      <c r="H488" s="4"/>
      <c r="I488" s="4"/>
      <c r="J488" s="4"/>
      <c r="K488" s="4"/>
      <c r="L488" s="4"/>
      <c r="M488" s="4"/>
      <c r="N488" s="4"/>
      <c r="O488" s="14"/>
      <c r="P488" s="4"/>
      <c r="Q488" s="4"/>
      <c r="R488" s="4"/>
      <c r="S488" s="4"/>
      <c r="T488" s="4"/>
    </row>
    <row r="489" spans="1:20" x14ac:dyDescent="0.35">
      <c r="A489" s="3"/>
      <c r="B489" s="2"/>
      <c r="C489" s="4"/>
      <c r="D489" s="18"/>
      <c r="E489" s="4"/>
      <c r="F489" s="4"/>
      <c r="G489" s="14"/>
      <c r="H489" s="4"/>
      <c r="I489" s="4"/>
      <c r="J489" s="4"/>
      <c r="K489" s="4"/>
      <c r="L489" s="4"/>
      <c r="M489" s="4"/>
      <c r="N489" s="4"/>
      <c r="O489" s="14"/>
      <c r="P489" s="4"/>
      <c r="Q489" s="4"/>
      <c r="R489" s="4"/>
      <c r="S489" s="4"/>
      <c r="T489" s="4"/>
    </row>
    <row r="490" spans="1:20" x14ac:dyDescent="0.35">
      <c r="A490" s="3"/>
      <c r="B490" s="2"/>
      <c r="C490" s="4"/>
      <c r="D490" s="18"/>
      <c r="E490" s="4"/>
      <c r="F490" s="4"/>
      <c r="G490" s="14"/>
      <c r="H490" s="4"/>
      <c r="I490" s="4"/>
      <c r="J490" s="4"/>
      <c r="K490" s="4"/>
      <c r="L490" s="4"/>
      <c r="M490" s="4"/>
      <c r="N490" s="4"/>
      <c r="O490" s="14"/>
      <c r="P490" s="4"/>
      <c r="Q490" s="4"/>
      <c r="R490" s="4"/>
      <c r="S490" s="4"/>
      <c r="T490" s="4"/>
    </row>
    <row r="491" spans="1:20" x14ac:dyDescent="0.35">
      <c r="A491" s="3"/>
      <c r="B491" s="2"/>
      <c r="C491" s="4"/>
      <c r="D491" s="18"/>
      <c r="E491" s="4"/>
      <c r="F491" s="4"/>
      <c r="G491" s="14"/>
      <c r="H491" s="4"/>
      <c r="I491" s="4"/>
      <c r="J491" s="4"/>
      <c r="K491" s="4"/>
      <c r="L491" s="4"/>
      <c r="M491" s="4"/>
      <c r="N491" s="4"/>
      <c r="O491" s="14"/>
      <c r="P491" s="4"/>
      <c r="Q491" s="4"/>
      <c r="R491" s="4"/>
      <c r="S491" s="4"/>
      <c r="T491" s="4"/>
    </row>
    <row r="492" spans="1:20" x14ac:dyDescent="0.35">
      <c r="A492" s="3"/>
      <c r="B492" s="2"/>
      <c r="C492" s="4"/>
      <c r="D492" s="18"/>
      <c r="E492" s="4"/>
      <c r="F492" s="4"/>
      <c r="G492" s="14"/>
      <c r="H492" s="4"/>
      <c r="I492" s="4"/>
      <c r="J492" s="4"/>
      <c r="K492" s="4"/>
      <c r="L492" s="4"/>
      <c r="M492" s="4"/>
      <c r="N492" s="4"/>
      <c r="O492" s="14"/>
      <c r="P492" s="4"/>
      <c r="Q492" s="4"/>
      <c r="R492" s="4"/>
      <c r="S492" s="4"/>
      <c r="T492" s="4"/>
    </row>
    <row r="493" spans="1:20" x14ac:dyDescent="0.35">
      <c r="A493" s="3"/>
      <c r="B493" s="2"/>
      <c r="C493" s="4"/>
      <c r="D493" s="18"/>
      <c r="E493" s="4"/>
      <c r="F493" s="4"/>
      <c r="G493" s="14"/>
      <c r="H493" s="4"/>
      <c r="I493" s="4"/>
      <c r="J493" s="4"/>
      <c r="K493" s="4"/>
      <c r="L493" s="4"/>
      <c r="M493" s="4"/>
      <c r="N493" s="4"/>
      <c r="O493" s="14"/>
      <c r="P493" s="4"/>
      <c r="Q493" s="4"/>
      <c r="R493" s="4"/>
      <c r="S493" s="4"/>
      <c r="T493" s="4"/>
    </row>
    <row r="494" spans="1:20" x14ac:dyDescent="0.35">
      <c r="A494" s="3"/>
      <c r="B494" s="2"/>
      <c r="C494" s="4"/>
      <c r="D494" s="18"/>
      <c r="E494" s="4"/>
      <c r="F494" s="4"/>
      <c r="G494" s="14"/>
      <c r="H494" s="4"/>
      <c r="I494" s="4"/>
      <c r="J494" s="4"/>
      <c r="K494" s="4"/>
      <c r="L494" s="4"/>
      <c r="M494" s="4"/>
      <c r="N494" s="4"/>
      <c r="O494" s="14"/>
      <c r="P494" s="4"/>
      <c r="Q494" s="4"/>
      <c r="R494" s="4"/>
      <c r="S494" s="4"/>
      <c r="T494" s="4"/>
    </row>
    <row r="495" spans="1:20" x14ac:dyDescent="0.35">
      <c r="A495" s="3"/>
      <c r="B495" s="2"/>
      <c r="C495" s="4"/>
      <c r="D495" s="18"/>
      <c r="E495" s="4"/>
      <c r="F495" s="4"/>
      <c r="G495" s="14"/>
      <c r="H495" s="4"/>
      <c r="I495" s="4"/>
      <c r="J495" s="4"/>
      <c r="K495" s="4"/>
      <c r="L495" s="4"/>
      <c r="M495" s="4"/>
      <c r="N495" s="4"/>
      <c r="O495" s="14"/>
      <c r="P495" s="4"/>
      <c r="Q495" s="4"/>
      <c r="R495" s="4"/>
      <c r="S495" s="4"/>
      <c r="T495" s="4"/>
    </row>
    <row r="496" spans="1:20" x14ac:dyDescent="0.35">
      <c r="A496" s="3"/>
      <c r="B496" s="2"/>
      <c r="C496" s="4"/>
      <c r="D496" s="18"/>
      <c r="E496" s="4"/>
      <c r="F496" s="4"/>
      <c r="G496" s="14"/>
      <c r="H496" s="4"/>
      <c r="I496" s="4"/>
      <c r="J496" s="4"/>
      <c r="K496" s="4"/>
      <c r="L496" s="4"/>
      <c r="M496" s="4"/>
      <c r="N496" s="4"/>
      <c r="O496" s="14"/>
      <c r="P496" s="4"/>
      <c r="Q496" s="4"/>
      <c r="R496" s="4"/>
      <c r="S496" s="4"/>
      <c r="T496" s="4"/>
    </row>
    <row r="497" spans="1:20" x14ac:dyDescent="0.35">
      <c r="A497" s="3"/>
      <c r="B497" s="2"/>
      <c r="C497" s="4"/>
      <c r="D497" s="18"/>
      <c r="E497" s="4"/>
      <c r="F497" s="4"/>
      <c r="G497" s="14"/>
      <c r="H497" s="4"/>
      <c r="I497" s="4"/>
      <c r="J497" s="4"/>
      <c r="K497" s="4"/>
      <c r="L497" s="4"/>
      <c r="M497" s="4"/>
      <c r="N497" s="4"/>
      <c r="O497" s="14"/>
      <c r="P497" s="4"/>
      <c r="Q497" s="4"/>
      <c r="R497" s="4"/>
      <c r="S497" s="4"/>
      <c r="T497" s="4"/>
    </row>
    <row r="498" spans="1:20" x14ac:dyDescent="0.35">
      <c r="A498" s="3"/>
      <c r="B498" s="2"/>
      <c r="C498" s="4"/>
      <c r="D498" s="18"/>
      <c r="E498" s="4"/>
      <c r="F498" s="4"/>
      <c r="G498" s="14"/>
      <c r="H498" s="4"/>
      <c r="I498" s="4"/>
      <c r="J498" s="4"/>
      <c r="K498" s="4"/>
      <c r="L498" s="4"/>
      <c r="M498" s="4"/>
      <c r="N498" s="4"/>
      <c r="O498" s="14"/>
      <c r="P498" s="4"/>
      <c r="Q498" s="4"/>
      <c r="R498" s="4"/>
      <c r="S498" s="4"/>
      <c r="T498" s="4"/>
    </row>
    <row r="499" spans="1:20" x14ac:dyDescent="0.35">
      <c r="A499" s="3"/>
      <c r="B499" s="2"/>
      <c r="C499" s="4"/>
      <c r="D499" s="18"/>
      <c r="E499" s="4"/>
      <c r="F499" s="4"/>
      <c r="G499" s="14"/>
      <c r="H499" s="4"/>
      <c r="I499" s="4"/>
      <c r="J499" s="4"/>
      <c r="K499" s="4"/>
      <c r="L499" s="4"/>
      <c r="M499" s="4"/>
      <c r="N499" s="4"/>
      <c r="O499" s="14"/>
      <c r="P499" s="4"/>
      <c r="Q499" s="4"/>
      <c r="R499" s="4"/>
      <c r="S499" s="4"/>
      <c r="T499" s="4"/>
    </row>
    <row r="500" spans="1:20" x14ac:dyDescent="0.35">
      <c r="A500" s="3"/>
      <c r="B500" s="2"/>
      <c r="C500" s="4"/>
      <c r="D500" s="18"/>
      <c r="E500" s="4"/>
      <c r="F500" s="4"/>
      <c r="G500" s="14"/>
      <c r="H500" s="4"/>
      <c r="I500" s="4"/>
      <c r="J500" s="4"/>
      <c r="K500" s="4"/>
      <c r="L500" s="4"/>
      <c r="M500" s="4"/>
      <c r="N500" s="4"/>
      <c r="O500" s="14"/>
      <c r="P500" s="4"/>
      <c r="Q500" s="4"/>
      <c r="R500" s="4"/>
      <c r="S500" s="4"/>
      <c r="T500" s="4"/>
    </row>
    <row r="501" spans="1:20" x14ac:dyDescent="0.35">
      <c r="A501" s="3"/>
      <c r="B501" s="2"/>
      <c r="C501" s="4"/>
      <c r="D501" s="18"/>
      <c r="E501" s="4"/>
      <c r="F501" s="4"/>
      <c r="G501" s="14"/>
      <c r="H501" s="4"/>
      <c r="I501" s="4"/>
      <c r="J501" s="4"/>
      <c r="K501" s="4"/>
      <c r="L501" s="4"/>
      <c r="M501" s="4"/>
      <c r="N501" s="4"/>
      <c r="O501" s="14"/>
      <c r="P501" s="4"/>
      <c r="Q501" s="4"/>
      <c r="R501" s="4"/>
      <c r="S501" s="4"/>
      <c r="T501" s="4"/>
    </row>
    <row r="502" spans="1:20" x14ac:dyDescent="0.35">
      <c r="A502" s="3"/>
      <c r="B502" s="2"/>
      <c r="C502" s="4"/>
      <c r="D502" s="18"/>
      <c r="E502" s="4"/>
      <c r="F502" s="4"/>
      <c r="G502" s="14"/>
      <c r="H502" s="4"/>
      <c r="I502" s="4"/>
      <c r="J502" s="4"/>
      <c r="K502" s="4"/>
      <c r="L502" s="4"/>
      <c r="M502" s="4"/>
      <c r="N502" s="4"/>
      <c r="O502" s="14"/>
      <c r="P502" s="4"/>
      <c r="Q502" s="4"/>
      <c r="R502" s="4"/>
      <c r="S502" s="4"/>
      <c r="T502" s="4"/>
    </row>
    <row r="503" spans="1:20" x14ac:dyDescent="0.35">
      <c r="A503" s="3"/>
      <c r="B503" s="4"/>
      <c r="C503" s="4"/>
      <c r="D503" s="18"/>
      <c r="E503" s="4"/>
      <c r="F503" s="4"/>
      <c r="G503" s="14"/>
      <c r="H503" s="4"/>
      <c r="I503" s="4"/>
      <c r="J503" s="4"/>
      <c r="K503" s="4"/>
      <c r="L503" s="4"/>
      <c r="M503" s="4"/>
      <c r="N503" s="4"/>
      <c r="O503" s="14"/>
      <c r="P503" s="4"/>
      <c r="Q503" s="4"/>
      <c r="R503" s="4"/>
      <c r="S503" s="4"/>
      <c r="T503" s="4"/>
    </row>
    <row r="504" spans="1:20" x14ac:dyDescent="0.35">
      <c r="A504" s="3"/>
      <c r="B504" s="4"/>
      <c r="C504" s="4"/>
      <c r="D504" s="18"/>
      <c r="E504" s="4"/>
      <c r="F504" s="4"/>
      <c r="G504" s="14"/>
      <c r="H504" s="4"/>
      <c r="I504" s="4"/>
      <c r="J504" s="4"/>
      <c r="K504" s="4"/>
      <c r="L504" s="4"/>
      <c r="M504" s="4"/>
      <c r="N504" s="4"/>
      <c r="O504" s="14"/>
      <c r="P504" s="4"/>
      <c r="Q504" s="4"/>
      <c r="R504" s="4"/>
      <c r="S504" s="4"/>
      <c r="T504" s="4"/>
    </row>
    <row r="505" spans="1:20" x14ac:dyDescent="0.35">
      <c r="A505" s="3"/>
      <c r="B505" s="4"/>
      <c r="C505" s="4"/>
      <c r="D505" s="18"/>
      <c r="E505" s="4"/>
      <c r="F505" s="4"/>
      <c r="G505" s="14"/>
      <c r="H505" s="4"/>
      <c r="I505" s="4"/>
      <c r="J505" s="4"/>
      <c r="K505" s="4"/>
      <c r="L505" s="4"/>
      <c r="M505" s="4"/>
      <c r="N505" s="4"/>
      <c r="O505" s="14"/>
      <c r="P505" s="4"/>
      <c r="Q505" s="4"/>
      <c r="R505" s="4"/>
      <c r="S505" s="4"/>
      <c r="T505" s="4"/>
    </row>
    <row r="506" spans="1:20" x14ac:dyDescent="0.35">
      <c r="A506" s="3"/>
      <c r="B506" s="3"/>
      <c r="C506" s="19"/>
      <c r="D506" s="19"/>
      <c r="E506" s="6"/>
      <c r="F506" s="7"/>
      <c r="G506" s="8"/>
      <c r="H506" s="7"/>
      <c r="I506" s="9"/>
      <c r="J506" s="10"/>
      <c r="K506" s="7"/>
      <c r="L506" s="7"/>
      <c r="M506" s="7"/>
      <c r="N506" s="7"/>
      <c r="O506" s="35"/>
      <c r="P506" s="10"/>
      <c r="Q506" s="7"/>
      <c r="R506" s="11"/>
      <c r="S506" s="12"/>
      <c r="T506" s="13"/>
    </row>
    <row r="507" spans="1:20" x14ac:dyDescent="0.35">
      <c r="A507" s="3"/>
      <c r="B507" s="2"/>
      <c r="C507" s="4"/>
      <c r="D507" s="18"/>
      <c r="E507" s="4"/>
      <c r="F507" s="4"/>
      <c r="G507" s="14"/>
      <c r="H507" s="4"/>
      <c r="I507" s="4"/>
      <c r="J507" s="4"/>
      <c r="K507" s="4"/>
      <c r="L507" s="4"/>
      <c r="M507" s="4"/>
      <c r="N507" s="4"/>
      <c r="O507" s="14"/>
      <c r="P507" s="4"/>
      <c r="Q507" s="4"/>
      <c r="R507" s="4"/>
      <c r="S507" s="4"/>
      <c r="T507" s="4"/>
    </row>
    <row r="508" spans="1:20" x14ac:dyDescent="0.35">
      <c r="A508" s="3"/>
      <c r="B508" s="2"/>
      <c r="C508" s="4"/>
      <c r="D508" s="18"/>
      <c r="E508" s="4"/>
      <c r="F508" s="4"/>
      <c r="G508" s="14"/>
      <c r="H508" s="4"/>
      <c r="I508" s="4"/>
      <c r="J508" s="4"/>
      <c r="K508" s="4"/>
      <c r="L508" s="4"/>
      <c r="M508" s="4"/>
      <c r="N508" s="4"/>
      <c r="O508" s="14"/>
      <c r="P508" s="4"/>
      <c r="Q508" s="4"/>
      <c r="R508" s="4"/>
      <c r="S508" s="4"/>
      <c r="T508" s="4"/>
    </row>
    <row r="509" spans="1:20" x14ac:dyDescent="0.35">
      <c r="A509" s="3"/>
      <c r="B509" s="2"/>
      <c r="C509" s="4"/>
      <c r="D509" s="18"/>
      <c r="E509" s="4"/>
      <c r="F509" s="4"/>
      <c r="G509" s="14"/>
      <c r="H509" s="4"/>
      <c r="I509" s="4"/>
      <c r="J509" s="4"/>
      <c r="K509" s="4"/>
      <c r="L509" s="4"/>
      <c r="M509" s="4"/>
      <c r="N509" s="4"/>
      <c r="O509" s="14"/>
      <c r="P509" s="4"/>
      <c r="Q509" s="4"/>
      <c r="R509" s="4"/>
      <c r="S509" s="4"/>
      <c r="T509" s="4"/>
    </row>
    <row r="510" spans="1:20" x14ac:dyDescent="0.35">
      <c r="A510" s="3"/>
      <c r="B510" s="2"/>
      <c r="C510" s="4"/>
      <c r="D510" s="18"/>
      <c r="E510" s="4"/>
      <c r="F510" s="4"/>
      <c r="G510" s="14"/>
      <c r="H510" s="4"/>
      <c r="I510" s="4"/>
      <c r="J510" s="4"/>
      <c r="K510" s="4"/>
      <c r="L510" s="4"/>
      <c r="M510" s="4"/>
      <c r="N510" s="4"/>
      <c r="O510" s="14"/>
      <c r="P510" s="4"/>
      <c r="Q510" s="4"/>
      <c r="R510" s="4"/>
      <c r="S510" s="4"/>
      <c r="T510" s="4"/>
    </row>
    <row r="511" spans="1:20" x14ac:dyDescent="0.35">
      <c r="A511" s="3"/>
      <c r="B511" s="2"/>
      <c r="C511" s="4"/>
      <c r="D511" s="18"/>
      <c r="E511" s="4"/>
      <c r="F511" s="4"/>
      <c r="G511" s="14"/>
      <c r="H511" s="4"/>
      <c r="I511" s="4"/>
      <c r="J511" s="4"/>
      <c r="K511" s="4"/>
      <c r="L511" s="4"/>
      <c r="M511" s="4"/>
      <c r="N511" s="4"/>
      <c r="O511" s="14"/>
      <c r="P511" s="4"/>
      <c r="Q511" s="4"/>
      <c r="R511" s="4"/>
      <c r="S511" s="4"/>
      <c r="T511" s="4"/>
    </row>
    <row r="512" spans="1:20" x14ac:dyDescent="0.35">
      <c r="A512" s="3"/>
      <c r="B512" s="2"/>
      <c r="C512" s="4"/>
      <c r="D512" s="18"/>
      <c r="E512" s="4"/>
      <c r="F512" s="4"/>
      <c r="G512" s="14"/>
      <c r="H512" s="4"/>
      <c r="I512" s="4"/>
      <c r="J512" s="4"/>
      <c r="K512" s="4"/>
      <c r="L512" s="4"/>
      <c r="M512" s="4"/>
      <c r="N512" s="4"/>
      <c r="O512" s="14"/>
      <c r="P512" s="4"/>
      <c r="Q512" s="4"/>
      <c r="R512" s="4"/>
      <c r="S512" s="4"/>
      <c r="T512" s="4"/>
    </row>
    <row r="513" spans="1:20" x14ac:dyDescent="0.35">
      <c r="A513" s="3"/>
      <c r="B513" s="2"/>
      <c r="C513" s="4"/>
      <c r="D513" s="18"/>
      <c r="E513" s="4"/>
      <c r="F513" s="4"/>
      <c r="G513" s="14"/>
      <c r="H513" s="4"/>
      <c r="I513" s="4"/>
      <c r="J513" s="4"/>
      <c r="K513" s="4"/>
      <c r="L513" s="4"/>
      <c r="M513" s="4"/>
      <c r="N513" s="4"/>
      <c r="O513" s="14"/>
      <c r="P513" s="4"/>
      <c r="Q513" s="4"/>
      <c r="R513" s="4"/>
      <c r="S513" s="4"/>
      <c r="T513" s="4"/>
    </row>
    <row r="514" spans="1:20" x14ac:dyDescent="0.35">
      <c r="A514" s="3"/>
      <c r="B514" s="2"/>
      <c r="C514" s="4"/>
      <c r="D514" s="18"/>
      <c r="E514" s="4"/>
      <c r="F514" s="4"/>
      <c r="G514" s="14"/>
      <c r="H514" s="4"/>
      <c r="I514" s="4"/>
      <c r="J514" s="4"/>
      <c r="K514" s="4"/>
      <c r="L514" s="4"/>
      <c r="M514" s="4"/>
      <c r="N514" s="4"/>
      <c r="O514" s="14"/>
      <c r="P514" s="4"/>
      <c r="Q514" s="4"/>
      <c r="R514" s="4"/>
      <c r="S514" s="4"/>
      <c r="T514" s="4"/>
    </row>
    <row r="515" spans="1:20" x14ac:dyDescent="0.35">
      <c r="A515" s="3"/>
      <c r="B515" s="2"/>
      <c r="C515" s="4"/>
      <c r="D515" s="18"/>
      <c r="E515" s="4"/>
      <c r="F515" s="4"/>
      <c r="G515" s="14"/>
      <c r="H515" s="4"/>
      <c r="I515" s="4"/>
      <c r="J515" s="4"/>
      <c r="K515" s="4"/>
      <c r="L515" s="4"/>
      <c r="M515" s="4"/>
      <c r="N515" s="4"/>
      <c r="O515" s="14"/>
      <c r="P515" s="4"/>
      <c r="Q515" s="4"/>
      <c r="R515" s="4"/>
      <c r="S515" s="4"/>
      <c r="T515" s="4"/>
    </row>
    <row r="516" spans="1:20" x14ac:dyDescent="0.35">
      <c r="A516" s="3"/>
      <c r="B516" s="2"/>
      <c r="C516" s="4"/>
      <c r="D516" s="18"/>
      <c r="E516" s="4"/>
      <c r="F516" s="4"/>
      <c r="G516" s="14"/>
      <c r="H516" s="4"/>
      <c r="I516" s="4"/>
      <c r="J516" s="4"/>
      <c r="K516" s="4"/>
      <c r="L516" s="4"/>
      <c r="M516" s="4"/>
      <c r="N516" s="4"/>
      <c r="O516" s="14"/>
      <c r="P516" s="4"/>
      <c r="Q516" s="4"/>
      <c r="R516" s="4"/>
      <c r="S516" s="4"/>
      <c r="T516" s="4"/>
    </row>
    <row r="517" spans="1:20" x14ac:dyDescent="0.35">
      <c r="A517" s="3"/>
      <c r="B517" s="2"/>
      <c r="C517" s="4"/>
      <c r="D517" s="18"/>
      <c r="E517" s="4"/>
      <c r="F517" s="4"/>
      <c r="G517" s="14"/>
      <c r="H517" s="4"/>
      <c r="I517" s="4"/>
      <c r="J517" s="4"/>
      <c r="K517" s="4"/>
      <c r="L517" s="4"/>
      <c r="M517" s="4"/>
      <c r="N517" s="4"/>
      <c r="O517" s="14"/>
      <c r="P517" s="4"/>
      <c r="Q517" s="4"/>
      <c r="R517" s="4"/>
      <c r="S517" s="4"/>
      <c r="T517" s="4"/>
    </row>
    <row r="518" spans="1:20" x14ac:dyDescent="0.35">
      <c r="A518" s="3"/>
      <c r="B518" s="2"/>
      <c r="C518" s="4"/>
      <c r="D518" s="18"/>
      <c r="E518" s="4"/>
      <c r="F518" s="4"/>
      <c r="G518" s="14"/>
      <c r="H518" s="4"/>
      <c r="I518" s="4"/>
      <c r="J518" s="4"/>
      <c r="K518" s="4"/>
      <c r="L518" s="4"/>
      <c r="M518" s="4"/>
      <c r="N518" s="4"/>
      <c r="O518" s="14"/>
      <c r="P518" s="4"/>
      <c r="Q518" s="4"/>
      <c r="R518" s="4"/>
      <c r="S518" s="4"/>
      <c r="T518" s="4"/>
    </row>
    <row r="519" spans="1:20" x14ac:dyDescent="0.35">
      <c r="A519" s="3"/>
      <c r="B519" s="2"/>
      <c r="C519" s="4"/>
      <c r="D519" s="18"/>
      <c r="E519" s="4"/>
      <c r="F519" s="4"/>
      <c r="G519" s="14"/>
      <c r="H519" s="4"/>
      <c r="I519" s="4"/>
      <c r="J519" s="4"/>
      <c r="K519" s="4"/>
      <c r="L519" s="4"/>
      <c r="M519" s="4"/>
      <c r="N519" s="4"/>
      <c r="O519" s="14"/>
      <c r="P519" s="4"/>
      <c r="Q519" s="4"/>
      <c r="R519" s="4"/>
      <c r="S519" s="4"/>
      <c r="T519" s="4"/>
    </row>
    <row r="520" spans="1:20" x14ac:dyDescent="0.35">
      <c r="A520" s="3"/>
      <c r="B520" s="2"/>
      <c r="C520" s="4"/>
      <c r="D520" s="18"/>
      <c r="E520" s="4"/>
      <c r="F520" s="4"/>
      <c r="G520" s="14"/>
      <c r="H520" s="4"/>
      <c r="I520" s="4"/>
      <c r="J520" s="4"/>
      <c r="K520" s="4"/>
      <c r="L520" s="4"/>
      <c r="M520" s="4"/>
      <c r="N520" s="4"/>
      <c r="O520" s="14"/>
      <c r="P520" s="4"/>
      <c r="Q520" s="4"/>
      <c r="R520" s="4"/>
      <c r="S520" s="4"/>
      <c r="T520" s="4"/>
    </row>
    <row r="521" spans="1:20" x14ac:dyDescent="0.35">
      <c r="A521" s="3"/>
      <c r="B521" s="2"/>
      <c r="C521" s="4"/>
      <c r="D521" s="18"/>
      <c r="E521" s="4"/>
      <c r="F521" s="4"/>
      <c r="G521" s="14"/>
      <c r="H521" s="4"/>
      <c r="I521" s="4"/>
      <c r="J521" s="4"/>
      <c r="K521" s="4"/>
      <c r="L521" s="4"/>
      <c r="M521" s="4"/>
      <c r="N521" s="4"/>
      <c r="O521" s="14"/>
      <c r="P521" s="4"/>
      <c r="Q521" s="4"/>
      <c r="R521" s="4"/>
      <c r="S521" s="4"/>
      <c r="T521" s="4"/>
    </row>
    <row r="522" spans="1:20" x14ac:dyDescent="0.35">
      <c r="A522" s="3"/>
      <c r="B522" s="2"/>
      <c r="C522" s="4"/>
      <c r="D522" s="18"/>
      <c r="E522" s="4"/>
      <c r="F522" s="4"/>
      <c r="G522" s="14"/>
      <c r="H522" s="4"/>
      <c r="I522" s="4"/>
      <c r="J522" s="4"/>
      <c r="K522" s="4"/>
      <c r="L522" s="4"/>
      <c r="M522" s="4"/>
      <c r="N522" s="4"/>
      <c r="O522" s="14"/>
      <c r="P522" s="4"/>
      <c r="Q522" s="4"/>
      <c r="R522" s="4"/>
      <c r="S522" s="4"/>
      <c r="T522" s="4"/>
    </row>
    <row r="523" spans="1:20" x14ac:dyDescent="0.35">
      <c r="A523" s="3"/>
      <c r="B523" s="2"/>
      <c r="C523" s="4"/>
      <c r="D523" s="18"/>
      <c r="E523" s="4"/>
      <c r="F523" s="4"/>
      <c r="G523" s="14"/>
      <c r="H523" s="4"/>
      <c r="I523" s="4"/>
      <c r="J523" s="4"/>
      <c r="K523" s="4"/>
      <c r="L523" s="4"/>
      <c r="M523" s="4"/>
      <c r="N523" s="4"/>
      <c r="O523" s="14"/>
      <c r="P523" s="4"/>
      <c r="Q523" s="4"/>
      <c r="R523" s="4"/>
      <c r="S523" s="4"/>
      <c r="T523" s="4"/>
    </row>
    <row r="524" spans="1:20" x14ac:dyDescent="0.35">
      <c r="A524" s="3"/>
      <c r="B524" s="2"/>
      <c r="C524" s="4"/>
      <c r="D524" s="18"/>
      <c r="E524" s="4"/>
      <c r="F524" s="4"/>
      <c r="G524" s="14"/>
      <c r="H524" s="4"/>
      <c r="I524" s="4"/>
      <c r="J524" s="4"/>
      <c r="K524" s="4"/>
      <c r="L524" s="4"/>
      <c r="M524" s="4"/>
      <c r="N524" s="4"/>
      <c r="O524" s="14"/>
      <c r="P524" s="4"/>
      <c r="Q524" s="4"/>
      <c r="R524" s="4"/>
      <c r="S524" s="4"/>
      <c r="T524" s="4"/>
    </row>
    <row r="525" spans="1:20" x14ac:dyDescent="0.35">
      <c r="A525" s="3"/>
      <c r="B525" s="2"/>
      <c r="C525" s="4"/>
      <c r="D525" s="18"/>
      <c r="E525" s="4"/>
      <c r="F525" s="4"/>
      <c r="G525" s="14"/>
      <c r="H525" s="4"/>
      <c r="I525" s="4"/>
      <c r="J525" s="4"/>
      <c r="K525" s="4"/>
      <c r="L525" s="4"/>
      <c r="M525" s="4"/>
      <c r="N525" s="4"/>
      <c r="O525" s="14"/>
      <c r="P525" s="4"/>
      <c r="Q525" s="4"/>
      <c r="R525" s="4"/>
      <c r="S525" s="4"/>
      <c r="T525" s="4"/>
    </row>
    <row r="526" spans="1:20" x14ac:dyDescent="0.35">
      <c r="A526" s="3"/>
      <c r="B526" s="2"/>
      <c r="C526" s="4"/>
      <c r="D526" s="18"/>
      <c r="E526" s="4"/>
      <c r="F526" s="4"/>
      <c r="G526" s="14"/>
      <c r="H526" s="4"/>
      <c r="I526" s="4"/>
      <c r="J526" s="4"/>
      <c r="K526" s="4"/>
      <c r="L526" s="4"/>
      <c r="M526" s="4"/>
      <c r="N526" s="4"/>
      <c r="O526" s="14"/>
      <c r="P526" s="4"/>
      <c r="Q526" s="4"/>
      <c r="R526" s="4"/>
      <c r="S526" s="4"/>
      <c r="T526" s="4"/>
    </row>
    <row r="527" spans="1:20" x14ac:dyDescent="0.35">
      <c r="A527" s="3"/>
      <c r="B527" s="2"/>
      <c r="C527" s="4"/>
      <c r="D527" s="18"/>
      <c r="E527" s="4"/>
      <c r="F527" s="4"/>
      <c r="G527" s="14"/>
      <c r="H527" s="4"/>
      <c r="I527" s="4"/>
      <c r="J527" s="4"/>
      <c r="K527" s="4"/>
      <c r="L527" s="4"/>
      <c r="M527" s="4"/>
      <c r="N527" s="4"/>
      <c r="O527" s="14"/>
      <c r="P527" s="4"/>
      <c r="Q527" s="4"/>
      <c r="R527" s="4"/>
      <c r="S527" s="4"/>
      <c r="T527" s="4"/>
    </row>
    <row r="528" spans="1:20" x14ac:dyDescent="0.35">
      <c r="A528" s="3"/>
      <c r="B528" s="2"/>
      <c r="C528" s="4"/>
      <c r="D528" s="18"/>
      <c r="E528" s="4"/>
      <c r="F528" s="4"/>
      <c r="G528" s="14"/>
      <c r="H528" s="4"/>
      <c r="I528" s="4"/>
      <c r="J528" s="4"/>
      <c r="K528" s="4"/>
      <c r="L528" s="4"/>
      <c r="M528" s="4"/>
      <c r="N528" s="4"/>
      <c r="O528" s="14"/>
      <c r="P528" s="4"/>
      <c r="Q528" s="4"/>
      <c r="R528" s="4"/>
      <c r="S528" s="4"/>
      <c r="T528" s="4"/>
    </row>
    <row r="529" spans="1:20" x14ac:dyDescent="0.35">
      <c r="A529" s="3"/>
      <c r="B529" s="2"/>
      <c r="C529" s="4"/>
      <c r="D529" s="18"/>
      <c r="E529" s="4"/>
      <c r="F529" s="4"/>
      <c r="G529" s="14"/>
      <c r="H529" s="4"/>
      <c r="I529" s="4"/>
      <c r="J529" s="4"/>
      <c r="K529" s="4"/>
      <c r="L529" s="4"/>
      <c r="M529" s="4"/>
      <c r="N529" s="4"/>
      <c r="O529" s="14"/>
      <c r="P529" s="4"/>
      <c r="Q529" s="4"/>
      <c r="R529" s="4"/>
      <c r="S529" s="4"/>
      <c r="T529" s="4"/>
    </row>
    <row r="530" spans="1:20" x14ac:dyDescent="0.35">
      <c r="A530" s="3"/>
      <c r="B530" s="2"/>
      <c r="C530" s="4"/>
      <c r="D530" s="18"/>
      <c r="E530" s="4"/>
      <c r="F530" s="4"/>
      <c r="G530" s="14"/>
      <c r="H530" s="4"/>
      <c r="I530" s="4"/>
      <c r="J530" s="4"/>
      <c r="K530" s="4"/>
      <c r="L530" s="4"/>
      <c r="M530" s="4"/>
      <c r="N530" s="4"/>
      <c r="O530" s="14"/>
      <c r="P530" s="4"/>
      <c r="Q530" s="4"/>
      <c r="R530" s="4"/>
      <c r="S530" s="4"/>
      <c r="T530" s="4"/>
    </row>
    <row r="531" spans="1:20" x14ac:dyDescent="0.35">
      <c r="A531" s="3"/>
      <c r="B531" s="2"/>
      <c r="C531" s="4"/>
      <c r="D531" s="18"/>
      <c r="E531" s="4"/>
      <c r="F531" s="4"/>
      <c r="G531" s="14"/>
      <c r="H531" s="4"/>
      <c r="I531" s="4"/>
      <c r="J531" s="4"/>
      <c r="K531" s="4"/>
      <c r="L531" s="4"/>
      <c r="M531" s="4"/>
      <c r="N531" s="4"/>
      <c r="O531" s="14"/>
      <c r="P531" s="4"/>
      <c r="Q531" s="4"/>
      <c r="R531" s="4"/>
      <c r="S531" s="4"/>
      <c r="T531" s="4"/>
    </row>
    <row r="532" spans="1:20" x14ac:dyDescent="0.35">
      <c r="A532" s="3"/>
      <c r="B532" s="2"/>
      <c r="C532" s="4"/>
      <c r="D532" s="18"/>
      <c r="E532" s="4"/>
      <c r="F532" s="4"/>
      <c r="G532" s="14"/>
      <c r="H532" s="4"/>
      <c r="I532" s="4"/>
      <c r="J532" s="4"/>
      <c r="K532" s="4"/>
      <c r="L532" s="4"/>
      <c r="M532" s="4"/>
      <c r="N532" s="4"/>
      <c r="O532" s="14"/>
      <c r="P532" s="4"/>
      <c r="Q532" s="4"/>
      <c r="R532" s="4"/>
      <c r="S532" s="4"/>
      <c r="T532" s="4"/>
    </row>
    <row r="533" spans="1:20" x14ac:dyDescent="0.35">
      <c r="A533" s="3"/>
      <c r="B533" s="2"/>
      <c r="C533" s="4"/>
      <c r="D533" s="18"/>
      <c r="E533" s="4"/>
      <c r="F533" s="4"/>
      <c r="G533" s="14"/>
      <c r="H533" s="4"/>
      <c r="I533" s="4"/>
      <c r="J533" s="4"/>
      <c r="K533" s="4"/>
      <c r="L533" s="4"/>
      <c r="M533" s="4"/>
      <c r="N533" s="4"/>
      <c r="O533" s="14"/>
      <c r="P533" s="4"/>
      <c r="Q533" s="4"/>
      <c r="R533" s="4"/>
      <c r="S533" s="4"/>
      <c r="T533" s="4"/>
    </row>
    <row r="534" spans="1:20" x14ac:dyDescent="0.35">
      <c r="A534" s="3"/>
      <c r="B534" s="2"/>
      <c r="C534" s="4"/>
      <c r="D534" s="18"/>
      <c r="E534" s="4"/>
      <c r="F534" s="4"/>
      <c r="G534" s="14"/>
      <c r="H534" s="4"/>
      <c r="I534" s="4"/>
      <c r="J534" s="4"/>
      <c r="K534" s="4"/>
      <c r="L534" s="4"/>
      <c r="M534" s="4"/>
      <c r="N534" s="4"/>
      <c r="O534" s="14"/>
      <c r="P534" s="4"/>
      <c r="Q534" s="4"/>
      <c r="R534" s="4"/>
      <c r="S534" s="4"/>
      <c r="T534" s="4"/>
    </row>
    <row r="535" spans="1:20" x14ac:dyDescent="0.35">
      <c r="A535" s="3"/>
      <c r="B535" s="2"/>
      <c r="C535" s="4"/>
      <c r="D535" s="18"/>
      <c r="E535" s="4"/>
      <c r="F535" s="4"/>
      <c r="G535" s="14"/>
      <c r="H535" s="4"/>
      <c r="I535" s="4"/>
      <c r="J535" s="4"/>
      <c r="K535" s="4"/>
      <c r="L535" s="4"/>
      <c r="M535" s="4"/>
      <c r="N535" s="4"/>
      <c r="O535" s="14"/>
      <c r="P535" s="4"/>
      <c r="Q535" s="4"/>
      <c r="R535" s="4"/>
      <c r="S535" s="4"/>
      <c r="T535" s="4"/>
    </row>
    <row r="536" spans="1:20" x14ac:dyDescent="0.35">
      <c r="A536" s="3"/>
      <c r="B536" s="2"/>
      <c r="C536" s="4"/>
      <c r="D536" s="18"/>
      <c r="E536" s="4"/>
      <c r="F536" s="4"/>
      <c r="G536" s="14"/>
      <c r="H536" s="4"/>
      <c r="I536" s="4"/>
      <c r="J536" s="4"/>
      <c r="K536" s="4"/>
      <c r="L536" s="4"/>
      <c r="M536" s="4"/>
      <c r="N536" s="4"/>
      <c r="O536" s="14"/>
      <c r="P536" s="4"/>
      <c r="Q536" s="4"/>
      <c r="R536" s="4"/>
      <c r="S536" s="4"/>
      <c r="T536" s="4"/>
    </row>
    <row r="537" spans="1:20" x14ac:dyDescent="0.35">
      <c r="A537" s="3"/>
      <c r="B537" s="2"/>
      <c r="C537" s="4"/>
      <c r="D537" s="18"/>
      <c r="E537" s="4"/>
      <c r="F537" s="4"/>
      <c r="G537" s="14"/>
      <c r="H537" s="4"/>
      <c r="I537" s="4"/>
      <c r="J537" s="4"/>
      <c r="K537" s="4"/>
      <c r="L537" s="4"/>
      <c r="M537" s="4"/>
      <c r="N537" s="4"/>
      <c r="O537" s="14"/>
      <c r="P537" s="4"/>
      <c r="Q537" s="4"/>
      <c r="R537" s="4"/>
      <c r="S537" s="4"/>
      <c r="T537" s="4"/>
    </row>
    <row r="538" spans="1:20" x14ac:dyDescent="0.35">
      <c r="A538" s="3"/>
      <c r="B538" s="4"/>
      <c r="C538" s="4"/>
      <c r="D538" s="18"/>
      <c r="E538" s="4"/>
      <c r="F538" s="4"/>
      <c r="G538" s="14"/>
      <c r="H538" s="4"/>
      <c r="I538" s="4"/>
      <c r="J538" s="4"/>
      <c r="K538" s="4"/>
      <c r="L538" s="4"/>
      <c r="M538" s="4"/>
      <c r="N538" s="4"/>
      <c r="O538" s="14"/>
      <c r="P538" s="4"/>
      <c r="Q538" s="4"/>
      <c r="R538" s="4"/>
      <c r="S538" s="4"/>
      <c r="T538" s="4"/>
    </row>
    <row r="539" spans="1:20" x14ac:dyDescent="0.35">
      <c r="A539" s="3"/>
      <c r="B539" s="4"/>
      <c r="C539" s="4"/>
      <c r="D539" s="18"/>
      <c r="E539" s="4"/>
      <c r="F539" s="4"/>
      <c r="G539" s="14"/>
      <c r="H539" s="4"/>
      <c r="I539" s="4"/>
      <c r="J539" s="4"/>
      <c r="K539" s="4"/>
      <c r="L539" s="4"/>
      <c r="M539" s="4"/>
      <c r="N539" s="4"/>
      <c r="O539" s="14"/>
      <c r="P539" s="4"/>
      <c r="Q539" s="4"/>
      <c r="R539" s="4"/>
      <c r="S539" s="4"/>
      <c r="T539" s="4"/>
    </row>
    <row r="540" spans="1:20" x14ac:dyDescent="0.35">
      <c r="A540" s="3"/>
      <c r="B540" s="3"/>
      <c r="C540" s="19"/>
      <c r="D540" s="19"/>
      <c r="E540" s="6"/>
      <c r="F540" s="7"/>
      <c r="G540" s="8"/>
      <c r="H540" s="7"/>
      <c r="I540" s="9"/>
      <c r="J540" s="10"/>
      <c r="K540" s="7"/>
      <c r="L540" s="7"/>
      <c r="M540" s="7"/>
      <c r="N540" s="7"/>
      <c r="O540" s="35"/>
      <c r="P540" s="10"/>
      <c r="Q540" s="7"/>
      <c r="R540" s="11"/>
      <c r="S540" s="12"/>
      <c r="T540" s="13"/>
    </row>
    <row r="541" spans="1:20" x14ac:dyDescent="0.35">
      <c r="A541" s="3"/>
      <c r="B541" s="2"/>
      <c r="C541" s="4"/>
      <c r="D541" s="18"/>
      <c r="E541" s="4"/>
      <c r="F541" s="4"/>
      <c r="G541" s="14"/>
      <c r="H541" s="4"/>
      <c r="I541" s="4"/>
      <c r="J541" s="4"/>
      <c r="K541" s="4"/>
      <c r="L541" s="4"/>
      <c r="M541" s="4"/>
      <c r="N541" s="4"/>
      <c r="O541" s="14"/>
      <c r="P541" s="4"/>
      <c r="Q541" s="4"/>
      <c r="R541" s="4"/>
      <c r="S541" s="4"/>
      <c r="T541" s="4"/>
    </row>
    <row r="542" spans="1:20" x14ac:dyDescent="0.35">
      <c r="A542" s="3"/>
      <c r="B542" s="2"/>
      <c r="C542" s="4"/>
      <c r="D542" s="18"/>
      <c r="E542" s="4"/>
      <c r="F542" s="4"/>
      <c r="G542" s="14"/>
      <c r="H542" s="4"/>
      <c r="I542" s="4"/>
      <c r="J542" s="4"/>
      <c r="K542" s="4"/>
      <c r="L542" s="4"/>
      <c r="M542" s="4"/>
      <c r="N542" s="4"/>
      <c r="O542" s="14"/>
      <c r="P542" s="4"/>
      <c r="Q542" s="4"/>
      <c r="R542" s="4"/>
      <c r="S542" s="4"/>
      <c r="T542" s="4"/>
    </row>
    <row r="543" spans="1:20" x14ac:dyDescent="0.35">
      <c r="B543" s="5"/>
      <c r="C543" s="16"/>
      <c r="D543" s="20"/>
      <c r="E543" s="16"/>
      <c r="F543" s="16"/>
      <c r="G543" s="15"/>
      <c r="H543" s="16"/>
      <c r="I543" s="16"/>
      <c r="J543" s="16"/>
      <c r="K543" s="16"/>
      <c r="L543" s="16"/>
      <c r="M543" s="16"/>
      <c r="N543" s="16"/>
      <c r="O543" s="15"/>
      <c r="P543" s="16"/>
      <c r="Q543" s="16"/>
      <c r="R543" s="16"/>
      <c r="S543" s="16"/>
      <c r="T543" s="16"/>
    </row>
    <row r="544" spans="1:20" x14ac:dyDescent="0.35">
      <c r="B544" s="2"/>
      <c r="C544" s="4"/>
      <c r="D544" s="18"/>
      <c r="E544" s="4"/>
      <c r="F544" s="4"/>
      <c r="G544" s="14"/>
      <c r="H544" s="4"/>
      <c r="I544" s="4"/>
      <c r="J544" s="4"/>
      <c r="K544" s="4"/>
      <c r="L544" s="4"/>
      <c r="M544" s="4"/>
      <c r="N544" s="4"/>
      <c r="O544" s="14"/>
      <c r="P544" s="4"/>
      <c r="Q544" s="4"/>
      <c r="R544" s="4"/>
      <c r="S544" s="4"/>
      <c r="T544" s="4"/>
    </row>
    <row r="545" spans="2:20" x14ac:dyDescent="0.35">
      <c r="B545" s="2"/>
      <c r="C545" s="4"/>
      <c r="D545" s="18"/>
      <c r="E545" s="4"/>
      <c r="F545" s="4"/>
      <c r="G545" s="14"/>
      <c r="H545" s="4"/>
      <c r="I545" s="4"/>
      <c r="J545" s="4"/>
      <c r="K545" s="4"/>
      <c r="L545" s="4"/>
      <c r="M545" s="4"/>
      <c r="N545" s="4"/>
      <c r="O545" s="14"/>
      <c r="P545" s="4"/>
      <c r="Q545" s="4"/>
      <c r="R545" s="4"/>
      <c r="S545" s="4"/>
      <c r="T545" s="4"/>
    </row>
    <row r="546" spans="2:20" x14ac:dyDescent="0.35">
      <c r="B546" s="2"/>
      <c r="C546" s="4"/>
      <c r="D546" s="18"/>
      <c r="E546" s="4"/>
      <c r="F546" s="4"/>
      <c r="G546" s="14"/>
      <c r="H546" s="4"/>
      <c r="I546" s="4"/>
      <c r="J546" s="4"/>
      <c r="K546" s="4"/>
      <c r="L546" s="4"/>
      <c r="M546" s="4"/>
      <c r="N546" s="4"/>
      <c r="O546" s="14"/>
      <c r="P546" s="4"/>
      <c r="Q546" s="4"/>
      <c r="R546" s="4"/>
      <c r="S546" s="4"/>
      <c r="T546" s="4"/>
    </row>
    <row r="547" spans="2:20" x14ac:dyDescent="0.35">
      <c r="B547" s="2"/>
      <c r="C547" s="4"/>
      <c r="D547" s="18"/>
      <c r="E547" s="4"/>
      <c r="F547" s="4"/>
      <c r="G547" s="14"/>
      <c r="H547" s="4"/>
      <c r="I547" s="4"/>
      <c r="J547" s="4"/>
      <c r="K547" s="4"/>
      <c r="L547" s="4"/>
      <c r="M547" s="4"/>
      <c r="N547" s="4"/>
      <c r="O547" s="14"/>
      <c r="P547" s="4"/>
      <c r="Q547" s="4"/>
      <c r="R547" s="4"/>
      <c r="S547" s="4"/>
      <c r="T547" s="4"/>
    </row>
    <row r="548" spans="2:20" x14ac:dyDescent="0.35">
      <c r="B548" s="2"/>
      <c r="C548" s="4"/>
      <c r="D548" s="18"/>
      <c r="E548" s="4"/>
      <c r="F548" s="4"/>
      <c r="G548" s="14"/>
      <c r="H548" s="4"/>
      <c r="I548" s="4"/>
      <c r="J548" s="4"/>
      <c r="K548" s="4"/>
      <c r="L548" s="4"/>
      <c r="M548" s="4"/>
      <c r="N548" s="4"/>
      <c r="O548" s="14"/>
      <c r="P548" s="4"/>
      <c r="Q548" s="4"/>
      <c r="R548" s="4"/>
      <c r="S548" s="4"/>
      <c r="T548" s="4"/>
    </row>
    <row r="549" spans="2:20" x14ac:dyDescent="0.35">
      <c r="B549" s="2"/>
      <c r="C549" s="4"/>
      <c r="D549" s="18"/>
      <c r="E549" s="4"/>
      <c r="F549" s="4"/>
      <c r="G549" s="14"/>
      <c r="H549" s="4"/>
      <c r="I549" s="4"/>
      <c r="J549" s="4"/>
      <c r="K549" s="4"/>
      <c r="L549" s="4"/>
      <c r="M549" s="4"/>
      <c r="N549" s="4"/>
      <c r="O549" s="14"/>
      <c r="P549" s="4"/>
      <c r="Q549" s="4"/>
      <c r="R549" s="4"/>
      <c r="S549" s="4"/>
      <c r="T549" s="4"/>
    </row>
    <row r="550" spans="2:20" x14ac:dyDescent="0.35">
      <c r="B550" s="2"/>
      <c r="C550" s="4"/>
      <c r="D550" s="18"/>
      <c r="E550" s="4"/>
      <c r="F550" s="4"/>
      <c r="G550" s="14"/>
      <c r="H550" s="4"/>
      <c r="I550" s="4"/>
      <c r="J550" s="4"/>
      <c r="K550" s="4"/>
      <c r="L550" s="4"/>
      <c r="M550" s="4"/>
      <c r="N550" s="4"/>
      <c r="O550" s="14"/>
      <c r="P550" s="4"/>
      <c r="Q550" s="4"/>
      <c r="R550" s="4"/>
      <c r="S550" s="4"/>
      <c r="T550" s="4"/>
    </row>
    <row r="551" spans="2:20" x14ac:dyDescent="0.35">
      <c r="B551" s="2"/>
      <c r="C551" s="4"/>
      <c r="D551" s="18"/>
      <c r="E551" s="4"/>
      <c r="F551" s="4"/>
      <c r="G551" s="14"/>
      <c r="H551" s="4"/>
      <c r="I551" s="4"/>
      <c r="J551" s="4"/>
      <c r="K551" s="4"/>
      <c r="L551" s="4"/>
      <c r="M551" s="4"/>
      <c r="N551" s="4"/>
      <c r="O551" s="14"/>
      <c r="P551" s="4"/>
      <c r="Q551" s="4"/>
      <c r="R551" s="4"/>
      <c r="S551" s="4"/>
      <c r="T551" s="4"/>
    </row>
    <row r="552" spans="2:20" x14ac:dyDescent="0.35">
      <c r="B552" s="2"/>
      <c r="C552" s="4"/>
      <c r="D552" s="18"/>
      <c r="E552" s="4"/>
      <c r="F552" s="4"/>
      <c r="G552" s="14"/>
      <c r="H552" s="4"/>
      <c r="I552" s="4"/>
      <c r="J552" s="4"/>
      <c r="K552" s="4"/>
      <c r="L552" s="4"/>
      <c r="M552" s="4"/>
      <c r="N552" s="4"/>
      <c r="O552" s="14"/>
      <c r="P552" s="4"/>
      <c r="Q552" s="4"/>
      <c r="R552" s="4"/>
      <c r="S552" s="4"/>
      <c r="T552" s="4"/>
    </row>
    <row r="553" spans="2:20" x14ac:dyDescent="0.35">
      <c r="B553" s="2"/>
      <c r="C553" s="4"/>
      <c r="D553" s="18"/>
      <c r="E553" s="4"/>
      <c r="F553" s="4"/>
      <c r="G553" s="14"/>
      <c r="H553" s="4"/>
      <c r="I553" s="4"/>
      <c r="J553" s="4"/>
      <c r="K553" s="4"/>
      <c r="L553" s="4"/>
      <c r="M553" s="4"/>
      <c r="N553" s="4"/>
      <c r="O553" s="14"/>
      <c r="P553" s="4"/>
      <c r="Q553" s="4"/>
      <c r="R553" s="4"/>
      <c r="S553" s="4"/>
      <c r="T553" s="4"/>
    </row>
    <row r="554" spans="2:20" x14ac:dyDescent="0.35">
      <c r="B554" s="2"/>
      <c r="C554" s="4"/>
      <c r="D554" s="18"/>
      <c r="E554" s="4"/>
      <c r="F554" s="4"/>
      <c r="G554" s="14"/>
      <c r="H554" s="4"/>
      <c r="I554" s="4"/>
      <c r="J554" s="4"/>
      <c r="K554" s="4"/>
      <c r="L554" s="4"/>
      <c r="M554" s="4"/>
      <c r="N554" s="4"/>
      <c r="O554" s="14"/>
      <c r="P554" s="4"/>
      <c r="Q554" s="4"/>
      <c r="R554" s="4"/>
      <c r="S554" s="4"/>
      <c r="T554" s="4"/>
    </row>
    <row r="555" spans="2:20" x14ac:dyDescent="0.35">
      <c r="B555" s="2"/>
      <c r="C555" s="4"/>
      <c r="D555" s="18"/>
      <c r="E555" s="4"/>
      <c r="F555" s="4"/>
      <c r="G555" s="14"/>
      <c r="H555" s="4"/>
      <c r="I555" s="4"/>
      <c r="J555" s="4"/>
      <c r="K555" s="4"/>
      <c r="L555" s="4"/>
      <c r="M555" s="4"/>
      <c r="N555" s="4"/>
      <c r="O555" s="14"/>
      <c r="P555" s="4"/>
      <c r="Q555" s="4"/>
      <c r="R555" s="4"/>
      <c r="S555" s="4"/>
      <c r="T555" s="4"/>
    </row>
    <row r="556" spans="2:20" x14ac:dyDescent="0.35">
      <c r="B556" s="2"/>
      <c r="C556" s="4"/>
      <c r="D556" s="18"/>
      <c r="E556" s="4"/>
      <c r="F556" s="4"/>
      <c r="G556" s="14"/>
      <c r="H556" s="4"/>
      <c r="I556" s="4"/>
      <c r="J556" s="4"/>
      <c r="K556" s="4"/>
      <c r="L556" s="4"/>
      <c r="M556" s="4"/>
      <c r="N556" s="4"/>
      <c r="O556" s="14"/>
      <c r="P556" s="4"/>
      <c r="Q556" s="4"/>
      <c r="R556" s="4"/>
      <c r="S556" s="4"/>
      <c r="T556" s="4"/>
    </row>
    <row r="557" spans="2:20" x14ac:dyDescent="0.35">
      <c r="B557" s="2"/>
      <c r="C557" s="4"/>
      <c r="D557" s="18"/>
      <c r="E557" s="4"/>
      <c r="F557" s="4"/>
      <c r="G557" s="14"/>
      <c r="H557" s="4"/>
      <c r="I557" s="4"/>
      <c r="J557" s="4"/>
      <c r="K557" s="4"/>
      <c r="L557" s="4"/>
      <c r="M557" s="4"/>
      <c r="N557" s="4"/>
      <c r="O557" s="14"/>
      <c r="P557" s="4"/>
      <c r="Q557" s="4"/>
      <c r="R557" s="4"/>
      <c r="S557" s="4"/>
      <c r="T557" s="4"/>
    </row>
    <row r="558" spans="2:20" x14ac:dyDescent="0.35">
      <c r="B558" s="2"/>
      <c r="C558" s="4"/>
      <c r="D558" s="18"/>
      <c r="E558" s="4"/>
      <c r="F558" s="4"/>
      <c r="G558" s="14"/>
      <c r="H558" s="4"/>
      <c r="I558" s="4"/>
      <c r="J558" s="4"/>
      <c r="K558" s="4"/>
      <c r="L558" s="4"/>
      <c r="M558" s="4"/>
      <c r="N558" s="4"/>
      <c r="O558" s="14"/>
      <c r="P558" s="4"/>
      <c r="Q558" s="4"/>
      <c r="R558" s="4"/>
      <c r="S558" s="4"/>
      <c r="T558" s="4"/>
    </row>
    <row r="559" spans="2:20" x14ac:dyDescent="0.35">
      <c r="B559" s="2"/>
      <c r="C559" s="4"/>
      <c r="D559" s="18"/>
      <c r="E559" s="4"/>
      <c r="F559" s="4"/>
      <c r="G559" s="14"/>
      <c r="H559" s="4"/>
      <c r="I559" s="4"/>
      <c r="J559" s="4"/>
      <c r="K559" s="4"/>
      <c r="L559" s="4"/>
      <c r="M559" s="4"/>
      <c r="N559" s="4"/>
      <c r="O559" s="14"/>
      <c r="P559" s="4"/>
      <c r="Q559" s="4"/>
      <c r="R559" s="4"/>
      <c r="S559" s="4"/>
      <c r="T559" s="4"/>
    </row>
    <row r="560" spans="2:20" x14ac:dyDescent="0.35">
      <c r="B560" s="2"/>
      <c r="C560" s="4"/>
      <c r="D560" s="18"/>
      <c r="E560" s="4"/>
      <c r="F560" s="4"/>
      <c r="G560" s="14"/>
      <c r="H560" s="4"/>
      <c r="I560" s="4"/>
      <c r="J560" s="4"/>
      <c r="K560" s="4"/>
      <c r="L560" s="4"/>
      <c r="M560" s="4"/>
      <c r="N560" s="4"/>
      <c r="O560" s="14"/>
      <c r="P560" s="4"/>
      <c r="Q560" s="4"/>
      <c r="R560" s="4"/>
      <c r="S560" s="4"/>
      <c r="T560" s="4"/>
    </row>
    <row r="561" spans="2:20" x14ac:dyDescent="0.35">
      <c r="B561" s="2"/>
      <c r="C561" s="4"/>
      <c r="D561" s="18"/>
      <c r="E561" s="4"/>
      <c r="F561" s="4"/>
      <c r="G561" s="14"/>
      <c r="H561" s="4"/>
      <c r="I561" s="4"/>
      <c r="J561" s="4"/>
      <c r="K561" s="4"/>
      <c r="L561" s="4"/>
      <c r="M561" s="4"/>
      <c r="N561" s="4"/>
      <c r="O561" s="14"/>
      <c r="P561" s="4"/>
      <c r="Q561" s="4"/>
      <c r="R561" s="4"/>
      <c r="S561" s="4"/>
      <c r="T561" s="4"/>
    </row>
    <row r="562" spans="2:20" x14ac:dyDescent="0.35">
      <c r="B562" s="2"/>
      <c r="C562" s="4"/>
      <c r="D562" s="18"/>
      <c r="E562" s="4"/>
      <c r="F562" s="4"/>
      <c r="G562" s="14"/>
      <c r="H562" s="4"/>
      <c r="I562" s="4"/>
      <c r="J562" s="4"/>
      <c r="K562" s="4"/>
      <c r="L562" s="4"/>
      <c r="M562" s="4"/>
      <c r="N562" s="4"/>
      <c r="O562" s="14"/>
      <c r="P562" s="4"/>
      <c r="Q562" s="4"/>
      <c r="R562" s="4"/>
      <c r="S562" s="4"/>
      <c r="T562" s="4"/>
    </row>
    <row r="563" spans="2:20" x14ac:dyDescent="0.35">
      <c r="B563" s="2"/>
      <c r="C563" s="4"/>
      <c r="D563" s="18"/>
      <c r="E563" s="4"/>
      <c r="F563" s="4"/>
      <c r="G563" s="14"/>
      <c r="H563" s="4"/>
      <c r="I563" s="4"/>
      <c r="J563" s="4"/>
      <c r="K563" s="4"/>
      <c r="L563" s="4"/>
      <c r="M563" s="4"/>
      <c r="N563" s="4"/>
      <c r="O563" s="14"/>
      <c r="P563" s="4"/>
      <c r="Q563" s="4"/>
      <c r="R563" s="4"/>
      <c r="S563" s="4"/>
      <c r="T563" s="4"/>
    </row>
    <row r="564" spans="2:20" x14ac:dyDescent="0.35">
      <c r="B564" s="2"/>
      <c r="C564" s="4"/>
      <c r="D564" s="18"/>
      <c r="E564" s="4"/>
      <c r="F564" s="4"/>
      <c r="G564" s="14"/>
      <c r="H564" s="4"/>
      <c r="I564" s="4"/>
      <c r="J564" s="4"/>
      <c r="K564" s="4"/>
      <c r="L564" s="4"/>
      <c r="M564" s="4"/>
      <c r="N564" s="4"/>
      <c r="O564" s="14"/>
      <c r="P564" s="4"/>
      <c r="Q564" s="4"/>
      <c r="R564" s="4"/>
      <c r="S564" s="4"/>
      <c r="T564" s="4"/>
    </row>
    <row r="565" spans="2:20" x14ac:dyDescent="0.35">
      <c r="B565" s="2"/>
      <c r="C565" s="4"/>
      <c r="D565" s="18"/>
      <c r="E565" s="4"/>
      <c r="F565" s="4"/>
      <c r="G565" s="14"/>
      <c r="H565" s="4"/>
      <c r="I565" s="4"/>
      <c r="J565" s="4"/>
      <c r="K565" s="4"/>
      <c r="L565" s="4"/>
      <c r="M565" s="4"/>
      <c r="N565" s="4"/>
      <c r="O565" s="14"/>
      <c r="P565" s="4"/>
      <c r="Q565" s="4"/>
      <c r="R565" s="4"/>
      <c r="S565" s="4"/>
      <c r="T565" s="4"/>
    </row>
    <row r="566" spans="2:20" x14ac:dyDescent="0.35">
      <c r="B566" s="2"/>
      <c r="C566" s="4"/>
      <c r="D566" s="18"/>
      <c r="E566" s="4"/>
      <c r="F566" s="4"/>
      <c r="G566" s="14"/>
      <c r="H566" s="4"/>
      <c r="I566" s="4"/>
      <c r="J566" s="4"/>
      <c r="K566" s="4"/>
      <c r="L566" s="4"/>
      <c r="M566" s="4"/>
      <c r="N566" s="4"/>
      <c r="O566" s="14"/>
      <c r="P566" s="4"/>
      <c r="Q566" s="4"/>
      <c r="R566" s="4"/>
      <c r="S566" s="4"/>
      <c r="T566" s="4"/>
    </row>
    <row r="567" spans="2:20" x14ac:dyDescent="0.35">
      <c r="B567" s="2"/>
      <c r="C567" s="4"/>
      <c r="D567" s="18"/>
      <c r="E567" s="4"/>
      <c r="F567" s="4"/>
      <c r="G567" s="14"/>
      <c r="H567" s="4"/>
      <c r="I567" s="4"/>
      <c r="J567" s="4"/>
      <c r="K567" s="4"/>
      <c r="L567" s="4"/>
      <c r="M567" s="4"/>
      <c r="N567" s="4"/>
      <c r="O567" s="14"/>
      <c r="P567" s="4"/>
      <c r="Q567" s="4"/>
      <c r="R567" s="4"/>
      <c r="S567" s="4"/>
      <c r="T567" s="4"/>
    </row>
    <row r="568" spans="2:20" x14ac:dyDescent="0.35">
      <c r="B568" s="2"/>
      <c r="C568" s="4"/>
      <c r="D568" s="18"/>
      <c r="E568" s="4"/>
      <c r="F568" s="4"/>
      <c r="G568" s="14"/>
      <c r="H568" s="4"/>
      <c r="I568" s="4"/>
      <c r="J568" s="4"/>
      <c r="K568" s="4"/>
      <c r="L568" s="4"/>
      <c r="M568" s="4"/>
      <c r="N568" s="4"/>
      <c r="O568" s="14"/>
      <c r="P568" s="4"/>
      <c r="Q568" s="4"/>
      <c r="R568" s="4"/>
      <c r="S568" s="4"/>
      <c r="T568" s="4"/>
    </row>
    <row r="569" spans="2:20" x14ac:dyDescent="0.35">
      <c r="B569" s="2"/>
      <c r="C569" s="4"/>
      <c r="D569" s="18"/>
      <c r="E569" s="4"/>
      <c r="F569" s="4"/>
      <c r="G569" s="14"/>
      <c r="H569" s="4"/>
      <c r="I569" s="4"/>
      <c r="J569" s="4"/>
      <c r="K569" s="4"/>
      <c r="L569" s="4"/>
      <c r="M569" s="4"/>
      <c r="N569" s="4"/>
      <c r="O569" s="14"/>
      <c r="P569" s="4"/>
      <c r="Q569" s="4"/>
      <c r="R569" s="4"/>
      <c r="S569" s="4"/>
      <c r="T569" s="4"/>
    </row>
    <row r="570" spans="2:20" x14ac:dyDescent="0.35">
      <c r="B570" s="2"/>
      <c r="C570" s="4"/>
      <c r="D570" s="18"/>
      <c r="E570" s="4"/>
      <c r="F570" s="4"/>
      <c r="G570" s="14"/>
      <c r="H570" s="4"/>
      <c r="I570" s="4"/>
      <c r="J570" s="4"/>
      <c r="K570" s="4"/>
      <c r="L570" s="4"/>
      <c r="M570" s="4"/>
      <c r="N570" s="4"/>
      <c r="O570" s="14"/>
      <c r="P570" s="4"/>
      <c r="Q570" s="4"/>
      <c r="R570" s="4"/>
      <c r="S570" s="4"/>
      <c r="T570" s="4"/>
    </row>
    <row r="571" spans="2:20" x14ac:dyDescent="0.35">
      <c r="B571" s="4"/>
      <c r="C571" s="4"/>
      <c r="D571" s="18"/>
      <c r="E571" s="4"/>
      <c r="F571" s="4"/>
      <c r="G571" s="14"/>
      <c r="H571" s="4"/>
      <c r="I571" s="4"/>
      <c r="J571" s="4"/>
      <c r="K571" s="4"/>
      <c r="L571" s="4"/>
      <c r="M571" s="4"/>
      <c r="N571" s="4"/>
      <c r="O571" s="14"/>
      <c r="P571" s="4"/>
      <c r="Q571" s="4"/>
      <c r="R571" s="4"/>
      <c r="S571" s="4"/>
      <c r="T571" s="4"/>
    </row>
    <row r="572" spans="2:20" x14ac:dyDescent="0.35">
      <c r="B572" s="4"/>
      <c r="C572" s="4"/>
      <c r="D572" s="18"/>
      <c r="E572" s="4"/>
      <c r="F572" s="4"/>
      <c r="G572" s="14"/>
      <c r="H572" s="4"/>
      <c r="I572" s="4"/>
      <c r="J572" s="4"/>
      <c r="K572" s="4"/>
      <c r="L572" s="4"/>
      <c r="M572" s="4"/>
      <c r="N572" s="4"/>
      <c r="O572" s="14"/>
      <c r="P572" s="4"/>
      <c r="Q572" s="4"/>
      <c r="R572" s="4"/>
      <c r="S572" s="4"/>
      <c r="T572" s="4"/>
    </row>
    <row r="573" spans="2:20" x14ac:dyDescent="0.35">
      <c r="B573" s="3"/>
      <c r="C573" s="19"/>
      <c r="D573" s="19"/>
      <c r="E573" s="6"/>
      <c r="F573" s="7"/>
      <c r="G573" s="8"/>
      <c r="H573" s="7"/>
      <c r="I573" s="9"/>
      <c r="J573" s="10"/>
      <c r="K573" s="7"/>
      <c r="L573" s="7"/>
      <c r="M573" s="7"/>
      <c r="N573" s="7"/>
      <c r="O573" s="35"/>
      <c r="P573" s="10"/>
      <c r="Q573" s="7"/>
      <c r="R573" s="11"/>
      <c r="S573" s="12"/>
      <c r="T573" s="13"/>
    </row>
    <row r="574" spans="2:20" x14ac:dyDescent="0.35">
      <c r="B574" s="2"/>
      <c r="C574" s="4"/>
      <c r="D574" s="18"/>
      <c r="E574" s="4"/>
      <c r="F574" s="4"/>
      <c r="G574" s="14"/>
      <c r="H574" s="4"/>
      <c r="I574" s="4"/>
      <c r="J574" s="4"/>
      <c r="K574" s="4"/>
      <c r="L574" s="4"/>
      <c r="M574" s="4"/>
      <c r="N574" s="4"/>
      <c r="O574" s="14"/>
      <c r="P574" s="4"/>
      <c r="Q574" s="4"/>
      <c r="R574" s="4"/>
      <c r="S574" s="4"/>
      <c r="T574" s="4"/>
    </row>
    <row r="575" spans="2:20" x14ac:dyDescent="0.35">
      <c r="B575" s="2"/>
      <c r="C575" s="4"/>
      <c r="D575" s="18"/>
      <c r="E575" s="4"/>
      <c r="F575" s="4"/>
      <c r="G575" s="14"/>
      <c r="H575" s="4"/>
      <c r="I575" s="4"/>
      <c r="J575" s="4"/>
      <c r="K575" s="4"/>
      <c r="L575" s="4"/>
      <c r="M575" s="4"/>
      <c r="N575" s="4"/>
      <c r="O575" s="14"/>
      <c r="P575" s="4"/>
      <c r="Q575" s="4"/>
      <c r="R575" s="4"/>
      <c r="S575" s="4"/>
      <c r="T575" s="4"/>
    </row>
    <row r="576" spans="2:20" x14ac:dyDescent="0.35">
      <c r="B576" s="2"/>
      <c r="C576" s="4"/>
      <c r="D576" s="18"/>
      <c r="E576" s="4"/>
      <c r="F576" s="4"/>
      <c r="G576" s="14"/>
      <c r="H576" s="4"/>
      <c r="I576" s="4"/>
      <c r="J576" s="4"/>
      <c r="K576" s="4"/>
      <c r="L576" s="4"/>
      <c r="M576" s="4"/>
      <c r="N576" s="4"/>
      <c r="O576" s="14"/>
      <c r="P576" s="4"/>
      <c r="Q576" s="4"/>
      <c r="R576" s="4"/>
      <c r="S576" s="4"/>
      <c r="T576" s="4"/>
    </row>
    <row r="577" spans="2:20" x14ac:dyDescent="0.35">
      <c r="B577" s="2"/>
      <c r="C577" s="4"/>
      <c r="D577" s="18"/>
      <c r="E577" s="4"/>
      <c r="F577" s="4"/>
      <c r="G577" s="14"/>
      <c r="H577" s="4"/>
      <c r="I577" s="4"/>
      <c r="J577" s="4"/>
      <c r="K577" s="4"/>
      <c r="L577" s="4"/>
      <c r="M577" s="4"/>
      <c r="N577" s="4"/>
      <c r="O577" s="14"/>
      <c r="P577" s="4"/>
      <c r="Q577" s="4"/>
      <c r="R577" s="4"/>
      <c r="S577" s="4"/>
      <c r="T577" s="4"/>
    </row>
    <row r="578" spans="2:20" x14ac:dyDescent="0.35">
      <c r="B578" s="2"/>
      <c r="C578" s="4"/>
      <c r="D578" s="18"/>
      <c r="E578" s="4"/>
      <c r="F578" s="4"/>
      <c r="G578" s="14"/>
      <c r="H578" s="4"/>
      <c r="I578" s="4"/>
      <c r="J578" s="4"/>
      <c r="K578" s="4"/>
      <c r="L578" s="4"/>
      <c r="M578" s="4"/>
      <c r="N578" s="4"/>
      <c r="O578" s="14"/>
      <c r="P578" s="4"/>
      <c r="Q578" s="4"/>
      <c r="R578" s="4"/>
      <c r="S578" s="4"/>
      <c r="T578" s="4"/>
    </row>
    <row r="579" spans="2:20" x14ac:dyDescent="0.35">
      <c r="B579" s="2"/>
      <c r="C579" s="4"/>
      <c r="D579" s="18"/>
      <c r="E579" s="4"/>
      <c r="F579" s="4"/>
      <c r="G579" s="14"/>
      <c r="H579" s="4"/>
      <c r="I579" s="4"/>
      <c r="J579" s="4"/>
      <c r="K579" s="4"/>
      <c r="L579" s="4"/>
      <c r="M579" s="4"/>
      <c r="N579" s="4"/>
      <c r="O579" s="14"/>
      <c r="P579" s="4"/>
      <c r="Q579" s="4"/>
      <c r="R579" s="4"/>
      <c r="S579" s="4"/>
      <c r="T579" s="4"/>
    </row>
    <row r="580" spans="2:20" x14ac:dyDescent="0.35">
      <c r="B580" s="2"/>
      <c r="C580" s="4"/>
      <c r="D580" s="18"/>
      <c r="E580" s="4"/>
      <c r="F580" s="4"/>
      <c r="G580" s="14"/>
      <c r="H580" s="4"/>
      <c r="I580" s="4"/>
      <c r="J580" s="4"/>
      <c r="K580" s="4"/>
      <c r="L580" s="4"/>
      <c r="M580" s="4"/>
      <c r="N580" s="4"/>
      <c r="O580" s="14"/>
      <c r="P580" s="4"/>
      <c r="Q580" s="4"/>
      <c r="R580" s="4"/>
      <c r="S580" s="4"/>
      <c r="T580" s="4"/>
    </row>
    <row r="581" spans="2:20" x14ac:dyDescent="0.35">
      <c r="B581" s="2"/>
      <c r="C581" s="4"/>
      <c r="D581" s="18"/>
      <c r="E581" s="4"/>
      <c r="F581" s="4"/>
      <c r="G581" s="14"/>
      <c r="H581" s="4"/>
      <c r="I581" s="4"/>
      <c r="J581" s="4"/>
      <c r="K581" s="4"/>
      <c r="L581" s="4"/>
      <c r="M581" s="4"/>
      <c r="N581" s="4"/>
      <c r="O581" s="14"/>
      <c r="P581" s="4"/>
      <c r="Q581" s="4"/>
      <c r="R581" s="4"/>
      <c r="S581" s="4"/>
      <c r="T581" s="4"/>
    </row>
    <row r="582" spans="2:20" x14ac:dyDescent="0.35">
      <c r="B582" s="2"/>
      <c r="C582" s="4"/>
      <c r="D582" s="18"/>
      <c r="E582" s="4"/>
      <c r="F582" s="4"/>
      <c r="G582" s="14"/>
      <c r="H582" s="4"/>
      <c r="I582" s="4"/>
      <c r="J582" s="4"/>
      <c r="K582" s="4"/>
      <c r="L582" s="4"/>
      <c r="M582" s="4"/>
      <c r="N582" s="4"/>
      <c r="O582" s="14"/>
      <c r="P582" s="4"/>
      <c r="Q582" s="4"/>
      <c r="R582" s="4"/>
      <c r="S582" s="4"/>
      <c r="T582" s="4"/>
    </row>
    <row r="583" spans="2:20" x14ac:dyDescent="0.35">
      <c r="B583" s="2"/>
      <c r="C583" s="4"/>
      <c r="D583" s="18"/>
      <c r="E583" s="4"/>
      <c r="F583" s="4"/>
      <c r="G583" s="14"/>
      <c r="H583" s="4"/>
      <c r="I583" s="4"/>
      <c r="J583" s="4"/>
      <c r="K583" s="4"/>
      <c r="L583" s="4"/>
      <c r="M583" s="4"/>
      <c r="N583" s="4"/>
      <c r="O583" s="14"/>
      <c r="P583" s="4"/>
      <c r="Q583" s="4"/>
      <c r="R583" s="4"/>
      <c r="S583" s="4"/>
      <c r="T583" s="4"/>
    </row>
    <row r="584" spans="2:20" x14ac:dyDescent="0.35">
      <c r="B584" s="2"/>
      <c r="C584" s="4"/>
      <c r="D584" s="18"/>
      <c r="E584" s="4"/>
      <c r="F584" s="4"/>
      <c r="G584" s="14"/>
      <c r="H584" s="4"/>
      <c r="I584" s="4"/>
      <c r="J584" s="4"/>
      <c r="K584" s="4"/>
      <c r="L584" s="4"/>
      <c r="M584" s="4"/>
      <c r="N584" s="4"/>
      <c r="O584" s="14"/>
      <c r="P584" s="4"/>
      <c r="Q584" s="4"/>
      <c r="R584" s="4"/>
      <c r="S584" s="4"/>
      <c r="T584" s="4"/>
    </row>
    <row r="585" spans="2:20" x14ac:dyDescent="0.35">
      <c r="B585" s="2"/>
      <c r="C585" s="4"/>
      <c r="D585" s="18"/>
      <c r="E585" s="4"/>
      <c r="F585" s="4"/>
      <c r="G585" s="14"/>
      <c r="H585" s="4"/>
      <c r="I585" s="4"/>
      <c r="J585" s="4"/>
      <c r="K585" s="4"/>
      <c r="L585" s="4"/>
      <c r="M585" s="4"/>
      <c r="N585" s="4"/>
      <c r="O585" s="14"/>
      <c r="P585" s="4"/>
      <c r="Q585" s="4"/>
      <c r="R585" s="4"/>
      <c r="S585" s="4"/>
      <c r="T585" s="4"/>
    </row>
    <row r="586" spans="2:20" x14ac:dyDescent="0.35">
      <c r="B586" s="2"/>
      <c r="C586" s="4"/>
      <c r="D586" s="18"/>
      <c r="E586" s="4"/>
      <c r="F586" s="4"/>
      <c r="G586" s="14"/>
      <c r="H586" s="4"/>
      <c r="I586" s="4"/>
      <c r="J586" s="4"/>
      <c r="K586" s="4"/>
      <c r="L586" s="4"/>
      <c r="M586" s="4"/>
      <c r="N586" s="4"/>
      <c r="O586" s="14"/>
      <c r="P586" s="4"/>
      <c r="Q586" s="4"/>
      <c r="R586" s="4"/>
      <c r="S586" s="4"/>
      <c r="T586" s="4"/>
    </row>
    <row r="587" spans="2:20" x14ac:dyDescent="0.35">
      <c r="B587" s="2"/>
      <c r="C587" s="4"/>
      <c r="D587" s="18"/>
      <c r="E587" s="4"/>
      <c r="F587" s="4"/>
      <c r="G587" s="14"/>
      <c r="H587" s="4"/>
      <c r="I587" s="4"/>
      <c r="J587" s="4"/>
      <c r="K587" s="4"/>
      <c r="L587" s="4"/>
      <c r="M587" s="4"/>
      <c r="N587" s="4"/>
      <c r="O587" s="14"/>
      <c r="P587" s="4"/>
      <c r="Q587" s="4"/>
      <c r="R587" s="4"/>
      <c r="S587" s="4"/>
      <c r="T587" s="4"/>
    </row>
    <row r="588" spans="2:20" x14ac:dyDescent="0.35">
      <c r="B588" s="2"/>
      <c r="C588" s="4"/>
      <c r="D588" s="18"/>
      <c r="E588" s="4"/>
      <c r="F588" s="4"/>
      <c r="G588" s="14"/>
      <c r="H588" s="4"/>
      <c r="I588" s="4"/>
      <c r="J588" s="4"/>
      <c r="K588" s="4"/>
      <c r="L588" s="4"/>
      <c r="M588" s="4"/>
      <c r="N588" s="4"/>
      <c r="O588" s="14"/>
      <c r="P588" s="4"/>
      <c r="Q588" s="4"/>
      <c r="R588" s="4"/>
      <c r="S588" s="4"/>
      <c r="T588" s="4"/>
    </row>
    <row r="589" spans="2:20" x14ac:dyDescent="0.35">
      <c r="B589" s="2"/>
      <c r="C589" s="4"/>
      <c r="D589" s="18"/>
      <c r="E589" s="4"/>
      <c r="F589" s="4"/>
      <c r="G589" s="14"/>
      <c r="H589" s="4"/>
      <c r="I589" s="4"/>
      <c r="J589" s="4"/>
      <c r="K589" s="4"/>
      <c r="L589" s="4"/>
      <c r="M589" s="4"/>
      <c r="N589" s="4"/>
      <c r="O589" s="14"/>
      <c r="P589" s="4"/>
      <c r="Q589" s="4"/>
      <c r="R589" s="4"/>
      <c r="S589" s="4"/>
      <c r="T589" s="4"/>
    </row>
    <row r="590" spans="2:20" x14ac:dyDescent="0.35">
      <c r="B590" s="2"/>
      <c r="C590" s="4"/>
      <c r="D590" s="18"/>
      <c r="E590" s="4"/>
      <c r="F590" s="4"/>
      <c r="G590" s="14"/>
      <c r="H590" s="4"/>
      <c r="I590" s="4"/>
      <c r="J590" s="4"/>
      <c r="K590" s="4"/>
      <c r="L590" s="4"/>
      <c r="M590" s="4"/>
      <c r="N590" s="4"/>
      <c r="O590" s="14"/>
      <c r="P590" s="4"/>
      <c r="Q590" s="4"/>
      <c r="R590" s="4"/>
      <c r="S590" s="4"/>
      <c r="T590" s="4"/>
    </row>
    <row r="591" spans="2:20" x14ac:dyDescent="0.35">
      <c r="B591" s="2"/>
      <c r="C591" s="4"/>
      <c r="D591" s="18"/>
      <c r="E591" s="4"/>
      <c r="F591" s="4"/>
      <c r="G591" s="14"/>
      <c r="H591" s="4"/>
      <c r="I591" s="4"/>
      <c r="J591" s="4"/>
      <c r="K591" s="4"/>
      <c r="L591" s="4"/>
      <c r="M591" s="4"/>
      <c r="N591" s="4"/>
      <c r="O591" s="14"/>
      <c r="P591" s="4"/>
      <c r="Q591" s="4"/>
      <c r="R591" s="4"/>
      <c r="S591" s="4"/>
      <c r="T591" s="4"/>
    </row>
    <row r="592" spans="2:20" x14ac:dyDescent="0.35">
      <c r="B592" s="2"/>
      <c r="C592" s="4"/>
      <c r="D592" s="18"/>
      <c r="E592" s="4"/>
      <c r="F592" s="4"/>
      <c r="G592" s="14"/>
      <c r="H592" s="4"/>
      <c r="I592" s="4"/>
      <c r="J592" s="4"/>
      <c r="K592" s="4"/>
      <c r="L592" s="4"/>
      <c r="M592" s="4"/>
      <c r="N592" s="4"/>
      <c r="O592" s="14"/>
      <c r="P592" s="4"/>
      <c r="Q592" s="4"/>
      <c r="R592" s="4"/>
      <c r="S592" s="4"/>
      <c r="T592" s="4"/>
    </row>
    <row r="593" spans="2:20" x14ac:dyDescent="0.35">
      <c r="B593" s="2"/>
      <c r="C593" s="4"/>
      <c r="D593" s="18"/>
      <c r="E593" s="4"/>
      <c r="F593" s="4"/>
      <c r="G593" s="14"/>
      <c r="H593" s="4"/>
      <c r="I593" s="4"/>
      <c r="J593" s="4"/>
      <c r="K593" s="4"/>
      <c r="L593" s="4"/>
      <c r="M593" s="4"/>
      <c r="N593" s="4"/>
      <c r="O593" s="14"/>
      <c r="P593" s="4"/>
      <c r="Q593" s="4"/>
      <c r="R593" s="4"/>
      <c r="S593" s="4"/>
      <c r="T593" s="4"/>
    </row>
    <row r="594" spans="2:20" x14ac:dyDescent="0.35">
      <c r="B594" s="2"/>
      <c r="C594" s="4"/>
      <c r="D594" s="18"/>
      <c r="E594" s="4"/>
      <c r="F594" s="4"/>
      <c r="G594" s="14"/>
      <c r="H594" s="4"/>
      <c r="I594" s="4"/>
      <c r="J594" s="4"/>
      <c r="K594" s="4"/>
      <c r="L594" s="4"/>
      <c r="M594" s="4"/>
      <c r="N594" s="4"/>
      <c r="O594" s="14"/>
      <c r="P594" s="4"/>
      <c r="Q594" s="4"/>
      <c r="R594" s="4"/>
      <c r="S594" s="4"/>
      <c r="T594" s="4"/>
    </row>
    <row r="595" spans="2:20" x14ac:dyDescent="0.35">
      <c r="B595" s="2"/>
      <c r="C595" s="4"/>
      <c r="D595" s="18"/>
      <c r="E595" s="4"/>
      <c r="F595" s="4"/>
      <c r="G595" s="14"/>
      <c r="H595" s="4"/>
      <c r="I595" s="4"/>
      <c r="J595" s="4"/>
      <c r="K595" s="4"/>
      <c r="L595" s="4"/>
      <c r="M595" s="4"/>
      <c r="N595" s="4"/>
      <c r="O595" s="14"/>
      <c r="P595" s="4"/>
      <c r="Q595" s="4"/>
      <c r="R595" s="4"/>
      <c r="S595" s="4"/>
      <c r="T595" s="4"/>
    </row>
    <row r="596" spans="2:20" x14ac:dyDescent="0.35">
      <c r="B596" s="2"/>
      <c r="C596" s="4"/>
      <c r="D596" s="18"/>
      <c r="E596" s="4"/>
      <c r="F596" s="4"/>
      <c r="G596" s="14"/>
      <c r="H596" s="4"/>
      <c r="I596" s="4"/>
      <c r="J596" s="4"/>
      <c r="K596" s="4"/>
      <c r="L596" s="4"/>
      <c r="M596" s="4"/>
      <c r="N596" s="4"/>
      <c r="O596" s="14"/>
      <c r="P596" s="4"/>
      <c r="Q596" s="4"/>
      <c r="R596" s="4"/>
      <c r="S596" s="4"/>
      <c r="T596" s="4"/>
    </row>
    <row r="597" spans="2:20" x14ac:dyDescent="0.35">
      <c r="B597" s="2"/>
      <c r="C597" s="4"/>
      <c r="D597" s="18"/>
      <c r="E597" s="4"/>
      <c r="F597" s="4"/>
      <c r="G597" s="14"/>
      <c r="H597" s="4"/>
      <c r="I597" s="4"/>
      <c r="J597" s="4"/>
      <c r="K597" s="4"/>
      <c r="L597" s="4"/>
      <c r="M597" s="4"/>
      <c r="N597" s="4"/>
      <c r="O597" s="14"/>
      <c r="P597" s="4"/>
      <c r="Q597" s="4"/>
      <c r="R597" s="4"/>
      <c r="S597" s="4"/>
      <c r="T597" s="4"/>
    </row>
    <row r="598" spans="2:20" x14ac:dyDescent="0.35">
      <c r="B598" s="2"/>
      <c r="C598" s="4"/>
      <c r="D598" s="18"/>
      <c r="E598" s="4"/>
      <c r="F598" s="4"/>
      <c r="G598" s="14"/>
      <c r="H598" s="4"/>
      <c r="I598" s="4"/>
      <c r="J598" s="4"/>
      <c r="K598" s="4"/>
      <c r="L598" s="4"/>
      <c r="M598" s="4"/>
      <c r="N598" s="4"/>
      <c r="O598" s="14"/>
      <c r="P598" s="4"/>
      <c r="Q598" s="4"/>
      <c r="R598" s="4"/>
      <c r="S598" s="4"/>
      <c r="T598" s="4"/>
    </row>
    <row r="599" spans="2:20" x14ac:dyDescent="0.35">
      <c r="B599" s="2"/>
      <c r="C599" s="4"/>
      <c r="D599" s="18"/>
      <c r="E599" s="4"/>
      <c r="F599" s="4"/>
      <c r="G599" s="14"/>
      <c r="H599" s="4"/>
      <c r="I599" s="4"/>
      <c r="J599" s="4"/>
      <c r="K599" s="4"/>
      <c r="L599" s="4"/>
      <c r="M599" s="4"/>
      <c r="N599" s="4"/>
      <c r="O599" s="14"/>
      <c r="P599" s="4"/>
      <c r="Q599" s="4"/>
      <c r="R599" s="4"/>
      <c r="S599" s="4"/>
      <c r="T599" s="4"/>
    </row>
    <row r="600" spans="2:20" x14ac:dyDescent="0.35">
      <c r="B600" s="2"/>
      <c r="C600" s="4"/>
      <c r="D600" s="18"/>
      <c r="E600" s="4"/>
      <c r="F600" s="4"/>
      <c r="G600" s="14"/>
      <c r="H600" s="4"/>
      <c r="I600" s="4"/>
      <c r="J600" s="4"/>
      <c r="K600" s="4"/>
      <c r="L600" s="4"/>
      <c r="M600" s="4"/>
      <c r="N600" s="4"/>
      <c r="O600" s="14"/>
      <c r="P600" s="4"/>
      <c r="Q600" s="4"/>
      <c r="R600" s="4"/>
      <c r="S600" s="4"/>
      <c r="T600" s="4"/>
    </row>
    <row r="601" spans="2:20" x14ac:dyDescent="0.35">
      <c r="B601" s="2"/>
      <c r="C601" s="4"/>
      <c r="D601" s="18"/>
      <c r="E601" s="4"/>
      <c r="F601" s="4"/>
      <c r="G601" s="14"/>
      <c r="H601" s="4"/>
      <c r="I601" s="4"/>
      <c r="J601" s="4"/>
      <c r="K601" s="4"/>
      <c r="L601" s="4"/>
      <c r="M601" s="4"/>
      <c r="N601" s="4"/>
      <c r="O601" s="14"/>
      <c r="P601" s="4"/>
      <c r="Q601" s="4"/>
      <c r="R601" s="4"/>
      <c r="S601" s="4"/>
      <c r="T601" s="4"/>
    </row>
    <row r="602" spans="2:20" x14ac:dyDescent="0.35">
      <c r="B602" s="2"/>
      <c r="C602" s="4"/>
      <c r="D602" s="18"/>
      <c r="E602" s="4"/>
      <c r="F602" s="4"/>
      <c r="G602" s="14"/>
      <c r="H602" s="4"/>
      <c r="I602" s="4"/>
      <c r="J602" s="4"/>
      <c r="K602" s="4"/>
      <c r="L602" s="4"/>
      <c r="M602" s="4"/>
      <c r="N602" s="4"/>
      <c r="O602" s="14"/>
      <c r="P602" s="4"/>
      <c r="Q602" s="4"/>
      <c r="R602" s="4"/>
      <c r="S602" s="4"/>
      <c r="T602" s="4"/>
    </row>
    <row r="603" spans="2:20" x14ac:dyDescent="0.35">
      <c r="B603" s="2"/>
      <c r="C603" s="4"/>
      <c r="D603" s="18"/>
      <c r="E603" s="4"/>
      <c r="F603" s="4"/>
      <c r="G603" s="14"/>
      <c r="H603" s="4"/>
      <c r="I603" s="4"/>
      <c r="J603" s="4"/>
      <c r="K603" s="4"/>
      <c r="L603" s="4"/>
      <c r="M603" s="4"/>
      <c r="N603" s="4"/>
      <c r="O603" s="14"/>
      <c r="P603" s="4"/>
      <c r="Q603" s="4"/>
      <c r="R603" s="4"/>
      <c r="S603" s="4"/>
      <c r="T603" s="4"/>
    </row>
    <row r="604" spans="2:20" x14ac:dyDescent="0.35">
      <c r="B604" s="2"/>
      <c r="C604" s="4"/>
      <c r="D604" s="18"/>
      <c r="E604" s="4"/>
      <c r="F604" s="4"/>
      <c r="G604" s="14"/>
      <c r="H604" s="4"/>
      <c r="I604" s="4"/>
      <c r="J604" s="4"/>
      <c r="K604" s="4"/>
      <c r="L604" s="4"/>
      <c r="M604" s="4"/>
      <c r="N604" s="4"/>
      <c r="O604" s="14"/>
      <c r="P604" s="4"/>
      <c r="Q604" s="4"/>
      <c r="R604" s="4"/>
      <c r="S604" s="4"/>
      <c r="T604" s="4"/>
    </row>
    <row r="607" spans="2:20" x14ac:dyDescent="0.35">
      <c r="B607" s="3"/>
      <c r="C607" s="19"/>
      <c r="D607" s="19"/>
      <c r="E607" s="6"/>
      <c r="F607" s="7"/>
      <c r="G607" s="8"/>
      <c r="H607" s="7"/>
      <c r="I607" s="9"/>
      <c r="J607" s="10"/>
      <c r="K607" s="7"/>
      <c r="L607" s="7"/>
      <c r="M607" s="7"/>
      <c r="N607" s="7"/>
      <c r="O607" s="35"/>
      <c r="P607" s="10"/>
      <c r="Q607" s="7"/>
      <c r="R607" s="11"/>
      <c r="S607" s="12"/>
      <c r="T607" s="13"/>
    </row>
    <row r="608" spans="2:20" x14ac:dyDescent="0.35">
      <c r="B608" s="2"/>
      <c r="C608" s="4"/>
      <c r="D608" s="18"/>
      <c r="E608" s="4"/>
      <c r="F608" s="4"/>
      <c r="G608" s="14"/>
      <c r="H608" s="4"/>
      <c r="I608" s="4"/>
      <c r="J608" s="4"/>
      <c r="K608" s="4"/>
      <c r="L608" s="4"/>
      <c r="M608" s="4"/>
      <c r="N608" s="4"/>
      <c r="O608" s="14"/>
      <c r="P608" s="4"/>
      <c r="Q608" s="4"/>
      <c r="R608" s="4"/>
      <c r="S608" s="4"/>
      <c r="T608" s="4"/>
    </row>
    <row r="609" spans="2:20" x14ac:dyDescent="0.35">
      <c r="B609" s="2"/>
      <c r="C609" s="4"/>
      <c r="D609" s="18"/>
      <c r="E609" s="4"/>
      <c r="F609" s="4"/>
      <c r="G609" s="14"/>
      <c r="H609" s="4"/>
      <c r="I609" s="4"/>
      <c r="J609" s="4"/>
      <c r="K609" s="4"/>
      <c r="L609" s="4"/>
      <c r="M609" s="4"/>
      <c r="N609" s="4"/>
      <c r="O609" s="14"/>
      <c r="P609" s="4"/>
      <c r="Q609" s="4"/>
      <c r="R609" s="4"/>
      <c r="S609" s="4"/>
      <c r="T609" s="4"/>
    </row>
    <row r="610" spans="2:20" x14ac:dyDescent="0.35">
      <c r="B610" s="2"/>
      <c r="C610" s="4"/>
      <c r="D610" s="18"/>
      <c r="E610" s="4"/>
      <c r="F610" s="4"/>
      <c r="G610" s="14"/>
      <c r="H610" s="4"/>
      <c r="I610" s="4"/>
      <c r="J610" s="4"/>
      <c r="K610" s="4"/>
      <c r="L610" s="4"/>
      <c r="M610" s="4"/>
      <c r="N610" s="4"/>
      <c r="O610" s="14"/>
      <c r="P610" s="4"/>
      <c r="Q610" s="4"/>
      <c r="R610" s="4"/>
      <c r="S610" s="4"/>
      <c r="T610" s="4"/>
    </row>
    <row r="611" spans="2:20" x14ac:dyDescent="0.35">
      <c r="B611" s="2"/>
      <c r="C611" s="4"/>
      <c r="D611" s="18"/>
      <c r="E611" s="4"/>
      <c r="F611" s="4"/>
      <c r="G611" s="14"/>
      <c r="H611" s="4"/>
      <c r="I611" s="4"/>
      <c r="J611" s="4"/>
      <c r="K611" s="4"/>
      <c r="L611" s="4"/>
      <c r="M611" s="4"/>
      <c r="N611" s="4"/>
      <c r="O611" s="14"/>
      <c r="P611" s="4"/>
      <c r="Q611" s="4"/>
      <c r="R611" s="4"/>
      <c r="S611" s="4"/>
      <c r="T611" s="4"/>
    </row>
    <row r="612" spans="2:20" x14ac:dyDescent="0.35">
      <c r="B612" s="2"/>
      <c r="C612" s="4"/>
      <c r="D612" s="18"/>
      <c r="E612" s="4"/>
      <c r="F612" s="4"/>
      <c r="G612" s="14"/>
      <c r="H612" s="4"/>
      <c r="I612" s="4"/>
      <c r="J612" s="4"/>
      <c r="K612" s="4"/>
      <c r="L612" s="4"/>
      <c r="M612" s="4"/>
      <c r="N612" s="4"/>
      <c r="O612" s="14"/>
      <c r="P612" s="4"/>
      <c r="Q612" s="4"/>
      <c r="R612" s="4"/>
      <c r="S612" s="4"/>
      <c r="T612" s="4"/>
    </row>
    <row r="613" spans="2:20" x14ac:dyDescent="0.35">
      <c r="B613" s="2"/>
      <c r="C613" s="4"/>
      <c r="D613" s="18"/>
      <c r="E613" s="4"/>
      <c r="F613" s="4"/>
      <c r="G613" s="14"/>
      <c r="H613" s="4"/>
      <c r="I613" s="4"/>
      <c r="J613" s="4"/>
      <c r="K613" s="4"/>
      <c r="L613" s="4"/>
      <c r="M613" s="4"/>
      <c r="N613" s="4"/>
      <c r="O613" s="14"/>
      <c r="P613" s="4"/>
      <c r="Q613" s="4"/>
      <c r="R613" s="4"/>
      <c r="S613" s="4"/>
      <c r="T613" s="4"/>
    </row>
    <row r="614" spans="2:20" x14ac:dyDescent="0.35">
      <c r="B614" s="2"/>
      <c r="C614" s="4"/>
      <c r="D614" s="18"/>
      <c r="E614" s="4"/>
      <c r="F614" s="4"/>
      <c r="G614" s="14"/>
      <c r="H614" s="4"/>
      <c r="I614" s="4"/>
      <c r="J614" s="4"/>
      <c r="K614" s="4"/>
      <c r="L614" s="4"/>
      <c r="M614" s="4"/>
      <c r="N614" s="4"/>
      <c r="O614" s="14"/>
      <c r="P614" s="4"/>
      <c r="Q614" s="4"/>
      <c r="R614" s="4"/>
      <c r="S614" s="4"/>
      <c r="T614" s="4"/>
    </row>
    <row r="615" spans="2:20" x14ac:dyDescent="0.35">
      <c r="B615" s="2"/>
      <c r="C615" s="4"/>
      <c r="D615" s="18"/>
      <c r="E615" s="4"/>
      <c r="F615" s="4"/>
      <c r="G615" s="14"/>
      <c r="H615" s="4"/>
      <c r="I615" s="4"/>
      <c r="J615" s="4"/>
      <c r="K615" s="4"/>
      <c r="L615" s="4"/>
      <c r="M615" s="4"/>
      <c r="N615" s="4"/>
      <c r="O615" s="14"/>
      <c r="P615" s="4"/>
      <c r="Q615" s="4"/>
      <c r="R615" s="4"/>
      <c r="S615" s="4"/>
      <c r="T615" s="4"/>
    </row>
    <row r="616" spans="2:20" x14ac:dyDescent="0.35">
      <c r="B616" s="2"/>
      <c r="C616" s="4"/>
      <c r="D616" s="18"/>
      <c r="E616" s="4"/>
      <c r="F616" s="4"/>
      <c r="G616" s="14"/>
      <c r="H616" s="4"/>
      <c r="I616" s="4"/>
      <c r="J616" s="4"/>
      <c r="K616" s="4"/>
      <c r="L616" s="4"/>
      <c r="M616" s="4"/>
      <c r="N616" s="4"/>
      <c r="O616" s="14"/>
      <c r="P616" s="4"/>
      <c r="Q616" s="4"/>
      <c r="R616" s="4"/>
      <c r="S616" s="4"/>
      <c r="T616" s="4"/>
    </row>
    <row r="617" spans="2:20" x14ac:dyDescent="0.35">
      <c r="B617" s="2"/>
      <c r="C617" s="4"/>
      <c r="D617" s="18"/>
      <c r="E617" s="4"/>
      <c r="F617" s="4"/>
      <c r="G617" s="14"/>
      <c r="H617" s="4"/>
      <c r="I617" s="4"/>
      <c r="J617" s="4"/>
      <c r="K617" s="4"/>
      <c r="L617" s="4"/>
      <c r="M617" s="4"/>
      <c r="N617" s="4"/>
      <c r="O617" s="14"/>
      <c r="P617" s="4"/>
      <c r="Q617" s="4"/>
      <c r="R617" s="4"/>
      <c r="S617" s="4"/>
      <c r="T617" s="4"/>
    </row>
    <row r="618" spans="2:20" x14ac:dyDescent="0.35">
      <c r="B618" s="2"/>
      <c r="C618" s="4"/>
      <c r="D618" s="18"/>
      <c r="E618" s="4"/>
      <c r="F618" s="4"/>
      <c r="G618" s="14"/>
      <c r="H618" s="4"/>
      <c r="I618" s="4"/>
      <c r="J618" s="4"/>
      <c r="K618" s="4"/>
      <c r="L618" s="4"/>
      <c r="M618" s="4"/>
      <c r="N618" s="4"/>
      <c r="O618" s="14"/>
      <c r="P618" s="4"/>
      <c r="Q618" s="4"/>
      <c r="R618" s="4"/>
      <c r="S618" s="4"/>
      <c r="T618" s="4"/>
    </row>
    <row r="619" spans="2:20" x14ac:dyDescent="0.35">
      <c r="B619" s="2"/>
      <c r="C619" s="4"/>
      <c r="D619" s="18"/>
      <c r="E619" s="4"/>
      <c r="F619" s="4"/>
      <c r="G619" s="14"/>
      <c r="H619" s="4"/>
      <c r="I619" s="4"/>
      <c r="J619" s="4"/>
      <c r="K619" s="4"/>
      <c r="L619" s="4"/>
      <c r="M619" s="4"/>
      <c r="N619" s="4"/>
      <c r="O619" s="14"/>
      <c r="P619" s="4"/>
      <c r="Q619" s="4"/>
      <c r="R619" s="4"/>
      <c r="S619" s="4"/>
      <c r="T619" s="4"/>
    </row>
    <row r="620" spans="2:20" x14ac:dyDescent="0.35">
      <c r="B620" s="2"/>
      <c r="C620" s="4"/>
      <c r="D620" s="18"/>
      <c r="E620" s="4"/>
      <c r="F620" s="4"/>
      <c r="G620" s="14"/>
      <c r="H620" s="4"/>
      <c r="I620" s="4"/>
      <c r="J620" s="4"/>
      <c r="K620" s="4"/>
      <c r="L620" s="4"/>
      <c r="M620" s="4"/>
      <c r="N620" s="4"/>
      <c r="O620" s="14"/>
      <c r="P620" s="4"/>
      <c r="Q620" s="4"/>
      <c r="R620" s="4"/>
      <c r="S620" s="4"/>
      <c r="T620" s="4"/>
    </row>
    <row r="621" spans="2:20" x14ac:dyDescent="0.35">
      <c r="B621" s="2"/>
      <c r="C621" s="4"/>
      <c r="D621" s="18"/>
      <c r="E621" s="4"/>
      <c r="F621" s="4"/>
      <c r="G621" s="14"/>
      <c r="H621" s="4"/>
      <c r="I621" s="4"/>
      <c r="J621" s="4"/>
      <c r="K621" s="4"/>
      <c r="L621" s="4"/>
      <c r="M621" s="4"/>
      <c r="N621" s="4"/>
      <c r="O621" s="14"/>
      <c r="P621" s="4"/>
      <c r="Q621" s="4"/>
      <c r="R621" s="4"/>
      <c r="S621" s="4"/>
      <c r="T621" s="4"/>
    </row>
    <row r="622" spans="2:20" x14ac:dyDescent="0.35">
      <c r="B622" s="2"/>
      <c r="C622" s="4"/>
      <c r="D622" s="18"/>
      <c r="E622" s="4"/>
      <c r="F622" s="4"/>
      <c r="G622" s="14"/>
      <c r="H622" s="4"/>
      <c r="I622" s="4"/>
      <c r="J622" s="4"/>
      <c r="K622" s="4"/>
      <c r="L622" s="4"/>
      <c r="M622" s="4"/>
      <c r="N622" s="4"/>
      <c r="O622" s="14"/>
      <c r="P622" s="4"/>
      <c r="Q622" s="4"/>
      <c r="R622" s="4"/>
      <c r="S622" s="4"/>
      <c r="T622" s="4"/>
    </row>
    <row r="623" spans="2:20" x14ac:dyDescent="0.35">
      <c r="B623" s="2"/>
      <c r="C623" s="4"/>
      <c r="D623" s="18"/>
      <c r="E623" s="4"/>
      <c r="F623" s="4"/>
      <c r="G623" s="14"/>
      <c r="H623" s="4"/>
      <c r="I623" s="4"/>
      <c r="J623" s="4"/>
      <c r="K623" s="4"/>
      <c r="L623" s="4"/>
      <c r="M623" s="4"/>
      <c r="N623" s="4"/>
      <c r="O623" s="14"/>
      <c r="P623" s="4"/>
      <c r="Q623" s="4"/>
      <c r="R623" s="4"/>
      <c r="S623" s="4"/>
      <c r="T623" s="4"/>
    </row>
    <row r="624" spans="2:20" x14ac:dyDescent="0.35">
      <c r="B624" s="2"/>
      <c r="C624" s="4"/>
      <c r="D624" s="18"/>
      <c r="E624" s="4"/>
      <c r="F624" s="4"/>
      <c r="G624" s="14"/>
      <c r="H624" s="4"/>
      <c r="I624" s="4"/>
      <c r="J624" s="4"/>
      <c r="K624" s="4"/>
      <c r="L624" s="4"/>
      <c r="M624" s="4"/>
      <c r="N624" s="4"/>
      <c r="O624" s="14"/>
      <c r="P624" s="4"/>
      <c r="Q624" s="4"/>
      <c r="R624" s="4"/>
      <c r="S624" s="4"/>
      <c r="T624" s="4"/>
    </row>
    <row r="625" spans="2:20" x14ac:dyDescent="0.35">
      <c r="B625" s="2"/>
      <c r="C625" s="4"/>
      <c r="D625" s="18"/>
      <c r="E625" s="4"/>
      <c r="F625" s="4"/>
      <c r="G625" s="14"/>
      <c r="H625" s="4"/>
      <c r="I625" s="4"/>
      <c r="J625" s="4"/>
      <c r="K625" s="4"/>
      <c r="L625" s="4"/>
      <c r="M625" s="4"/>
      <c r="N625" s="4"/>
      <c r="O625" s="14"/>
      <c r="P625" s="4"/>
      <c r="Q625" s="4"/>
      <c r="R625" s="4"/>
      <c r="S625" s="4"/>
      <c r="T625" s="4"/>
    </row>
    <row r="626" spans="2:20" x14ac:dyDescent="0.35">
      <c r="B626" s="2"/>
      <c r="C626" s="4"/>
      <c r="D626" s="18"/>
      <c r="E626" s="4"/>
      <c r="F626" s="4"/>
      <c r="G626" s="14"/>
      <c r="H626" s="4"/>
      <c r="I626" s="4"/>
      <c r="J626" s="4"/>
      <c r="K626" s="4"/>
      <c r="L626" s="4"/>
      <c r="M626" s="4"/>
      <c r="N626" s="4"/>
      <c r="O626" s="14"/>
      <c r="P626" s="4"/>
      <c r="Q626" s="4"/>
      <c r="R626" s="4"/>
      <c r="S626" s="4"/>
      <c r="T626" s="4"/>
    </row>
    <row r="627" spans="2:20" x14ac:dyDescent="0.35">
      <c r="B627" s="2"/>
      <c r="C627" s="4"/>
      <c r="D627" s="18"/>
      <c r="E627" s="4"/>
      <c r="F627" s="4"/>
      <c r="G627" s="14"/>
      <c r="H627" s="4"/>
      <c r="I627" s="4"/>
      <c r="J627" s="4"/>
      <c r="K627" s="4"/>
      <c r="L627" s="4"/>
      <c r="M627" s="4"/>
      <c r="N627" s="4"/>
      <c r="O627" s="14"/>
      <c r="P627" s="4"/>
      <c r="Q627" s="4"/>
      <c r="R627" s="4"/>
      <c r="S627" s="4"/>
      <c r="T627" s="4"/>
    </row>
    <row r="628" spans="2:20" x14ac:dyDescent="0.35">
      <c r="B628" s="2"/>
      <c r="C628" s="4"/>
      <c r="D628" s="18"/>
      <c r="E628" s="4"/>
      <c r="F628" s="4"/>
      <c r="G628" s="14"/>
      <c r="H628" s="4"/>
      <c r="I628" s="4"/>
      <c r="J628" s="4"/>
      <c r="K628" s="4"/>
      <c r="L628" s="4"/>
      <c r="M628" s="4"/>
      <c r="N628" s="4"/>
      <c r="O628" s="14"/>
      <c r="P628" s="4"/>
      <c r="Q628" s="4"/>
      <c r="R628" s="4"/>
      <c r="S628" s="4"/>
      <c r="T628" s="4"/>
    </row>
    <row r="629" spans="2:20" x14ac:dyDescent="0.35">
      <c r="B629" s="2"/>
      <c r="C629" s="4"/>
      <c r="D629" s="18"/>
      <c r="E629" s="4"/>
      <c r="F629" s="4"/>
      <c r="G629" s="14"/>
      <c r="H629" s="4"/>
      <c r="I629" s="4"/>
      <c r="J629" s="4"/>
      <c r="K629" s="4"/>
      <c r="L629" s="4"/>
      <c r="M629" s="4"/>
      <c r="N629" s="4"/>
      <c r="O629" s="14"/>
      <c r="P629" s="4"/>
      <c r="Q629" s="4"/>
      <c r="R629" s="4"/>
      <c r="S629" s="4"/>
      <c r="T629" s="4"/>
    </row>
    <row r="630" spans="2:20" x14ac:dyDescent="0.35">
      <c r="B630" s="2"/>
      <c r="C630" s="4"/>
      <c r="D630" s="18"/>
      <c r="E630" s="4"/>
      <c r="F630" s="4"/>
      <c r="G630" s="14"/>
      <c r="H630" s="4"/>
      <c r="I630" s="4"/>
      <c r="J630" s="4"/>
      <c r="K630" s="4"/>
      <c r="L630" s="4"/>
      <c r="M630" s="4"/>
      <c r="N630" s="4"/>
      <c r="O630" s="14"/>
      <c r="P630" s="4"/>
      <c r="Q630" s="4"/>
      <c r="R630" s="4"/>
      <c r="S630" s="4"/>
      <c r="T630" s="4"/>
    </row>
    <row r="631" spans="2:20" x14ac:dyDescent="0.35">
      <c r="B631" s="2"/>
      <c r="C631" s="4"/>
      <c r="D631" s="18"/>
      <c r="E631" s="4"/>
      <c r="F631" s="4"/>
      <c r="G631" s="14"/>
      <c r="H631" s="4"/>
      <c r="I631" s="4"/>
      <c r="J631" s="4"/>
      <c r="K631" s="4"/>
      <c r="L631" s="4"/>
      <c r="M631" s="4"/>
      <c r="N631" s="4"/>
      <c r="O631" s="14"/>
      <c r="P631" s="4"/>
      <c r="Q631" s="4"/>
      <c r="R631" s="4"/>
      <c r="S631" s="4"/>
      <c r="T631" s="4"/>
    </row>
    <row r="632" spans="2:20" x14ac:dyDescent="0.35">
      <c r="B632" s="2"/>
      <c r="C632" s="4"/>
      <c r="D632" s="18"/>
      <c r="E632" s="4"/>
      <c r="F632" s="4"/>
      <c r="G632" s="14"/>
      <c r="H632" s="4"/>
      <c r="I632" s="4"/>
      <c r="J632" s="4"/>
      <c r="K632" s="4"/>
      <c r="L632" s="4"/>
      <c r="M632" s="4"/>
      <c r="N632" s="4"/>
      <c r="O632" s="14"/>
      <c r="P632" s="4"/>
      <c r="Q632" s="4"/>
      <c r="R632" s="4"/>
      <c r="S632" s="4"/>
      <c r="T632" s="4"/>
    </row>
    <row r="633" spans="2:20" x14ac:dyDescent="0.35">
      <c r="B633" s="2"/>
      <c r="C633" s="4"/>
      <c r="D633" s="18"/>
      <c r="E633" s="4"/>
      <c r="F633" s="4"/>
      <c r="G633" s="14"/>
      <c r="H633" s="4"/>
      <c r="I633" s="4"/>
      <c r="J633" s="4"/>
      <c r="K633" s="4"/>
      <c r="L633" s="4"/>
      <c r="M633" s="4"/>
      <c r="N633" s="4"/>
      <c r="O633" s="14"/>
      <c r="P633" s="4"/>
      <c r="Q633" s="4"/>
      <c r="R633" s="4"/>
      <c r="S633" s="4"/>
      <c r="T633" s="4"/>
    </row>
    <row r="634" spans="2:20" x14ac:dyDescent="0.35">
      <c r="B634" s="4"/>
      <c r="C634" s="4"/>
      <c r="D634" s="18"/>
      <c r="E634" s="4"/>
      <c r="F634" s="4"/>
      <c r="G634" s="14"/>
      <c r="H634" s="4"/>
      <c r="I634" s="4"/>
      <c r="J634" s="4"/>
      <c r="K634" s="4"/>
      <c r="L634" s="4"/>
      <c r="M634" s="4"/>
      <c r="N634" s="4"/>
      <c r="O634" s="14"/>
      <c r="P634" s="4"/>
      <c r="Q634" s="4"/>
      <c r="R634" s="4"/>
      <c r="S634" s="4"/>
      <c r="T634" s="4"/>
    </row>
    <row r="635" spans="2:20" x14ac:dyDescent="0.35">
      <c r="B635" s="4"/>
      <c r="C635" s="4"/>
      <c r="D635" s="18"/>
      <c r="E635" s="4"/>
      <c r="F635" s="4"/>
      <c r="G635" s="14"/>
      <c r="H635" s="4"/>
      <c r="I635" s="4"/>
      <c r="J635" s="4"/>
      <c r="K635" s="4"/>
      <c r="L635" s="4"/>
      <c r="M635" s="4"/>
      <c r="N635" s="4"/>
      <c r="O635" s="14"/>
      <c r="P635" s="4"/>
      <c r="Q635" s="4"/>
      <c r="R635" s="4"/>
      <c r="S635" s="4"/>
      <c r="T635" s="4"/>
    </row>
    <row r="636" spans="2:20" x14ac:dyDescent="0.35">
      <c r="B636" s="4"/>
      <c r="C636" s="4"/>
      <c r="D636" s="18"/>
      <c r="E636" s="4"/>
      <c r="F636" s="4"/>
      <c r="G636" s="14"/>
      <c r="H636" s="4"/>
      <c r="I636" s="4"/>
      <c r="J636" s="4"/>
      <c r="K636" s="4"/>
      <c r="L636" s="4"/>
      <c r="M636" s="4"/>
      <c r="N636" s="4"/>
      <c r="O636" s="14"/>
      <c r="P636" s="4"/>
      <c r="Q636" s="4"/>
      <c r="R636" s="4"/>
      <c r="S636" s="4"/>
      <c r="T636" s="4"/>
    </row>
    <row r="637" spans="2:20" x14ac:dyDescent="0.35">
      <c r="B637" s="4"/>
      <c r="C637" s="4"/>
      <c r="D637" s="18"/>
      <c r="E637" s="4"/>
      <c r="F637" s="4"/>
      <c r="G637" s="14"/>
      <c r="H637" s="4"/>
      <c r="I637" s="4"/>
      <c r="J637" s="4"/>
      <c r="K637" s="4"/>
      <c r="L637" s="4"/>
      <c r="M637" s="4"/>
      <c r="N637" s="4"/>
      <c r="O637" s="14"/>
      <c r="P637" s="4"/>
      <c r="Q637" s="4"/>
      <c r="R637" s="4"/>
      <c r="S637" s="4"/>
      <c r="T637" s="4"/>
    </row>
    <row r="638" spans="2:20" x14ac:dyDescent="0.35">
      <c r="B638" s="4"/>
      <c r="C638" s="4"/>
      <c r="D638" s="18"/>
      <c r="E638" s="4"/>
      <c r="F638" s="4"/>
      <c r="G638" s="14"/>
      <c r="H638" s="4"/>
      <c r="I638" s="4"/>
      <c r="J638" s="4"/>
      <c r="K638" s="4"/>
      <c r="L638" s="4"/>
      <c r="M638" s="4"/>
      <c r="N638" s="4"/>
      <c r="O638" s="14"/>
      <c r="P638" s="4"/>
      <c r="Q638" s="4"/>
      <c r="R638" s="4"/>
      <c r="S638" s="4"/>
      <c r="T638" s="4"/>
    </row>
    <row r="639" spans="2:20" x14ac:dyDescent="0.35">
      <c r="B639" s="4"/>
      <c r="C639" s="4"/>
      <c r="D639" s="18"/>
      <c r="E639" s="4"/>
      <c r="F639" s="4"/>
      <c r="G639" s="14"/>
      <c r="H639" s="4"/>
      <c r="I639" s="4"/>
      <c r="J639" s="4"/>
      <c r="K639" s="4"/>
      <c r="L639" s="4"/>
      <c r="M639" s="4"/>
      <c r="N639" s="4"/>
      <c r="O639" s="14"/>
      <c r="P639" s="4"/>
      <c r="Q639" s="4"/>
      <c r="R639" s="4"/>
      <c r="S639" s="4"/>
      <c r="T63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HOUSE</vt:lpstr>
      <vt:lpstr>SHORT HOUSE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Cecylia Naliaka</dc:creator>
  <cp:lastModifiedBy>accounts@busiachicken.com</cp:lastModifiedBy>
  <dcterms:created xsi:type="dcterms:W3CDTF">2023-12-27T13:50:10Z</dcterms:created>
  <dcterms:modified xsi:type="dcterms:W3CDTF">2026-08-01T08:43:59Z</dcterms:modified>
</cp:coreProperties>
</file>