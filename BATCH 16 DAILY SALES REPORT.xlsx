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ccounts\Documents\BCL SEPT 2025\Evans Desktop July 2025\BCL LTD\DAILY REPORTING SHEETS\"/>
    </mc:Choice>
  </mc:AlternateContent>
  <xr:revisionPtr revIDLastSave="0" documentId="13_ncr:1_{99271380-43C7-4DFC-988A-70093BD9ACB0}" xr6:coauthVersionLast="47" xr6:coauthVersionMax="47" xr10:uidLastSave="{00000000-0000-0000-0000-000000000000}"/>
  <bookViews>
    <workbookView xWindow="-110" yWindow="-110" windowWidth="19420" windowHeight="10300" firstSheet="13" activeTab="17" xr2:uid="{00000000-000D-0000-FFFF-FFFF00000000}"/>
  </bookViews>
  <sheets>
    <sheet name="14 JULY 2026" sheetId="4" r:id="rId1"/>
    <sheet name="15 JULY 2026 " sheetId="5" r:id="rId2"/>
    <sheet name="16 JULY 2026 " sheetId="6" r:id="rId3"/>
    <sheet name="17 JULY 2026 " sheetId="7" r:id="rId4"/>
    <sheet name="18 JULY 2026 " sheetId="8" r:id="rId5"/>
    <sheet name="19 JULY 2026" sheetId="9" r:id="rId6"/>
    <sheet name="20 JULY 2026" sheetId="10" r:id="rId7"/>
    <sheet name="21 JULY 2026" sheetId="11" r:id="rId8"/>
    <sheet name="22 JULY 2026" sheetId="12" r:id="rId9"/>
    <sheet name="23 JULY 2026" sheetId="13" r:id="rId10"/>
    <sheet name="24 JULY 2026" sheetId="14" r:id="rId11"/>
    <sheet name="25 JULY 2026" sheetId="15" r:id="rId12"/>
    <sheet name="26 JULY 2026" sheetId="16" r:id="rId13"/>
    <sheet name="27 JULY 2026 " sheetId="17" r:id="rId14"/>
    <sheet name="28 JULY 2026" sheetId="18" r:id="rId15"/>
    <sheet name="29 JULY 2026 " sheetId="19" r:id="rId16"/>
    <sheet name="30 JULY 2026 " sheetId="20" r:id="rId17"/>
    <sheet name="31 JULY 2026 " sheetId="21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21" l="1"/>
  <c r="A13" i="21"/>
  <c r="B25" i="21" s="1"/>
  <c r="C12" i="21"/>
  <c r="C11" i="21"/>
  <c r="C10" i="21"/>
  <c r="C9" i="21"/>
  <c r="C8" i="21"/>
  <c r="C13" i="21" s="1"/>
  <c r="B35" i="21" s="1"/>
  <c r="B4" i="21"/>
  <c r="B23" i="21" s="1"/>
  <c r="B24" i="21" s="1"/>
  <c r="B31" i="21" s="1"/>
  <c r="B36" i="20"/>
  <c r="A13" i="20"/>
  <c r="B25" i="20" s="1"/>
  <c r="C12" i="20"/>
  <c r="C11" i="20"/>
  <c r="C10" i="20"/>
  <c r="C9" i="20"/>
  <c r="C8" i="20"/>
  <c r="C13" i="20" s="1"/>
  <c r="B35" i="20" s="1"/>
  <c r="B4" i="20"/>
  <c r="B23" i="20" s="1"/>
  <c r="B24" i="20" s="1"/>
  <c r="B31" i="20" s="1"/>
  <c r="B36" i="19"/>
  <c r="A13" i="19"/>
  <c r="B25" i="19" s="1"/>
  <c r="C12" i="19"/>
  <c r="C11" i="19"/>
  <c r="C10" i="19"/>
  <c r="C9" i="19"/>
  <c r="C8" i="19"/>
  <c r="C13" i="19" s="1"/>
  <c r="B35" i="19" s="1"/>
  <c r="B4" i="19"/>
  <c r="B23" i="19" s="1"/>
  <c r="B24" i="19" s="1"/>
  <c r="B31" i="19" s="1"/>
  <c r="A13" i="18"/>
  <c r="B25" i="18" s="1"/>
  <c r="C12" i="18"/>
  <c r="C11" i="18"/>
  <c r="C10" i="18"/>
  <c r="C9" i="18"/>
  <c r="C8" i="18"/>
  <c r="B4" i="18"/>
  <c r="B23" i="18" s="1"/>
  <c r="B24" i="18" s="1"/>
  <c r="B31" i="18" s="1"/>
  <c r="A13" i="17"/>
  <c r="B25" i="17" s="1"/>
  <c r="C12" i="17"/>
  <c r="C11" i="17"/>
  <c r="C10" i="17"/>
  <c r="C9" i="17"/>
  <c r="C8" i="17"/>
  <c r="B4" i="17"/>
  <c r="B23" i="17" s="1"/>
  <c r="B24" i="17" s="1"/>
  <c r="B31" i="17" s="1"/>
  <c r="A13" i="16"/>
  <c r="B25" i="16" s="1"/>
  <c r="C12" i="16"/>
  <c r="C11" i="16"/>
  <c r="C10" i="16"/>
  <c r="C9" i="16"/>
  <c r="C8" i="16"/>
  <c r="C13" i="16" s="1"/>
  <c r="B35" i="16" s="1"/>
  <c r="B4" i="16"/>
  <c r="B23" i="16" s="1"/>
  <c r="B24" i="16" s="1"/>
  <c r="A13" i="15"/>
  <c r="B25" i="15" s="1"/>
  <c r="C12" i="15"/>
  <c r="C11" i="15"/>
  <c r="C10" i="15"/>
  <c r="C9" i="15"/>
  <c r="C8" i="15"/>
  <c r="C13" i="15" s="1"/>
  <c r="B35" i="15" s="1"/>
  <c r="B4" i="15"/>
  <c r="B23" i="15" s="1"/>
  <c r="B24" i="15" s="1"/>
  <c r="A13" i="14"/>
  <c r="B25" i="14" s="1"/>
  <c r="C12" i="14"/>
  <c r="C11" i="14"/>
  <c r="C10" i="14"/>
  <c r="C9" i="14"/>
  <c r="C8" i="14"/>
  <c r="B4" i="14"/>
  <c r="B23" i="14" s="1"/>
  <c r="B24" i="14" s="1"/>
  <c r="A13" i="13"/>
  <c r="B25" i="13" s="1"/>
  <c r="C12" i="13"/>
  <c r="C11" i="13"/>
  <c r="C10" i="13"/>
  <c r="C9" i="13"/>
  <c r="C8" i="13"/>
  <c r="B4" i="13"/>
  <c r="B23" i="13" s="1"/>
  <c r="B24" i="13" s="1"/>
  <c r="B25" i="12"/>
  <c r="A13" i="12"/>
  <c r="C12" i="12"/>
  <c r="C11" i="12"/>
  <c r="C10" i="12"/>
  <c r="C9" i="12"/>
  <c r="C8" i="12"/>
  <c r="C13" i="12" s="1"/>
  <c r="B35" i="12" s="1"/>
  <c r="B4" i="12"/>
  <c r="B23" i="12" s="1"/>
  <c r="B24" i="12" s="1"/>
  <c r="A13" i="11"/>
  <c r="B25" i="11" s="1"/>
  <c r="C12" i="11"/>
  <c r="C11" i="11"/>
  <c r="C10" i="11"/>
  <c r="C9" i="11"/>
  <c r="C8" i="11"/>
  <c r="C13" i="11" s="1"/>
  <c r="B35" i="11" s="1"/>
  <c r="B4" i="11"/>
  <c r="B23" i="11" s="1"/>
  <c r="B24" i="11" s="1"/>
  <c r="A13" i="10"/>
  <c r="B25" i="10" s="1"/>
  <c r="C12" i="10"/>
  <c r="C11" i="10"/>
  <c r="C10" i="10"/>
  <c r="C9" i="10"/>
  <c r="C8" i="10"/>
  <c r="C13" i="10" s="1"/>
  <c r="B35" i="10" s="1"/>
  <c r="B4" i="10"/>
  <c r="B23" i="10" s="1"/>
  <c r="B24" i="10" s="1"/>
  <c r="B31" i="10" s="1"/>
  <c r="A13" i="9"/>
  <c r="B25" i="9" s="1"/>
  <c r="C12" i="9"/>
  <c r="C11" i="9"/>
  <c r="C10" i="9"/>
  <c r="C9" i="9"/>
  <c r="C8" i="9"/>
  <c r="C13" i="9" s="1"/>
  <c r="B35" i="9" s="1"/>
  <c r="B4" i="9"/>
  <c r="B23" i="9" s="1"/>
  <c r="B24" i="9" s="1"/>
  <c r="B31" i="9" s="1"/>
  <c r="A13" i="8"/>
  <c r="B25" i="8" s="1"/>
  <c r="C12" i="8"/>
  <c r="C11" i="8"/>
  <c r="C10" i="8"/>
  <c r="C9" i="8"/>
  <c r="C8" i="8"/>
  <c r="C13" i="8" s="1"/>
  <c r="B35" i="8" s="1"/>
  <c r="B4" i="8"/>
  <c r="B23" i="8" s="1"/>
  <c r="B24" i="8" s="1"/>
  <c r="A13" i="7"/>
  <c r="B25" i="7" s="1"/>
  <c r="C12" i="7"/>
  <c r="C11" i="7"/>
  <c r="C10" i="7"/>
  <c r="C9" i="7"/>
  <c r="C8" i="7"/>
  <c r="C13" i="7" s="1"/>
  <c r="B35" i="7" s="1"/>
  <c r="B4" i="7"/>
  <c r="B23" i="7" s="1"/>
  <c r="B24" i="7" s="1"/>
  <c r="B31" i="7" s="1"/>
  <c r="A13" i="6"/>
  <c r="B25" i="6" s="1"/>
  <c r="C12" i="6"/>
  <c r="C11" i="6"/>
  <c r="C10" i="6"/>
  <c r="C9" i="6"/>
  <c r="C8" i="6"/>
  <c r="C13" i="6" s="1"/>
  <c r="B35" i="6" s="1"/>
  <c r="B4" i="6"/>
  <c r="B23" i="6" s="1"/>
  <c r="B24" i="6" s="1"/>
  <c r="B31" i="6" s="1"/>
  <c r="A13" i="5"/>
  <c r="B25" i="5" s="1"/>
  <c r="C12" i="5"/>
  <c r="C11" i="5"/>
  <c r="C10" i="5"/>
  <c r="C9" i="5"/>
  <c r="C8" i="5"/>
  <c r="B4" i="5"/>
  <c r="B23" i="5" s="1"/>
  <c r="B24" i="5" s="1"/>
  <c r="A13" i="4"/>
  <c r="B25" i="4" s="1"/>
  <c r="C12" i="4"/>
  <c r="C11" i="4"/>
  <c r="C10" i="4"/>
  <c r="C9" i="4"/>
  <c r="C8" i="4"/>
  <c r="B4" i="4"/>
  <c r="B23" i="4" s="1"/>
  <c r="B24" i="4" s="1"/>
  <c r="C13" i="18" l="1"/>
  <c r="B35" i="18" s="1"/>
  <c r="C13" i="17"/>
  <c r="B35" i="17" s="1"/>
  <c r="B31" i="16"/>
  <c r="B31" i="15"/>
  <c r="B31" i="14"/>
  <c r="C13" i="14"/>
  <c r="B35" i="14" s="1"/>
  <c r="B31" i="13"/>
  <c r="C13" i="13"/>
  <c r="B35" i="13" s="1"/>
  <c r="B31" i="12"/>
  <c r="B31" i="11"/>
  <c r="B31" i="8"/>
  <c r="C13" i="5"/>
  <c r="B35" i="5" s="1"/>
  <c r="B31" i="5"/>
  <c r="C13" i="4"/>
  <c r="B35" i="4" s="1"/>
  <c r="B31" i="4"/>
</calcChain>
</file>

<file path=xl/sharedStrings.xml><?xml version="1.0" encoding="utf-8"?>
<sst xmlns="http://schemas.openxmlformats.org/spreadsheetml/2006/main" count="558" uniqueCount="48">
  <si>
    <t xml:space="preserve"> </t>
  </si>
  <si>
    <t>Total Production</t>
  </si>
  <si>
    <t>Total</t>
  </si>
  <si>
    <t>Sales</t>
  </si>
  <si>
    <t>crates</t>
  </si>
  <si>
    <t>Price</t>
  </si>
  <si>
    <t>Total Sales</t>
  </si>
  <si>
    <t>Till Verification</t>
  </si>
  <si>
    <t>NCBA</t>
  </si>
  <si>
    <t>nil</t>
  </si>
  <si>
    <t>KCB</t>
  </si>
  <si>
    <t>Nil</t>
  </si>
  <si>
    <t>Store balances</t>
  </si>
  <si>
    <t>Bal b/f</t>
  </si>
  <si>
    <t>Add: Produced</t>
  </si>
  <si>
    <t>Less: Sold Crates</t>
  </si>
  <si>
    <t xml:space="preserve">          Discounts</t>
  </si>
  <si>
    <t xml:space="preserve">          Donations-Chairman</t>
  </si>
  <si>
    <t xml:space="preserve">                             -Director</t>
  </si>
  <si>
    <t xml:space="preserve">           Damages-Home</t>
  </si>
  <si>
    <t xml:space="preserve">           Damages-Route </t>
  </si>
  <si>
    <t>Current Store balance</t>
  </si>
  <si>
    <t>Sales Summary</t>
  </si>
  <si>
    <t>Paybill Actual</t>
  </si>
  <si>
    <t>Prepaid</t>
  </si>
  <si>
    <t>Unpaid</t>
  </si>
  <si>
    <t>Prepaid Crates</t>
  </si>
  <si>
    <t>DAILY SALES RECONCILIATION  14/7/2026</t>
  </si>
  <si>
    <t>Batch 16</t>
  </si>
  <si>
    <t>DAILY SALES RECONCILIATION  15/7/2026</t>
  </si>
  <si>
    <t>DAILY SALES RECONCILIATION  16/7/2026</t>
  </si>
  <si>
    <t xml:space="preserve">          Donations-Chairman/staffs/neigbours</t>
  </si>
  <si>
    <t>DAILY SALES RECONCILIATION  17/7/2026</t>
  </si>
  <si>
    <t>DAILY SALES RECONCILIATION  18/7/2026</t>
  </si>
  <si>
    <t>DAILY SALES RECONCILIATION  19/7/2026</t>
  </si>
  <si>
    <t>DAILY SALES RECONCILIATION  20/7/2026</t>
  </si>
  <si>
    <t xml:space="preserve">          Donations-Chairman/neigbours</t>
  </si>
  <si>
    <t>DAILY SALES RECONCILIATION  21/7/2026</t>
  </si>
  <si>
    <t>DAILY SALES RECONCILIATION  22/7/2026</t>
  </si>
  <si>
    <t>DAILY SALES RECONCILIATION  23/7/2026</t>
  </si>
  <si>
    <t>DAILY SALES RECONCILIATION  24/7/2026</t>
  </si>
  <si>
    <t>DAILY SALES RECONCILIATION  25/7/2026</t>
  </si>
  <si>
    <t>DAILY SALES RECONCILIATION  26/7/2026</t>
  </si>
  <si>
    <t>DAILY SALES RECONCILIATION  27/7/2026</t>
  </si>
  <si>
    <t>DAILY SALES RECONCILIATION  28/7/2026</t>
  </si>
  <si>
    <t>DAILY SALES RECONCILIATION  29/7/2026</t>
  </si>
  <si>
    <t>DAILY SALES RECONCILIATION  31/7/2026</t>
  </si>
  <si>
    <t>DAILY SALES RECONCILIATION  30/7/2026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</si>
</sst>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2" xfId="0" applyFont="1" applyBorder="1"/>
    <xf numFmtId="0" fontId="0" fillId="0" borderId="3" xfId="0" applyBorder="1"/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4" xfId="0" applyBorder="1"/>
    <xf numFmtId="0" fontId="1" fillId="0" borderId="4" xfId="0" applyFont="1" applyBorder="1"/>
    <xf numFmtId="0" fontId="2" fillId="2" borderId="4" xfId="0" applyFont="1" applyFill="1" applyBorder="1"/>
    <xf numFmtId="0" fontId="0" fillId="2" borderId="0" xfId="0" applyFill="1"/>
    <xf numFmtId="0" fontId="1" fillId="2" borderId="0" xfId="0" applyFont="1" applyFill="1"/>
    <xf numFmtId="0" fontId="0" fillId="2" borderId="4" xfId="0" applyFill="1" applyBorder="1"/>
    <xf numFmtId="0" fontId="1" fillId="2" borderId="4" xfId="0" applyFont="1" applyFill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FE960-6C29-48CB-94B1-F03B7405F513}">
  <dimension ref="A1:O74"/>
  <sheetViews>
    <sheetView topLeftCell="A23" workbookViewId="0">
      <selection activeCell="B13" sqref="B13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27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137</v>
      </c>
      <c r="H3" s="1"/>
      <c r="I3" s="1"/>
      <c r="J3" s="1"/>
    </row>
    <row r="4" spans="1:15" x14ac:dyDescent="0.35">
      <c r="A4" s="1" t="s">
        <v>2</v>
      </c>
      <c r="B4" s="5">
        <f>B3</f>
        <v>137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633</v>
      </c>
      <c r="B8" s="1">
        <v>300</v>
      </c>
      <c r="C8" s="1">
        <f>A8*B8</f>
        <v>189900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10</v>
      </c>
      <c r="B9" s="1">
        <v>410</v>
      </c>
      <c r="C9" s="1">
        <f t="shared" ref="C9:C12" si="0">A9*B9</f>
        <v>4100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643</v>
      </c>
      <c r="B13" s="1"/>
      <c r="C13" s="1">
        <f>C8+C9+C10+C11+C12</f>
        <v>194000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686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137</v>
      </c>
      <c r="F23" s="1"/>
      <c r="G23" s="1"/>
      <c r="H23" s="1"/>
      <c r="I23" s="1"/>
    </row>
    <row r="24" spans="1:14" x14ac:dyDescent="0.35">
      <c r="B24">
        <f>B22+B23</f>
        <v>823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643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17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3</v>
      </c>
      <c r="F29" s="1"/>
      <c r="G29" s="1"/>
      <c r="H29" s="1"/>
      <c r="I29" s="1"/>
    </row>
    <row r="30" spans="1:14" x14ac:dyDescent="0.35">
      <c r="A30" t="s">
        <v>20</v>
      </c>
      <c r="B30">
        <v>0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177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194000</v>
      </c>
      <c r="G35" s="1"/>
      <c r="H35" s="1"/>
      <c r="I35" s="1"/>
    </row>
    <row r="36" spans="1:9" x14ac:dyDescent="0.35">
      <c r="A36" t="s">
        <v>24</v>
      </c>
      <c r="B36">
        <v>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AE07-EFE8-4E65-9F85-29E58FE56031}">
  <dimension ref="A1:O74"/>
  <sheetViews>
    <sheetView topLeftCell="A31" workbookViewId="0">
      <selection activeCell="B3" sqref="B3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29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159</v>
      </c>
      <c r="H3" s="1"/>
      <c r="I3" s="1"/>
      <c r="J3" s="1"/>
    </row>
    <row r="4" spans="1:15" x14ac:dyDescent="0.35">
      <c r="A4" s="1" t="s">
        <v>2</v>
      </c>
      <c r="B4" s="5">
        <f>B3</f>
        <v>159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0</v>
      </c>
      <c r="B8" s="1">
        <v>300</v>
      </c>
      <c r="C8" s="1">
        <f>A8*B8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0</v>
      </c>
      <c r="B9" s="1">
        <v>410</v>
      </c>
      <c r="C9" s="1">
        <f t="shared" ref="C9:C12" si="0">A9*B9</f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0</v>
      </c>
      <c r="B13" s="1"/>
      <c r="C13" s="1">
        <f>C8+C9+C10+C11+C12</f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177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159</v>
      </c>
      <c r="F23" s="1"/>
      <c r="G23" s="1"/>
      <c r="H23" s="1"/>
      <c r="I23" s="1"/>
    </row>
    <row r="24" spans="1:14" x14ac:dyDescent="0.35">
      <c r="B24">
        <f>B22+B23</f>
        <v>336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0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17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0</v>
      </c>
      <c r="F29" s="1"/>
      <c r="G29" s="1"/>
      <c r="H29" s="1"/>
      <c r="I29" s="1"/>
    </row>
    <row r="30" spans="1:14" x14ac:dyDescent="0.35">
      <c r="A30" t="s">
        <v>20</v>
      </c>
      <c r="B30">
        <v>0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336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0</v>
      </c>
      <c r="G35" s="1"/>
      <c r="H35" s="1"/>
      <c r="I35" s="1"/>
    </row>
    <row r="36" spans="1:9" x14ac:dyDescent="0.35">
      <c r="A36" t="s">
        <v>24</v>
      </c>
      <c r="B36">
        <v>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AE67-D346-4A4D-943F-D72CB033143A}">
  <dimension ref="A1:O74"/>
  <sheetViews>
    <sheetView topLeftCell="A18" workbookViewId="0">
      <selection activeCell="C36" sqref="C36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30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177</v>
      </c>
      <c r="H3" s="1"/>
      <c r="I3" s="1"/>
      <c r="J3" s="1"/>
    </row>
    <row r="4" spans="1:15" x14ac:dyDescent="0.35">
      <c r="A4" s="1" t="s">
        <v>2</v>
      </c>
      <c r="B4" s="5">
        <f>B3</f>
        <v>177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0</v>
      </c>
      <c r="B8" s="1">
        <v>300</v>
      </c>
      <c r="C8" s="1">
        <f>A8*B8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0</v>
      </c>
      <c r="B9" s="1">
        <v>410</v>
      </c>
      <c r="C9" s="1">
        <f t="shared" ref="C9:C12" si="0">A9*B9</f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0</v>
      </c>
      <c r="B13" s="1"/>
      <c r="C13" s="1">
        <f>C8+C9+C10+C11+C12</f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336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177</v>
      </c>
      <c r="F23" s="1"/>
      <c r="G23" s="1"/>
      <c r="H23" s="1"/>
      <c r="I23" s="1"/>
    </row>
    <row r="24" spans="1:14" x14ac:dyDescent="0.35">
      <c r="B24">
        <f>B22+B23</f>
        <v>513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0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31</v>
      </c>
      <c r="B27">
        <v>178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0</v>
      </c>
      <c r="F29" s="1"/>
      <c r="G29" s="1"/>
      <c r="H29" s="1"/>
      <c r="I29" s="1"/>
    </row>
    <row r="30" spans="1:14" x14ac:dyDescent="0.35">
      <c r="A30" t="s">
        <v>20</v>
      </c>
      <c r="B30">
        <v>0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335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0</v>
      </c>
      <c r="G35" s="1"/>
      <c r="H35" s="1"/>
      <c r="I35" s="1"/>
    </row>
    <row r="36" spans="1:9" x14ac:dyDescent="0.35">
      <c r="A36" t="s">
        <v>24</v>
      </c>
      <c r="B36">
        <v>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F493-530D-4B8A-8604-B616AA391CF6}">
  <dimension ref="A1:O74"/>
  <sheetViews>
    <sheetView topLeftCell="A12" workbookViewId="0">
      <selection activeCell="D21" sqref="D21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32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204</v>
      </c>
      <c r="H3" s="1"/>
      <c r="I3" s="1"/>
      <c r="J3" s="1"/>
    </row>
    <row r="4" spans="1:15" x14ac:dyDescent="0.35">
      <c r="A4" s="1" t="s">
        <v>2</v>
      </c>
      <c r="B4" s="5">
        <f>B3</f>
        <v>204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0</v>
      </c>
      <c r="B8" s="1">
        <v>300</v>
      </c>
      <c r="C8" s="1">
        <f>A8*B8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0</v>
      </c>
      <c r="B9" s="1">
        <v>410</v>
      </c>
      <c r="C9" s="1">
        <f t="shared" ref="C9:C12" si="0">A9*B9</f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0</v>
      </c>
      <c r="B13" s="1"/>
      <c r="C13" s="1">
        <f>C8+C9+C10+C11+C12</f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539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204</v>
      </c>
      <c r="F23" s="1"/>
      <c r="G23" s="1"/>
      <c r="H23" s="1"/>
      <c r="I23" s="1"/>
    </row>
    <row r="24" spans="1:14" x14ac:dyDescent="0.35">
      <c r="B24">
        <f>B22+B23</f>
        <v>743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0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31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0</v>
      </c>
      <c r="F29" s="1"/>
      <c r="G29" s="1"/>
      <c r="H29" s="1"/>
      <c r="I29" s="1"/>
    </row>
    <row r="30" spans="1:14" x14ac:dyDescent="0.35">
      <c r="A30" t="s">
        <v>20</v>
      </c>
      <c r="B30">
        <v>0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743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0</v>
      </c>
      <c r="G35" s="1"/>
      <c r="H35" s="1"/>
      <c r="I35" s="1"/>
    </row>
    <row r="36" spans="1:9" x14ac:dyDescent="0.35">
      <c r="A36" t="s">
        <v>24</v>
      </c>
      <c r="B36">
        <v>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65AC-3048-4095-85EC-79F573E715FB}">
  <dimension ref="A1:O74"/>
  <sheetViews>
    <sheetView topLeftCell="A21" workbookViewId="0">
      <selection activeCell="G12" sqref="G12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33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227</v>
      </c>
      <c r="H3" s="1"/>
      <c r="I3" s="1"/>
      <c r="J3" s="1"/>
    </row>
    <row r="4" spans="1:15" x14ac:dyDescent="0.35">
      <c r="A4" s="1" t="s">
        <v>2</v>
      </c>
      <c r="B4" s="5">
        <f>B3</f>
        <v>227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438</v>
      </c>
      <c r="B8" s="1">
        <v>300</v>
      </c>
      <c r="C8" s="1">
        <f>A8*B8</f>
        <v>131400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0</v>
      </c>
      <c r="B9" s="1">
        <v>410</v>
      </c>
      <c r="C9" s="1">
        <f t="shared" ref="C9:C12" si="0">A9*B9</f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438</v>
      </c>
      <c r="B13" s="1"/>
      <c r="C13" s="1">
        <f>C8+C9+C10+C11+C12</f>
        <v>131400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539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227</v>
      </c>
      <c r="F23" s="1"/>
      <c r="G23" s="1"/>
      <c r="H23" s="1"/>
      <c r="I23" s="1"/>
    </row>
    <row r="24" spans="1:14" x14ac:dyDescent="0.35">
      <c r="B24">
        <f>B22+B23</f>
        <v>766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438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31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0</v>
      </c>
      <c r="F29" s="1"/>
      <c r="G29" s="1"/>
      <c r="H29" s="1"/>
      <c r="I29" s="1"/>
    </row>
    <row r="30" spans="1:14" x14ac:dyDescent="0.35">
      <c r="A30" t="s">
        <v>20</v>
      </c>
      <c r="B30">
        <v>2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326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131400</v>
      </c>
      <c r="G35" s="1"/>
      <c r="H35" s="1"/>
      <c r="I35" s="1"/>
    </row>
    <row r="36" spans="1:9" x14ac:dyDescent="0.35">
      <c r="A36" t="s">
        <v>24</v>
      </c>
      <c r="B36">
        <v>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4B27C-19E9-4B8E-A7F1-EF1E05EDD36A}">
  <dimension ref="A1:O74"/>
  <sheetViews>
    <sheetView topLeftCell="A21" workbookViewId="0">
      <selection activeCell="C33" sqref="C33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34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250</v>
      </c>
      <c r="H3" s="1"/>
      <c r="I3" s="1"/>
      <c r="J3" s="1"/>
    </row>
    <row r="4" spans="1:15" x14ac:dyDescent="0.35">
      <c r="A4" s="1" t="s">
        <v>2</v>
      </c>
      <c r="B4" s="5">
        <f>B3</f>
        <v>250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0</v>
      </c>
      <c r="B8" s="1">
        <v>300</v>
      </c>
      <c r="C8" s="1">
        <f>A8*B8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0</v>
      </c>
      <c r="B9" s="1">
        <v>410</v>
      </c>
      <c r="C9" s="1">
        <f t="shared" ref="C9:C12" si="0">A9*B9</f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0</v>
      </c>
      <c r="B13" s="1"/>
      <c r="C13" s="1">
        <f>C8+C9+C10+C11+C12</f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326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250</v>
      </c>
      <c r="F23" s="1"/>
      <c r="G23" s="1"/>
      <c r="H23" s="1"/>
      <c r="I23" s="1"/>
    </row>
    <row r="24" spans="1:14" x14ac:dyDescent="0.35">
      <c r="B24">
        <f>B22+B23</f>
        <v>576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0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31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0</v>
      </c>
      <c r="F29" s="1"/>
      <c r="G29" s="1"/>
      <c r="H29" s="1"/>
      <c r="I29" s="1"/>
    </row>
    <row r="30" spans="1:14" x14ac:dyDescent="0.35">
      <c r="A30" t="s">
        <v>20</v>
      </c>
      <c r="B30">
        <v>0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576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0</v>
      </c>
      <c r="G35" s="1"/>
      <c r="H35" s="1"/>
      <c r="I35" s="1"/>
    </row>
    <row r="36" spans="1:9" x14ac:dyDescent="0.35">
      <c r="A36" t="s">
        <v>24</v>
      </c>
      <c r="B36">
        <v>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5D04-D806-4AF1-A907-04F1D4D38FAC}">
  <dimension ref="A1:O74"/>
  <sheetViews>
    <sheetView topLeftCell="A25" workbookViewId="0">
      <selection activeCell="K9" sqref="K9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35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275</v>
      </c>
      <c r="H3" s="1"/>
      <c r="I3" s="1"/>
      <c r="J3" s="1"/>
    </row>
    <row r="4" spans="1:15" x14ac:dyDescent="0.35">
      <c r="A4" s="1" t="s">
        <v>2</v>
      </c>
      <c r="B4" s="5">
        <f>B3</f>
        <v>275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0</v>
      </c>
      <c r="B8" s="1">
        <v>300</v>
      </c>
      <c r="C8" s="1">
        <f>A8*B8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0</v>
      </c>
      <c r="B9" s="1">
        <v>410</v>
      </c>
      <c r="C9" s="1">
        <f t="shared" ref="C9:C12" si="0">A9*B9</f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0</v>
      </c>
      <c r="B13" s="1"/>
      <c r="C13" s="1">
        <f>C8+C9+C10+C11+C12</f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576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275</v>
      </c>
      <c r="F23" s="1"/>
      <c r="G23" s="1"/>
      <c r="H23" s="1"/>
      <c r="I23" s="1"/>
    </row>
    <row r="24" spans="1:14" x14ac:dyDescent="0.35">
      <c r="B24">
        <f>B22+B23</f>
        <v>851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0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36</v>
      </c>
      <c r="B27">
        <v>16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0</v>
      </c>
      <c r="F29" s="1"/>
      <c r="G29" s="1"/>
      <c r="H29" s="1"/>
      <c r="I29" s="1"/>
    </row>
    <row r="30" spans="1:14" x14ac:dyDescent="0.35">
      <c r="A30" t="s">
        <v>20</v>
      </c>
      <c r="B30">
        <v>0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835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0</v>
      </c>
      <c r="G35" s="1"/>
      <c r="H35" s="1"/>
      <c r="I35" s="1"/>
    </row>
    <row r="36" spans="1:9" x14ac:dyDescent="0.35">
      <c r="A36" t="s">
        <v>24</v>
      </c>
      <c r="B36">
        <v>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CF68-3CE4-4EBD-B31C-4C61CF5EEF9B}">
  <dimension ref="A1:O74"/>
  <sheetViews>
    <sheetView topLeftCell="A20" workbookViewId="0">
      <selection activeCell="H4" sqref="H4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37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302</v>
      </c>
      <c r="H3" s="1"/>
      <c r="I3" s="1"/>
      <c r="J3" s="1"/>
    </row>
    <row r="4" spans="1:15" x14ac:dyDescent="0.35">
      <c r="A4" s="1" t="s">
        <v>2</v>
      </c>
      <c r="B4" s="5">
        <f>B3</f>
        <v>302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68</v>
      </c>
      <c r="B8" s="1">
        <v>300</v>
      </c>
      <c r="C8" s="1">
        <f>A8*B8</f>
        <v>20400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0</v>
      </c>
      <c r="B9" s="1">
        <v>410</v>
      </c>
      <c r="C9" s="1">
        <f t="shared" ref="C9:C12" si="0">A9*B9</f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68</v>
      </c>
      <c r="B13" s="1"/>
      <c r="C13" s="1">
        <f>C8+C9+C10+C11+C12</f>
        <v>20400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835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302</v>
      </c>
      <c r="F23" s="1"/>
      <c r="G23" s="1"/>
      <c r="H23" s="1"/>
      <c r="I23" s="1"/>
    </row>
    <row r="24" spans="1:14" x14ac:dyDescent="0.35">
      <c r="B24">
        <f>B22+B23</f>
        <v>1137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68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36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0</v>
      </c>
      <c r="F29" s="1"/>
      <c r="G29" s="1"/>
      <c r="H29" s="1"/>
      <c r="I29" s="1"/>
    </row>
    <row r="30" spans="1:14" x14ac:dyDescent="0.35">
      <c r="A30" t="s">
        <v>20</v>
      </c>
      <c r="B30">
        <v>0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1069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20400</v>
      </c>
      <c r="G35" s="1"/>
      <c r="H35" s="1"/>
      <c r="I35" s="1"/>
    </row>
    <row r="36" spans="1:9" x14ac:dyDescent="0.35">
      <c r="A36" t="s">
        <v>24</v>
      </c>
      <c r="B36">
        <v>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4B5D-BD6B-459F-82CF-4A61DA3D9A2C}">
  <dimension ref="A1:O74"/>
  <sheetViews>
    <sheetView workbookViewId="0">
      <selection activeCell="I11" sqref="I11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38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328</v>
      </c>
      <c r="H3" s="1"/>
      <c r="I3" s="1"/>
      <c r="J3" s="1"/>
    </row>
    <row r="4" spans="1:15" x14ac:dyDescent="0.35">
      <c r="A4" s="1" t="s">
        <v>2</v>
      </c>
      <c r="B4" s="5">
        <f>B3</f>
        <v>328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377</v>
      </c>
      <c r="B8" s="1">
        <v>300</v>
      </c>
      <c r="C8" s="1">
        <f>A8*B8</f>
        <v>113100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0</v>
      </c>
      <c r="B9" s="1">
        <v>410</v>
      </c>
      <c r="C9" s="1">
        <f t="shared" ref="C9:C12" si="0">A9*B9</f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377</v>
      </c>
      <c r="B13" s="1"/>
      <c r="C13" s="1">
        <f>C8+C9+C10+C11+C12</f>
        <v>113100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1069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328</v>
      </c>
      <c r="F23" s="1"/>
      <c r="G23" s="1"/>
      <c r="H23" s="1"/>
      <c r="I23" s="1"/>
    </row>
    <row r="24" spans="1:14" x14ac:dyDescent="0.35">
      <c r="B24">
        <f>B22+B23</f>
        <v>1397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377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36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0</v>
      </c>
      <c r="F29" s="1"/>
      <c r="G29" s="1"/>
      <c r="H29" s="1"/>
      <c r="I29" s="1"/>
    </row>
    <row r="30" spans="1:14" x14ac:dyDescent="0.35">
      <c r="A30" t="s">
        <v>20</v>
      </c>
      <c r="B30">
        <v>1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1019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113100</v>
      </c>
      <c r="G35" s="1"/>
      <c r="H35" s="1"/>
      <c r="I35" s="1"/>
    </row>
    <row r="36" spans="1:9" x14ac:dyDescent="0.35">
      <c r="A36" t="s">
        <v>24</v>
      </c>
      <c r="B36">
        <v>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6714-D5E1-40C9-AB4C-3250A1DEFF56}">
  <dimension ref="A1:O74"/>
  <sheetViews>
    <sheetView workbookViewId="0">
      <selection activeCell="F9" sqref="F9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39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343</v>
      </c>
      <c r="H3" s="1"/>
      <c r="I3" s="1"/>
      <c r="J3" s="1"/>
    </row>
    <row r="4" spans="1:15" x14ac:dyDescent="0.35">
      <c r="A4" s="1" t="s">
        <v>2</v>
      </c>
      <c r="B4" s="5">
        <f>B3</f>
        <v>343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15</v>
      </c>
      <c r="B8" s="1">
        <v>300</v>
      </c>
      <c r="C8" s="1">
        <f>A8*B8</f>
        <v>4500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133</v>
      </c>
      <c r="B9" s="1">
        <v>390</v>
      </c>
      <c r="C9" s="1">
        <f t="shared" ref="C9:C12" si="0">A9*B9</f>
        <v>51870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148</v>
      </c>
      <c r="B13" s="1"/>
      <c r="C13" s="1">
        <f>C8+C9+C10+C11+C12</f>
        <v>56370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1019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343</v>
      </c>
      <c r="F23" s="1"/>
      <c r="G23" s="1"/>
      <c r="H23" s="1"/>
      <c r="I23" s="1"/>
    </row>
    <row r="24" spans="1:14" x14ac:dyDescent="0.35">
      <c r="B24">
        <f>B22+B23</f>
        <v>1362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148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36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0</v>
      </c>
      <c r="F29" s="1"/>
      <c r="G29" s="1"/>
      <c r="H29" s="1"/>
      <c r="I29" s="1"/>
    </row>
    <row r="30" spans="1:14" x14ac:dyDescent="0.35">
      <c r="A30" t="s">
        <v>20</v>
      </c>
      <c r="B30">
        <v>0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1214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56370</v>
      </c>
      <c r="G35" s="1"/>
      <c r="H35" s="1"/>
      <c r="I35" s="1"/>
    </row>
    <row r="36" spans="1:9" x14ac:dyDescent="0.35">
      <c r="A36" t="s">
        <v>24</v>
      </c>
      <c r="B36">
        <v>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3F05-B0C4-4BBB-BD15-140BEFCEF5DC}">
  <dimension ref="A1:O74"/>
  <sheetViews>
    <sheetView workbookViewId="0">
      <selection activeCell="A9" sqref="A9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40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365</v>
      </c>
      <c r="H3" s="1"/>
      <c r="I3" s="1"/>
      <c r="J3" s="1"/>
    </row>
    <row r="4" spans="1:15" x14ac:dyDescent="0.35">
      <c r="A4" s="1" t="s">
        <v>2</v>
      </c>
      <c r="B4" s="5">
        <f>B3</f>
        <v>365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0</v>
      </c>
      <c r="B8" s="1">
        <v>300</v>
      </c>
      <c r="C8" s="1">
        <f>A8*B8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425</v>
      </c>
      <c r="B9" s="1">
        <v>390</v>
      </c>
      <c r="C9" s="1">
        <f t="shared" ref="C9:C12" si="0">A9*B9</f>
        <v>165750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425</v>
      </c>
      <c r="B13" s="1"/>
      <c r="C13" s="1">
        <f>C8+C9+C10+C11+C12</f>
        <v>165750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1214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365</v>
      </c>
      <c r="F23" s="1"/>
      <c r="G23" s="1"/>
      <c r="H23" s="1"/>
      <c r="I23" s="1"/>
    </row>
    <row r="24" spans="1:14" x14ac:dyDescent="0.35">
      <c r="B24">
        <f>B22+B23</f>
        <v>1579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425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36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0</v>
      </c>
      <c r="F29" s="1"/>
      <c r="G29" s="1"/>
      <c r="H29" s="1"/>
      <c r="I29" s="1"/>
    </row>
    <row r="30" spans="1:14" x14ac:dyDescent="0.35">
      <c r="A30" t="s">
        <v>20</v>
      </c>
      <c r="B30">
        <v>2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1152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165750</v>
      </c>
      <c r="G35" s="1"/>
      <c r="H35" s="1"/>
      <c r="I35" s="1"/>
    </row>
    <row r="36" spans="1:9" x14ac:dyDescent="0.35">
      <c r="A36" t="s">
        <v>24</v>
      </c>
      <c r="B36">
        <v>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217F-7117-476F-8B22-9A3D99E9BFB2}">
  <dimension ref="A1:O74"/>
  <sheetViews>
    <sheetView topLeftCell="A39" workbookViewId="0">
      <selection activeCell="G10" sqref="G10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41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391</v>
      </c>
      <c r="H3" s="1"/>
      <c r="I3" s="1"/>
      <c r="J3" s="1"/>
    </row>
    <row r="4" spans="1:15" x14ac:dyDescent="0.35">
      <c r="A4" s="1" t="s">
        <v>2</v>
      </c>
      <c r="B4" s="5">
        <f>B3</f>
        <v>391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49</v>
      </c>
      <c r="B8" s="1">
        <v>300</v>
      </c>
      <c r="C8" s="1">
        <f>A8*B8</f>
        <v>14700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105</v>
      </c>
      <c r="B9" s="1">
        <v>390</v>
      </c>
      <c r="C9" s="1">
        <f t="shared" ref="C9:C12" si="0">A9*B9</f>
        <v>40950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154</v>
      </c>
      <c r="B13" s="1"/>
      <c r="C13" s="1">
        <f>C8+C9+C10+C11+C12</f>
        <v>55650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1152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391</v>
      </c>
      <c r="F23" s="1"/>
      <c r="G23" s="1"/>
      <c r="H23" s="1"/>
      <c r="I23" s="1"/>
    </row>
    <row r="24" spans="1:14" x14ac:dyDescent="0.35">
      <c r="B24">
        <f>B22+B23</f>
        <v>1543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154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36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0</v>
      </c>
      <c r="F29" s="1"/>
      <c r="G29" s="1"/>
      <c r="H29" s="1"/>
      <c r="I29" s="1"/>
    </row>
    <row r="30" spans="1:14" x14ac:dyDescent="0.35">
      <c r="A30" t="s">
        <v>20</v>
      </c>
      <c r="B30">
        <v>0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1389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55650</v>
      </c>
      <c r="G35" s="1"/>
      <c r="H35" s="1"/>
      <c r="I35" s="1"/>
    </row>
    <row r="36" spans="1:9" x14ac:dyDescent="0.35">
      <c r="A36" t="s">
        <v>24</v>
      </c>
      <c r="B36">
        <v>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E792-11B2-4F31-9B63-ADC0BC827C1F}">
  <dimension ref="A1:O74"/>
  <sheetViews>
    <sheetView topLeftCell="A19" workbookViewId="0">
      <selection activeCell="I14" sqref="I14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42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405</v>
      </c>
      <c r="H3" s="1"/>
      <c r="I3" s="1"/>
      <c r="J3" s="1"/>
    </row>
    <row r="4" spans="1:15" x14ac:dyDescent="0.35">
      <c r="A4" s="1" t="s">
        <v>2</v>
      </c>
      <c r="B4" s="5">
        <f>B3</f>
        <v>405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0</v>
      </c>
      <c r="B8" s="1">
        <v>300</v>
      </c>
      <c r="C8" s="1">
        <f>A8*B8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0</v>
      </c>
      <c r="B9" s="1">
        <v>390</v>
      </c>
      <c r="C9" s="1">
        <f t="shared" ref="C9:C12" si="0">A9*B9</f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0</v>
      </c>
      <c r="B13" s="1"/>
      <c r="C13" s="1">
        <f>C8+C9+C10+C11+C12</f>
        <v>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1389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405</v>
      </c>
      <c r="F23" s="1"/>
      <c r="G23" s="1"/>
      <c r="H23" s="1"/>
      <c r="I23" s="1"/>
    </row>
    <row r="24" spans="1:14" x14ac:dyDescent="0.35">
      <c r="B24">
        <f>B22+B23</f>
        <v>1794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0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36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0</v>
      </c>
      <c r="F29" s="1"/>
      <c r="G29" s="1"/>
      <c r="H29" s="1"/>
      <c r="I29" s="1"/>
    </row>
    <row r="30" spans="1:14" x14ac:dyDescent="0.35">
      <c r="A30" t="s">
        <v>20</v>
      </c>
      <c r="B30">
        <v>0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1794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0</v>
      </c>
      <c r="G35" s="1"/>
      <c r="H35" s="1"/>
      <c r="I35" s="1"/>
    </row>
    <row r="36" spans="1:9" x14ac:dyDescent="0.35">
      <c r="A36" t="s">
        <v>24</v>
      </c>
      <c r="B36">
        <v>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E433-F6EA-4B78-A454-301A24E9AA60}">
  <dimension ref="A1:O74"/>
  <sheetViews>
    <sheetView workbookViewId="0">
      <selection activeCell="G7" sqref="G7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43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419</v>
      </c>
      <c r="H3" s="1"/>
      <c r="I3" s="1"/>
      <c r="J3" s="1"/>
    </row>
    <row r="4" spans="1:15" x14ac:dyDescent="0.35">
      <c r="A4" s="1" t="s">
        <v>2</v>
      </c>
      <c r="B4" s="5">
        <f>B3</f>
        <v>419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0</v>
      </c>
      <c r="B8" s="1">
        <v>300</v>
      </c>
      <c r="C8" s="1">
        <f>A8*B8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350</v>
      </c>
      <c r="B9" s="1">
        <v>390</v>
      </c>
      <c r="C9" s="1">
        <f t="shared" ref="C9:C12" si="0">A9*B9</f>
        <v>136500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350</v>
      </c>
      <c r="B13" s="1"/>
      <c r="C13" s="1">
        <f>C8+C9+C10+C11+C12</f>
        <v>136500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1794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419</v>
      </c>
      <c r="F23" s="1"/>
      <c r="G23" s="1"/>
      <c r="H23" s="1"/>
      <c r="I23" s="1"/>
    </row>
    <row r="24" spans="1:14" x14ac:dyDescent="0.35">
      <c r="B24">
        <f>B22+B23</f>
        <v>2213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350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36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1</v>
      </c>
      <c r="F29" s="1"/>
      <c r="G29" s="1"/>
      <c r="H29" s="1"/>
      <c r="I29" s="1"/>
    </row>
    <row r="30" spans="1:14" x14ac:dyDescent="0.35">
      <c r="A30" t="s">
        <v>20</v>
      </c>
      <c r="B30">
        <v>0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1862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136500</v>
      </c>
      <c r="G35" s="1"/>
      <c r="H35" s="1"/>
      <c r="I35" s="1"/>
    </row>
    <row r="36" spans="1:9" x14ac:dyDescent="0.35">
      <c r="A36" t="s">
        <v>24</v>
      </c>
      <c r="B36">
        <v>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5C01-FAA1-41C0-B66D-94BAF31EF631}">
  <dimension ref="A1:O74"/>
  <sheetViews>
    <sheetView workbookViewId="0">
      <selection activeCell="K8" sqref="K8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44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429</v>
      </c>
      <c r="H3" s="1"/>
      <c r="I3" s="1"/>
      <c r="J3" s="1"/>
    </row>
    <row r="4" spans="1:15" x14ac:dyDescent="0.35">
      <c r="A4" s="1" t="s">
        <v>2</v>
      </c>
      <c r="B4" s="5">
        <f>B3</f>
        <v>429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0</v>
      </c>
      <c r="B8" s="1">
        <v>300</v>
      </c>
      <c r="C8" s="1">
        <f>A8*B8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1257</v>
      </c>
      <c r="B9" s="1">
        <v>390</v>
      </c>
      <c r="C9" s="1">
        <f t="shared" ref="C9:C12" si="0">A9*B9</f>
        <v>490230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1257</v>
      </c>
      <c r="B13" s="1"/>
      <c r="C13" s="1">
        <f>C8+C9+C10+C11+C12</f>
        <v>490230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1862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429</v>
      </c>
      <c r="F23" s="1"/>
      <c r="G23" s="1"/>
      <c r="H23" s="1"/>
      <c r="I23" s="1"/>
    </row>
    <row r="24" spans="1:14" x14ac:dyDescent="0.35">
      <c r="B24">
        <f>B22+B23</f>
        <v>2291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1257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36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3</v>
      </c>
      <c r="F29" s="1"/>
      <c r="G29" s="1"/>
      <c r="H29" s="1"/>
      <c r="I29" s="1"/>
    </row>
    <row r="30" spans="1:14" x14ac:dyDescent="0.35">
      <c r="A30" t="s">
        <v>20</v>
      </c>
      <c r="B30">
        <v>2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1029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490230</v>
      </c>
      <c r="G35" s="1"/>
      <c r="H35" s="1"/>
      <c r="I35" s="1"/>
    </row>
    <row r="36" spans="1:9" x14ac:dyDescent="0.35">
      <c r="A36" t="s">
        <v>24</v>
      </c>
      <c r="B36">
        <v>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C928-80A5-49A3-920B-43AA951C983B}">
  <dimension ref="A1:O74"/>
  <sheetViews>
    <sheetView topLeftCell="A24" workbookViewId="0">
      <selection activeCell="C41" sqref="C41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45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440</v>
      </c>
      <c r="H3" s="1"/>
      <c r="I3" s="1"/>
      <c r="J3" s="1"/>
    </row>
    <row r="4" spans="1:15" x14ac:dyDescent="0.35">
      <c r="A4" s="1" t="s">
        <v>2</v>
      </c>
      <c r="B4" s="5">
        <f>B3</f>
        <v>440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0</v>
      </c>
      <c r="B8" s="1">
        <v>300</v>
      </c>
      <c r="C8" s="1">
        <f>A8*B8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623</v>
      </c>
      <c r="B9" s="1">
        <v>390</v>
      </c>
      <c r="C9" s="1">
        <f t="shared" ref="C9:C12" si="0">A9*B9</f>
        <v>242970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623</v>
      </c>
      <c r="B13" s="1"/>
      <c r="C13" s="1">
        <f>C8+C9+C10+C11+C12</f>
        <v>242970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1029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440</v>
      </c>
      <c r="F23" s="1"/>
      <c r="G23" s="1"/>
      <c r="H23" s="1"/>
      <c r="I23" s="1"/>
    </row>
    <row r="24" spans="1:14" x14ac:dyDescent="0.35">
      <c r="B24">
        <f>B22+B23</f>
        <v>1469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623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36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3</v>
      </c>
      <c r="F29" s="1"/>
      <c r="G29" s="1"/>
      <c r="H29" s="1"/>
      <c r="I29" s="1"/>
    </row>
    <row r="30" spans="1:14" x14ac:dyDescent="0.35">
      <c r="A30" t="s">
        <v>20</v>
      </c>
      <c r="B30">
        <v>0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843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242970</v>
      </c>
      <c r="G35" s="1"/>
      <c r="H35" s="1"/>
      <c r="I35" s="1"/>
    </row>
    <row r="36" spans="1:9" x14ac:dyDescent="0.35">
      <c r="A36" t="s">
        <v>24</v>
      </c>
      <c r="B36">
        <f>B39*390</f>
        <v>612300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1570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3B625-BD91-4524-A94C-77AA4FD6B2CB}">
  <dimension ref="A1:O74"/>
  <sheetViews>
    <sheetView workbookViewId="0">
      <selection sqref="A1:B1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47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455</v>
      </c>
      <c r="H3" s="1"/>
      <c r="I3" s="1"/>
      <c r="J3" s="1"/>
    </row>
    <row r="4" spans="1:15" x14ac:dyDescent="0.35">
      <c r="A4" s="1" t="s">
        <v>2</v>
      </c>
      <c r="B4" s="5">
        <f>B3</f>
        <v>455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0</v>
      </c>
      <c r="B8" s="1">
        <v>300</v>
      </c>
      <c r="C8" s="1">
        <f>A8*B8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234</v>
      </c>
      <c r="B9" s="1">
        <v>390</v>
      </c>
      <c r="C9" s="1">
        <f t="shared" ref="C9:C12" si="0">A9*B9</f>
        <v>91260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234</v>
      </c>
      <c r="B13" s="1"/>
      <c r="C13" s="1">
        <f>C8+C9+C10+C11+C12</f>
        <v>91260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843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455</v>
      </c>
      <c r="F23" s="1"/>
      <c r="G23" s="1"/>
      <c r="H23" s="1"/>
      <c r="I23" s="1"/>
    </row>
    <row r="24" spans="1:14" x14ac:dyDescent="0.35">
      <c r="B24">
        <f>B22+B23</f>
        <v>1298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234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36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1</v>
      </c>
      <c r="F29" s="1"/>
      <c r="G29" s="1"/>
      <c r="H29" s="1"/>
      <c r="I29" s="1"/>
    </row>
    <row r="30" spans="1:14" x14ac:dyDescent="0.35">
      <c r="A30" t="s">
        <v>20</v>
      </c>
      <c r="B30">
        <v>0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1063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91260</v>
      </c>
      <c r="G35" s="1"/>
      <c r="H35" s="1"/>
      <c r="I35" s="1"/>
    </row>
    <row r="36" spans="1:9" x14ac:dyDescent="0.35">
      <c r="A36" t="s">
        <v>24</v>
      </c>
      <c r="B36">
        <f>B39*390</f>
        <v>612300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1570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3CA5-5B9F-432C-8705-A015ACC2EE4C}">
  <dimension ref="A1:O74"/>
  <sheetViews>
    <sheetView tabSelected="1" topLeftCell="A26" workbookViewId="0">
      <selection activeCell="E39" sqref="E39"/>
    </sheetView>
  </sheetViews>
  <sheetFormatPr defaultColWidth="9.1796875" defaultRowHeight="14.5" x14ac:dyDescent="0.35"/>
  <cols>
    <col min="1" max="1" width="31.7265625" customWidth="1"/>
    <col min="2" max="2" width="15.26953125" customWidth="1"/>
    <col min="3" max="3" width="19.1796875" customWidth="1"/>
  </cols>
  <sheetData>
    <row r="1" spans="1:15" x14ac:dyDescent="0.35">
      <c r="A1" s="15" t="s">
        <v>46</v>
      </c>
      <c r="B1" s="15"/>
      <c r="D1" t="s">
        <v>0</v>
      </c>
    </row>
    <row r="2" spans="1:15" x14ac:dyDescent="0.35">
      <c r="A2" s="2" t="s">
        <v>1</v>
      </c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</row>
    <row r="3" spans="1:15" x14ac:dyDescent="0.35">
      <c r="A3" t="s">
        <v>28</v>
      </c>
      <c r="B3">
        <v>500</v>
      </c>
      <c r="H3" s="1"/>
      <c r="I3" s="1"/>
      <c r="J3" s="1"/>
    </row>
    <row r="4" spans="1:15" x14ac:dyDescent="0.35">
      <c r="A4" s="1" t="s">
        <v>2</v>
      </c>
      <c r="B4" s="5">
        <f>B3</f>
        <v>500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</row>
    <row r="5" spans="1:15" x14ac:dyDescent="0.35">
      <c r="H5" s="1"/>
      <c r="I5" s="1"/>
    </row>
    <row r="6" spans="1:15" x14ac:dyDescent="0.35">
      <c r="A6" s="2" t="s">
        <v>3</v>
      </c>
      <c r="H6" s="1"/>
      <c r="I6" s="1"/>
    </row>
    <row r="7" spans="1:15" x14ac:dyDescent="0.35">
      <c r="A7" s="1" t="s">
        <v>4</v>
      </c>
      <c r="B7" s="1" t="s">
        <v>5</v>
      </c>
      <c r="C7" s="1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35">
      <c r="A8" s="6">
        <v>0</v>
      </c>
      <c r="B8" s="1">
        <v>300</v>
      </c>
      <c r="C8" s="1">
        <f>A8*B8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5">
      <c r="A9" s="6">
        <v>298</v>
      </c>
      <c r="B9" s="1">
        <v>390</v>
      </c>
      <c r="C9" s="1">
        <f t="shared" ref="C9:C12" si="0">A9*B9</f>
        <v>116220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5">
      <c r="A10" s="6">
        <v>0</v>
      </c>
      <c r="B10" s="1">
        <v>0</v>
      </c>
      <c r="C10" s="1">
        <f t="shared" si="0"/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6">
        <v>0</v>
      </c>
      <c r="B11" s="1">
        <v>0</v>
      </c>
      <c r="C11" s="1">
        <f t="shared" si="0"/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7">
        <v>0</v>
      </c>
      <c r="B12" s="1">
        <v>0</v>
      </c>
      <c r="C12" s="1">
        <f t="shared" si="0"/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5">
      <c r="A13" s="6">
        <f>A8+A9+A10+A11+A12</f>
        <v>298</v>
      </c>
      <c r="B13" s="1"/>
      <c r="C13" s="1">
        <f>C8+C9+C10+C11+C12</f>
        <v>116220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5">
      <c r="A15" s="1" t="s">
        <v>6</v>
      </c>
      <c r="B15" s="1"/>
      <c r="C15" s="1">
        <v>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x14ac:dyDescent="0.35">
      <c r="F16" s="1"/>
      <c r="G16" s="1"/>
      <c r="H16" s="1"/>
      <c r="I16" s="1"/>
      <c r="M16" s="1"/>
      <c r="N16" s="1"/>
    </row>
    <row r="17" spans="1:14" x14ac:dyDescent="0.35">
      <c r="A17" s="2" t="s">
        <v>7</v>
      </c>
      <c r="F17" s="1"/>
      <c r="G17" s="1"/>
      <c r="H17" s="1"/>
      <c r="I17" s="1"/>
      <c r="M17" s="1"/>
      <c r="N17" s="1"/>
    </row>
    <row r="18" spans="1:14" x14ac:dyDescent="0.35">
      <c r="A18" t="s">
        <v>8</v>
      </c>
      <c r="B18" t="s">
        <v>9</v>
      </c>
      <c r="F18" s="1"/>
      <c r="G18" s="1"/>
      <c r="H18" s="1"/>
      <c r="I18" s="1"/>
      <c r="M18" s="1"/>
      <c r="N18" s="1"/>
    </row>
    <row r="19" spans="1:14" x14ac:dyDescent="0.35">
      <c r="A19" t="s">
        <v>10</v>
      </c>
      <c r="B19" t="s">
        <v>11</v>
      </c>
      <c r="F19" s="1"/>
      <c r="G19" s="1"/>
      <c r="H19" s="1"/>
      <c r="I19" s="1"/>
      <c r="M19" s="1"/>
      <c r="N19" s="1"/>
    </row>
    <row r="20" spans="1:14" x14ac:dyDescent="0.35">
      <c r="F20" s="1"/>
      <c r="G20" s="1"/>
      <c r="H20" s="1"/>
      <c r="I20" s="1"/>
    </row>
    <row r="21" spans="1:14" x14ac:dyDescent="0.35">
      <c r="A21" s="2" t="s">
        <v>12</v>
      </c>
      <c r="F21" s="1"/>
      <c r="G21" s="1"/>
      <c r="H21" s="1"/>
      <c r="I21" s="1"/>
    </row>
    <row r="22" spans="1:14" x14ac:dyDescent="0.35">
      <c r="A22" t="s">
        <v>13</v>
      </c>
      <c r="B22" s="1">
        <v>1063</v>
      </c>
      <c r="F22" s="1"/>
      <c r="G22" s="1"/>
      <c r="H22" s="1"/>
      <c r="I22" s="1"/>
    </row>
    <row r="23" spans="1:14" x14ac:dyDescent="0.35">
      <c r="A23" t="s">
        <v>14</v>
      </c>
      <c r="B23" s="4">
        <f>B4</f>
        <v>500</v>
      </c>
      <c r="F23" s="1"/>
      <c r="G23" s="1"/>
      <c r="H23" s="1"/>
      <c r="I23" s="1"/>
    </row>
    <row r="24" spans="1:14" x14ac:dyDescent="0.35">
      <c r="B24">
        <f>B22+B23</f>
        <v>1563</v>
      </c>
      <c r="F24" s="1"/>
      <c r="G24" s="1"/>
      <c r="H24" s="1"/>
      <c r="I24" s="1"/>
    </row>
    <row r="25" spans="1:14" x14ac:dyDescent="0.35">
      <c r="A25" t="s">
        <v>15</v>
      </c>
      <c r="B25">
        <f>A13</f>
        <v>298</v>
      </c>
      <c r="F25" s="1"/>
      <c r="G25" s="1"/>
      <c r="H25" s="1"/>
      <c r="I25" s="1"/>
    </row>
    <row r="26" spans="1:14" x14ac:dyDescent="0.35">
      <c r="A26" t="s">
        <v>16</v>
      </c>
      <c r="B26">
        <v>0</v>
      </c>
      <c r="F26" s="1"/>
      <c r="G26" s="1"/>
      <c r="H26" s="1"/>
      <c r="I26" s="1"/>
    </row>
    <row r="27" spans="1:14" x14ac:dyDescent="0.35">
      <c r="A27" t="s">
        <v>36</v>
      </c>
      <c r="B27">
        <v>0</v>
      </c>
      <c r="F27" s="1"/>
      <c r="G27" s="1"/>
      <c r="H27" s="1"/>
      <c r="I27" s="1"/>
    </row>
    <row r="28" spans="1:14" x14ac:dyDescent="0.35">
      <c r="A28" t="s">
        <v>18</v>
      </c>
      <c r="B28">
        <v>0</v>
      </c>
      <c r="F28" s="1"/>
      <c r="G28" s="1"/>
      <c r="H28" s="1"/>
      <c r="I28" s="1"/>
    </row>
    <row r="29" spans="1:14" x14ac:dyDescent="0.35">
      <c r="A29" t="s">
        <v>19</v>
      </c>
      <c r="B29">
        <v>1</v>
      </c>
      <c r="F29" s="1"/>
      <c r="G29" s="1"/>
      <c r="H29" s="1"/>
      <c r="I29" s="1"/>
    </row>
    <row r="30" spans="1:14" x14ac:dyDescent="0.35">
      <c r="A30" t="s">
        <v>20</v>
      </c>
      <c r="B30">
        <v>0</v>
      </c>
      <c r="G30" s="1"/>
      <c r="H30" s="1"/>
      <c r="I30" s="1"/>
    </row>
    <row r="31" spans="1:14" ht="15" thickBot="1" x14ac:dyDescent="0.4">
      <c r="A31" s="1" t="s">
        <v>21</v>
      </c>
      <c r="B31" s="3">
        <f>B24-B25-B26-B27-B28-B29-B30</f>
        <v>1264</v>
      </c>
      <c r="G31" s="1"/>
      <c r="H31" s="1"/>
      <c r="I31" s="1"/>
    </row>
    <row r="32" spans="1:14" ht="15" thickTop="1" x14ac:dyDescent="0.35">
      <c r="A32" s="1"/>
      <c r="B32" s="1"/>
      <c r="G32" s="1"/>
      <c r="H32" s="1"/>
      <c r="I32" s="1"/>
    </row>
    <row r="33" spans="1:9" x14ac:dyDescent="0.35">
      <c r="G33" s="1"/>
      <c r="H33" s="1"/>
      <c r="I33" s="1"/>
    </row>
    <row r="34" spans="1:9" x14ac:dyDescent="0.35">
      <c r="A34" s="2" t="s">
        <v>22</v>
      </c>
      <c r="B34" s="2"/>
      <c r="C34" s="2"/>
      <c r="D34" s="2"/>
      <c r="E34" s="2"/>
      <c r="F34" s="2"/>
      <c r="G34" s="2"/>
      <c r="H34" s="2"/>
      <c r="I34" s="2"/>
    </row>
    <row r="35" spans="1:9" x14ac:dyDescent="0.35">
      <c r="A35" t="s">
        <v>23</v>
      </c>
      <c r="B35">
        <f>C13</f>
        <v>116220</v>
      </c>
      <c r="G35" s="1"/>
      <c r="H35" s="1"/>
      <c r="I35" s="1"/>
    </row>
    <row r="36" spans="1:9" x14ac:dyDescent="0.35">
      <c r="A36" t="s">
        <v>24</v>
      </c>
      <c r="B36">
        <f>B39*390</f>
        <v>612300</v>
      </c>
      <c r="G36" s="1"/>
      <c r="H36" s="1"/>
      <c r="I36" s="1"/>
    </row>
    <row r="37" spans="1:9" x14ac:dyDescent="0.35">
      <c r="A37" t="s">
        <v>25</v>
      </c>
      <c r="B37">
        <v>0</v>
      </c>
      <c r="G37" s="1"/>
      <c r="H37" s="1"/>
      <c r="I37" s="1"/>
    </row>
    <row r="38" spans="1:9" x14ac:dyDescent="0.35">
      <c r="A38" s="8" t="s">
        <v>0</v>
      </c>
      <c r="B38" s="8"/>
      <c r="C38" s="8"/>
      <c r="G38" s="1"/>
      <c r="H38" s="1"/>
      <c r="I38" s="1"/>
    </row>
    <row r="39" spans="1:9" x14ac:dyDescent="0.35">
      <c r="A39" s="9" t="s">
        <v>26</v>
      </c>
      <c r="B39" s="9">
        <v>1570</v>
      </c>
      <c r="C39" s="9"/>
      <c r="D39" s="1"/>
      <c r="E39" s="1"/>
      <c r="F39" s="1"/>
      <c r="G39" s="1"/>
      <c r="H39" s="1"/>
      <c r="I39" s="1"/>
    </row>
    <row r="40" spans="1:9" x14ac:dyDescent="0.35">
      <c r="A40" s="8"/>
      <c r="B40" s="8"/>
      <c r="C40" s="8"/>
      <c r="G40" s="1"/>
      <c r="H40" s="1"/>
      <c r="I40" s="1"/>
    </row>
    <row r="41" spans="1:9" x14ac:dyDescent="0.35">
      <c r="A41" s="10"/>
      <c r="B41" s="10"/>
      <c r="C41" s="13"/>
      <c r="D41" s="11"/>
      <c r="E41" s="11"/>
      <c r="F41" s="11"/>
      <c r="G41" s="12"/>
      <c r="H41" s="11"/>
    </row>
    <row r="42" spans="1:9" x14ac:dyDescent="0.35">
      <c r="A42" s="10"/>
      <c r="B42" s="10"/>
      <c r="C42" s="13"/>
      <c r="D42" s="11"/>
      <c r="E42" s="11"/>
      <c r="F42" s="11"/>
      <c r="G42" s="12"/>
      <c r="H42" s="11"/>
    </row>
    <row r="43" spans="1:9" x14ac:dyDescent="0.35">
      <c r="A43" s="13"/>
      <c r="B43" s="13"/>
      <c r="C43" s="13"/>
      <c r="D43" s="11"/>
      <c r="E43" s="11"/>
      <c r="F43" s="11"/>
      <c r="G43" s="12"/>
      <c r="H43" s="11"/>
    </row>
    <row r="44" spans="1:9" x14ac:dyDescent="0.35">
      <c r="A44" s="14"/>
      <c r="B44" s="14"/>
      <c r="C44" s="14"/>
      <c r="D44" s="11"/>
      <c r="E44" s="11"/>
      <c r="F44" s="11"/>
      <c r="G44" s="12"/>
      <c r="H44" s="11"/>
    </row>
    <row r="45" spans="1:9" x14ac:dyDescent="0.35">
      <c r="A45" s="14"/>
      <c r="B45" s="14"/>
      <c r="C45" s="14"/>
      <c r="D45" s="11"/>
      <c r="E45" s="11"/>
      <c r="F45" s="11"/>
      <c r="G45" s="12"/>
      <c r="H45" s="11"/>
    </row>
    <row r="46" spans="1:9" x14ac:dyDescent="0.35">
      <c r="A46" s="11"/>
      <c r="B46" s="11"/>
      <c r="C46" s="11"/>
      <c r="D46" s="11"/>
      <c r="E46" s="11"/>
      <c r="F46" s="11"/>
      <c r="G46" s="12"/>
      <c r="H46" s="11"/>
    </row>
    <row r="47" spans="1:9" x14ac:dyDescent="0.35">
      <c r="A47" s="11"/>
      <c r="B47" s="11"/>
      <c r="C47" s="11"/>
      <c r="D47" s="11"/>
      <c r="E47" s="11"/>
      <c r="F47" s="11"/>
      <c r="G47" s="12"/>
      <c r="H47" s="11"/>
    </row>
    <row r="48" spans="1:9" x14ac:dyDescent="0.35">
      <c r="A48" s="11"/>
      <c r="B48" s="11"/>
      <c r="C48" s="11"/>
      <c r="D48" s="11"/>
      <c r="E48" s="11"/>
      <c r="F48" s="11"/>
      <c r="G48" s="12"/>
      <c r="H48" s="11"/>
    </row>
    <row r="49" spans="1:8" x14ac:dyDescent="0.35">
      <c r="A49" s="11"/>
      <c r="B49" s="11"/>
      <c r="C49" s="11"/>
      <c r="D49" s="11"/>
      <c r="E49" s="11"/>
      <c r="F49" s="11"/>
      <c r="G49" s="12"/>
      <c r="H49" s="11"/>
    </row>
    <row r="50" spans="1:8" x14ac:dyDescent="0.35">
      <c r="A50" s="11"/>
      <c r="B50" s="11"/>
      <c r="C50" s="11"/>
      <c r="D50" s="11"/>
      <c r="E50" s="11"/>
      <c r="F50" s="11"/>
      <c r="G50" s="12"/>
      <c r="H50" s="11"/>
    </row>
    <row r="51" spans="1:8" x14ac:dyDescent="0.35">
      <c r="A51" s="11"/>
      <c r="B51" s="11"/>
      <c r="C51" s="11"/>
      <c r="D51" s="11"/>
      <c r="E51" s="11"/>
      <c r="F51" s="11"/>
      <c r="G51" s="12"/>
      <c r="H51" s="11"/>
    </row>
    <row r="52" spans="1:8" x14ac:dyDescent="0.35">
      <c r="A52" s="11"/>
      <c r="B52" s="11"/>
      <c r="C52" s="11"/>
      <c r="D52" s="11"/>
      <c r="E52" s="11"/>
      <c r="F52" s="11"/>
      <c r="G52" s="12"/>
      <c r="H52" s="11"/>
    </row>
    <row r="53" spans="1:8" x14ac:dyDescent="0.35">
      <c r="F53" s="11"/>
      <c r="G53" s="1"/>
      <c r="H53" s="11"/>
    </row>
    <row r="54" spans="1:8" x14ac:dyDescent="0.35">
      <c r="F54" s="11"/>
      <c r="G54" s="1"/>
      <c r="H54" s="11"/>
    </row>
    <row r="55" spans="1:8" x14ac:dyDescent="0.35">
      <c r="F55" s="11"/>
      <c r="G55" s="1"/>
      <c r="H55" s="11"/>
    </row>
    <row r="56" spans="1:8" x14ac:dyDescent="0.35">
      <c r="F56" s="11"/>
      <c r="G56" s="1"/>
      <c r="H56" s="11"/>
    </row>
    <row r="57" spans="1:8" x14ac:dyDescent="0.35">
      <c r="F57" s="11"/>
      <c r="G57" s="1"/>
      <c r="H57" s="11"/>
    </row>
    <row r="58" spans="1:8" x14ac:dyDescent="0.35">
      <c r="F58" s="11"/>
      <c r="G58" s="1"/>
      <c r="H58" s="11"/>
    </row>
    <row r="59" spans="1:8" x14ac:dyDescent="0.35">
      <c r="F59" s="11"/>
      <c r="G59" s="1"/>
      <c r="H59" s="11"/>
    </row>
    <row r="60" spans="1:8" x14ac:dyDescent="0.35">
      <c r="F60" s="11"/>
      <c r="G60" s="1"/>
      <c r="H60" s="11"/>
    </row>
    <row r="61" spans="1:8" x14ac:dyDescent="0.35">
      <c r="F61" s="11"/>
      <c r="G61" s="1"/>
      <c r="H61" s="11"/>
    </row>
    <row r="62" spans="1:8" x14ac:dyDescent="0.35">
      <c r="F62" s="11"/>
      <c r="G62" s="1"/>
    </row>
    <row r="63" spans="1:8" x14ac:dyDescent="0.35">
      <c r="F63" s="11"/>
      <c r="G63" s="1"/>
    </row>
    <row r="64" spans="1:8" x14ac:dyDescent="0.35">
      <c r="F64" s="11"/>
      <c r="G64" s="1"/>
    </row>
    <row r="65" spans="6:7" x14ac:dyDescent="0.35">
      <c r="F65" s="11"/>
      <c r="G65" s="1"/>
    </row>
    <row r="66" spans="6:7" x14ac:dyDescent="0.35">
      <c r="F66" s="11"/>
      <c r="G66" s="1"/>
    </row>
    <row r="67" spans="6:7" x14ac:dyDescent="0.35">
      <c r="F67" s="11"/>
      <c r="G67" s="1"/>
    </row>
    <row r="68" spans="6:7" x14ac:dyDescent="0.35">
      <c r="F68" s="11"/>
      <c r="G68" s="1"/>
    </row>
    <row r="69" spans="6:7" x14ac:dyDescent="0.35">
      <c r="G69" s="1"/>
    </row>
    <row r="70" spans="6:7" x14ac:dyDescent="0.35">
      <c r="G70" s="1"/>
    </row>
    <row r="71" spans="6:7" x14ac:dyDescent="0.35">
      <c r="G71" s="1"/>
    </row>
    <row r="72" spans="6:7" x14ac:dyDescent="0.35">
      <c r="G72" s="1"/>
    </row>
    <row r="73" spans="6:7" x14ac:dyDescent="0.35">
      <c r="G73" s="1"/>
    </row>
    <row r="74" spans="6:7" x14ac:dyDescent="0.35">
      <c r="G74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14 JULY 2026</vt:lpstr>
      <vt:lpstr>15 JULY 2026 </vt:lpstr>
      <vt:lpstr>16 JULY 2026 </vt:lpstr>
      <vt:lpstr>17 JULY 2026 </vt:lpstr>
      <vt:lpstr>18 JULY 2026 </vt:lpstr>
      <vt:lpstr>19 JULY 2026</vt:lpstr>
      <vt:lpstr>20 JULY 2026</vt:lpstr>
      <vt:lpstr>21 JULY 2026</vt:lpstr>
      <vt:lpstr>22 JULY 2026</vt:lpstr>
      <vt:lpstr>23 JULY 2026</vt:lpstr>
      <vt:lpstr>24 JULY 2026</vt:lpstr>
      <vt:lpstr>25 JULY 2026</vt:lpstr>
      <vt:lpstr>26 JULY 2026</vt:lpstr>
      <vt:lpstr>27 JULY 2026 </vt:lpstr>
      <vt:lpstr>28 JULY 2026</vt:lpstr>
      <vt:lpstr>29 JULY 2026 </vt:lpstr>
      <vt:lpstr>30 JULY 2026 </vt:lpstr>
      <vt:lpstr>31 JULY 2026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accounts@busiachicken.com</cp:lastModifiedBy>
  <dcterms:created xsi:type="dcterms:W3CDTF">2015-06-05T18:17:20Z</dcterms:created>
  <dcterms:modified xsi:type="dcterms:W3CDTF">2026-08-01T07:28:07Z</dcterms:modified>
</cp:coreProperties>
</file>