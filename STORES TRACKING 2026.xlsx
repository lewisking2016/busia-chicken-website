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counts\Documents\BCL SEPT 2025\Evans Desktop July 2025\BCL LTD\DAILY REPORTING SHEETS\"/>
    </mc:Choice>
  </mc:AlternateContent>
  <xr:revisionPtr revIDLastSave="0" documentId="13_ncr:1_{1A048C38-AAE9-4FB3-B629-F3C4699B9BAB}" xr6:coauthVersionLast="47" xr6:coauthVersionMax="47" xr10:uidLastSave="{00000000-0000-0000-0000-000000000000}"/>
  <bookViews>
    <workbookView xWindow="-110" yWindow="-110" windowWidth="19420" windowHeight="10300" tabRatio="227" xr2:uid="{00000000-000D-0000-FFFF-FFFF00000000}"/>
  </bookViews>
  <sheets>
    <sheet name="RAW MATERIALS" sheetId="1" r:id="rId1"/>
    <sheet name="OTHER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686" i="1" l="1"/>
  <c r="V1688" i="1" s="1"/>
  <c r="P1686" i="1"/>
  <c r="P1688" i="1" s="1"/>
  <c r="Q1686" i="1"/>
  <c r="Q1688" i="1" s="1"/>
  <c r="R1686" i="1"/>
  <c r="R1688" i="1" s="1"/>
  <c r="S1686" i="1"/>
  <c r="S1688" i="1" s="1"/>
  <c r="T1686" i="1"/>
  <c r="T1688" i="1" s="1"/>
  <c r="U1686" i="1"/>
  <c r="U1688" i="1" s="1"/>
  <c r="O1686" i="1"/>
  <c r="O1688" i="1" s="1"/>
  <c r="N1686" i="1"/>
  <c r="N1688" i="1" s="1"/>
  <c r="M1686" i="1"/>
  <c r="M1688" i="1" s="1"/>
  <c r="L1686" i="1"/>
  <c r="L1688" i="1" s="1"/>
  <c r="K1686" i="1"/>
  <c r="K1688" i="1" s="1"/>
  <c r="J1686" i="1"/>
  <c r="J1688" i="1" s="1"/>
  <c r="I1686" i="1"/>
  <c r="I1688" i="1" s="1"/>
  <c r="H1686" i="1"/>
  <c r="H1688" i="1" s="1"/>
  <c r="G1686" i="1"/>
  <c r="G1688" i="1" s="1"/>
  <c r="F1686" i="1"/>
  <c r="F1688" i="1" s="1"/>
  <c r="E1686" i="1"/>
  <c r="E1688" i="1" s="1"/>
  <c r="D1686" i="1"/>
  <c r="D1688" i="1" s="1"/>
  <c r="C1686" i="1"/>
  <c r="C1688" i="1" s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C1581" i="1"/>
  <c r="C1689" i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X1577" i="1"/>
  <c r="W1577" i="1"/>
  <c r="AE246" i="2"/>
  <c r="X1497" i="1"/>
  <c r="W1497" i="1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V1578" i="1"/>
  <c r="V1580" i="1" s="1"/>
  <c r="U1578" i="1"/>
  <c r="U1580" i="1" s="1"/>
  <c r="T1578" i="1"/>
  <c r="T1580" i="1" s="1"/>
  <c r="S1578" i="1"/>
  <c r="S1580" i="1" s="1"/>
  <c r="R1578" i="1"/>
  <c r="R1580" i="1" s="1"/>
  <c r="Q1578" i="1"/>
  <c r="Q1580" i="1" s="1"/>
  <c r="P1578" i="1"/>
  <c r="P1580" i="1" s="1"/>
  <c r="O1578" i="1"/>
  <c r="O1580" i="1" s="1"/>
  <c r="N1578" i="1"/>
  <c r="N1580" i="1" s="1"/>
  <c r="M1578" i="1"/>
  <c r="M1580" i="1" s="1"/>
  <c r="L1578" i="1"/>
  <c r="L1580" i="1" s="1"/>
  <c r="K1578" i="1"/>
  <c r="K1580" i="1" s="1"/>
  <c r="J1578" i="1"/>
  <c r="J1580" i="1" s="1"/>
  <c r="I1578" i="1"/>
  <c r="I1580" i="1" s="1"/>
  <c r="H1578" i="1"/>
  <c r="H1580" i="1" s="1"/>
  <c r="G1578" i="1"/>
  <c r="G1580" i="1" s="1"/>
  <c r="F1578" i="1"/>
  <c r="F1580" i="1" s="1"/>
  <c r="E1578" i="1"/>
  <c r="E1580" i="1" s="1"/>
  <c r="D1578" i="1"/>
  <c r="D1580" i="1" s="1"/>
  <c r="C1578" i="1"/>
  <c r="C1580" i="1" s="1"/>
  <c r="AD217" i="2"/>
  <c r="Y1496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C1500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C1426" i="1"/>
  <c r="AC217" i="2" l="1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V1497" i="1" l="1"/>
  <c r="V1499" i="1" s="1"/>
  <c r="U1497" i="1"/>
  <c r="U1499" i="1" s="1"/>
  <c r="T1497" i="1"/>
  <c r="T1499" i="1" s="1"/>
  <c r="S1497" i="1"/>
  <c r="S1499" i="1" s="1"/>
  <c r="R1497" i="1"/>
  <c r="R1499" i="1" s="1"/>
  <c r="Q1497" i="1"/>
  <c r="Q1499" i="1" s="1"/>
  <c r="P1497" i="1"/>
  <c r="P1499" i="1" s="1"/>
  <c r="O1497" i="1"/>
  <c r="O1499" i="1" s="1"/>
  <c r="N1497" i="1"/>
  <c r="N1499" i="1" s="1"/>
  <c r="L1497" i="1"/>
  <c r="L1499" i="1" s="1"/>
  <c r="K1497" i="1"/>
  <c r="K1499" i="1" s="1"/>
  <c r="J1497" i="1"/>
  <c r="J1499" i="1" s="1"/>
  <c r="I1497" i="1"/>
  <c r="I1499" i="1" s="1"/>
  <c r="H1497" i="1"/>
  <c r="H1499" i="1" s="1"/>
  <c r="G1497" i="1"/>
  <c r="G1499" i="1" s="1"/>
  <c r="F1497" i="1"/>
  <c r="F1499" i="1" s="1"/>
  <c r="E1497" i="1"/>
  <c r="E1499" i="1" s="1"/>
  <c r="D1497" i="1"/>
  <c r="D1499" i="1" s="1"/>
  <c r="C1497" i="1"/>
  <c r="C1499" i="1" s="1"/>
  <c r="M1497" i="1"/>
  <c r="M1499" i="1" s="1"/>
  <c r="Z184" i="2"/>
  <c r="AA184" i="2"/>
  <c r="AB184" i="2"/>
  <c r="AC184" i="2"/>
  <c r="Y184" i="2"/>
  <c r="M1418" i="1" l="1"/>
  <c r="C1423" i="1"/>
  <c r="Y1340" i="1" l="1"/>
  <c r="X1340" i="1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V1423" i="1" l="1"/>
  <c r="V1425" i="1" s="1"/>
  <c r="U1423" i="1"/>
  <c r="U1425" i="1" s="1"/>
  <c r="T1423" i="1"/>
  <c r="T1425" i="1" s="1"/>
  <c r="S1423" i="1"/>
  <c r="S1425" i="1" s="1"/>
  <c r="R1423" i="1"/>
  <c r="R1425" i="1" s="1"/>
  <c r="Q1423" i="1"/>
  <c r="Q1425" i="1" s="1"/>
  <c r="P1423" i="1"/>
  <c r="P1425" i="1" s="1"/>
  <c r="O1423" i="1"/>
  <c r="O1425" i="1" s="1"/>
  <c r="N1423" i="1"/>
  <c r="N1425" i="1" s="1"/>
  <c r="M1423" i="1"/>
  <c r="M1425" i="1" s="1"/>
  <c r="L1423" i="1"/>
  <c r="L1425" i="1" s="1"/>
  <c r="K1423" i="1"/>
  <c r="K1425" i="1" s="1"/>
  <c r="J1423" i="1"/>
  <c r="J1425" i="1" s="1"/>
  <c r="I1423" i="1"/>
  <c r="I1425" i="1" s="1"/>
  <c r="H1423" i="1"/>
  <c r="H1425" i="1" s="1"/>
  <c r="G1423" i="1"/>
  <c r="G1425" i="1" s="1"/>
  <c r="F1423" i="1"/>
  <c r="F1425" i="1" s="1"/>
  <c r="E1423" i="1"/>
  <c r="E1425" i="1" s="1"/>
  <c r="C1425" i="1"/>
  <c r="Y1422" i="1"/>
  <c r="X1422" i="1"/>
  <c r="W1422" i="1"/>
  <c r="D1423" i="1"/>
  <c r="D1425" i="1" s="1"/>
  <c r="X1341" i="1" l="1"/>
  <c r="Y1341" i="1"/>
  <c r="W1341" i="1"/>
  <c r="D1330" i="1"/>
  <c r="Y5" i="1"/>
  <c r="Y3" i="1"/>
  <c r="Y9" i="1" s="1"/>
  <c r="Y7" i="1" l="1"/>
  <c r="Y8" i="1" s="1"/>
  <c r="Y6" i="1"/>
  <c r="D1345" i="1" l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C1345" i="1"/>
  <c r="AC158" i="2"/>
  <c r="AB158" i="2"/>
  <c r="AA158" i="2"/>
  <c r="Z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C1342" i="1"/>
  <c r="C1344" i="1" s="1"/>
  <c r="V1342" i="1"/>
  <c r="V1344" i="1" s="1"/>
  <c r="U1342" i="1"/>
  <c r="U1344" i="1" s="1"/>
  <c r="T1342" i="1"/>
  <c r="T1344" i="1" s="1"/>
  <c r="S1342" i="1"/>
  <c r="S1344" i="1" s="1"/>
  <c r="R1342" i="1"/>
  <c r="R1344" i="1" s="1"/>
  <c r="Q1342" i="1"/>
  <c r="Q1344" i="1" s="1"/>
  <c r="P1342" i="1"/>
  <c r="P1344" i="1" s="1"/>
  <c r="O1342" i="1"/>
  <c r="O1344" i="1" s="1"/>
  <c r="N1342" i="1"/>
  <c r="N1344" i="1" s="1"/>
  <c r="M1342" i="1"/>
  <c r="M1344" i="1" s="1"/>
  <c r="L1342" i="1"/>
  <c r="L1344" i="1" s="1"/>
  <c r="K1342" i="1"/>
  <c r="K1344" i="1" s="1"/>
  <c r="J1342" i="1"/>
  <c r="J1344" i="1" s="1"/>
  <c r="I1342" i="1"/>
  <c r="I1344" i="1" s="1"/>
  <c r="H1342" i="1"/>
  <c r="H1344" i="1" s="1"/>
  <c r="G1342" i="1"/>
  <c r="G1344" i="1" s="1"/>
  <c r="F1342" i="1"/>
  <c r="F1344" i="1" s="1"/>
  <c r="E1342" i="1"/>
  <c r="E1344" i="1" s="1"/>
  <c r="D1342" i="1"/>
  <c r="D1344" i="1" s="1"/>
  <c r="U1234" i="1"/>
  <c r="V1234" i="1"/>
  <c r="W131" i="2"/>
  <c r="X131" i="2"/>
  <c r="Z131" i="2"/>
  <c r="AA131" i="2"/>
  <c r="AB131" i="2"/>
  <c r="AC131" i="2"/>
  <c r="E1237" i="1" l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D1237" i="1"/>
  <c r="C1237" i="1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V1140" i="1"/>
  <c r="U1140" i="1"/>
  <c r="T1234" i="1" l="1"/>
  <c r="T1236" i="1" s="1"/>
  <c r="S1234" i="1"/>
  <c r="S1236" i="1" s="1"/>
  <c r="R1234" i="1"/>
  <c r="R1236" i="1" s="1"/>
  <c r="Q1234" i="1"/>
  <c r="Q1236" i="1" s="1"/>
  <c r="P1234" i="1"/>
  <c r="P1236" i="1" s="1"/>
  <c r="O1234" i="1"/>
  <c r="O1236" i="1" s="1"/>
  <c r="N1234" i="1"/>
  <c r="N1236" i="1" s="1"/>
  <c r="M1234" i="1"/>
  <c r="M1236" i="1" s="1"/>
  <c r="L1234" i="1"/>
  <c r="L1236" i="1" s="1"/>
  <c r="K1234" i="1"/>
  <c r="K1236" i="1" s="1"/>
  <c r="J1234" i="1"/>
  <c r="J1236" i="1" s="1"/>
  <c r="I1234" i="1"/>
  <c r="I1236" i="1" s="1"/>
  <c r="H1234" i="1"/>
  <c r="H1236" i="1" s="1"/>
  <c r="G1234" i="1"/>
  <c r="G1236" i="1" s="1"/>
  <c r="F1234" i="1"/>
  <c r="F1236" i="1" s="1"/>
  <c r="E1234" i="1"/>
  <c r="E1236" i="1" s="1"/>
  <c r="D1234" i="1"/>
  <c r="D1236" i="1" s="1"/>
  <c r="C1234" i="1"/>
  <c r="C1236" i="1" s="1"/>
  <c r="V1047" i="1"/>
  <c r="U1047" i="1"/>
  <c r="O1144" i="1" l="1"/>
  <c r="P1144" i="1"/>
  <c r="Q1144" i="1"/>
  <c r="R1144" i="1"/>
  <c r="S1144" i="1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T1144" i="1" l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T1141" i="1"/>
  <c r="S1141" i="1"/>
  <c r="R1141" i="1"/>
  <c r="R1145" i="1" s="1"/>
  <c r="Q1141" i="1"/>
  <c r="Q1145" i="1" s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C1143" i="1" l="1"/>
  <c r="C1145" i="1"/>
  <c r="D1143" i="1"/>
  <c r="D1145" i="1"/>
  <c r="F1143" i="1"/>
  <c r="F1145" i="1"/>
  <c r="J1143" i="1"/>
  <c r="J1145" i="1"/>
  <c r="K1143" i="1"/>
  <c r="K1145" i="1"/>
  <c r="L1143" i="1"/>
  <c r="L1145" i="1"/>
  <c r="E1143" i="1"/>
  <c r="E1145" i="1"/>
  <c r="G1143" i="1"/>
  <c r="G1145" i="1"/>
  <c r="O1143" i="1"/>
  <c r="O1145" i="1"/>
  <c r="S1143" i="1"/>
  <c r="S1145" i="1"/>
  <c r="T1143" i="1"/>
  <c r="T1145" i="1"/>
  <c r="N1143" i="1"/>
  <c r="N1145" i="1"/>
  <c r="H1143" i="1"/>
  <c r="H1145" i="1"/>
  <c r="P1143" i="1"/>
  <c r="P1145" i="1"/>
  <c r="M1143" i="1"/>
  <c r="M1145" i="1"/>
  <c r="I1143" i="1"/>
  <c r="I1145" i="1"/>
  <c r="R1049" i="1"/>
  <c r="S1049" i="1"/>
  <c r="T1049" i="1"/>
  <c r="V84" i="2" l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T1052" i="1"/>
  <c r="S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T1051" i="1"/>
  <c r="S1051" i="1"/>
  <c r="Q1049" i="1"/>
  <c r="P1049" i="1"/>
  <c r="P1051" i="1" s="1"/>
  <c r="O1049" i="1"/>
  <c r="O1051" i="1" s="1"/>
  <c r="N1049" i="1"/>
  <c r="N1051" i="1" s="1"/>
  <c r="M1049" i="1"/>
  <c r="M1051" i="1" s="1"/>
  <c r="L1049" i="1"/>
  <c r="L1051" i="1" s="1"/>
  <c r="K1049" i="1"/>
  <c r="K1051" i="1" s="1"/>
  <c r="J1049" i="1"/>
  <c r="J1051" i="1" s="1"/>
  <c r="I1049" i="1"/>
  <c r="I1051" i="1" s="1"/>
  <c r="H1049" i="1"/>
  <c r="H1051" i="1" s="1"/>
  <c r="G1049" i="1"/>
  <c r="G1051" i="1" s="1"/>
  <c r="F1049" i="1"/>
  <c r="F1051" i="1" s="1"/>
  <c r="E1049" i="1"/>
  <c r="E1051" i="1" s="1"/>
  <c r="D1049" i="1"/>
  <c r="D1051" i="1" s="1"/>
  <c r="C1049" i="1"/>
  <c r="C1051" i="1" s="1"/>
  <c r="V58" i="2" l="1"/>
  <c r="Q961" i="1"/>
  <c r="S961" i="1"/>
  <c r="Q958" i="1"/>
  <c r="S958" i="1"/>
  <c r="S960" i="1" s="1"/>
  <c r="T958" i="1"/>
  <c r="T960" i="1" s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I958" i="1"/>
  <c r="I960" i="1" s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T961" i="1"/>
  <c r="C961" i="1"/>
  <c r="P958" i="1"/>
  <c r="P960" i="1" s="1"/>
  <c r="O958" i="1"/>
  <c r="O960" i="1" s="1"/>
  <c r="N958" i="1"/>
  <c r="N960" i="1" s="1"/>
  <c r="M958" i="1"/>
  <c r="M960" i="1" s="1"/>
  <c r="L958" i="1"/>
  <c r="L960" i="1" s="1"/>
  <c r="K958" i="1"/>
  <c r="K960" i="1" s="1"/>
  <c r="J958" i="1"/>
  <c r="J960" i="1" s="1"/>
  <c r="H958" i="1"/>
  <c r="H960" i="1" s="1"/>
  <c r="G958" i="1"/>
  <c r="G960" i="1" s="1"/>
  <c r="F958" i="1"/>
  <c r="F960" i="1" s="1"/>
  <c r="E958" i="1"/>
  <c r="E960" i="1" s="1"/>
  <c r="C958" i="1"/>
  <c r="C960" i="1" s="1"/>
  <c r="C866" i="1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C35" i="2"/>
  <c r="L866" i="1" l="1"/>
  <c r="L868" i="1" s="1"/>
  <c r="T869" i="1"/>
  <c r="S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T866" i="1"/>
  <c r="T868" i="1" s="1"/>
  <c r="S866" i="1"/>
  <c r="S868" i="1" s="1"/>
  <c r="P866" i="1"/>
  <c r="P868" i="1" s="1"/>
  <c r="O866" i="1"/>
  <c r="O868" i="1" s="1"/>
  <c r="N866" i="1"/>
  <c r="N868" i="1" s="1"/>
  <c r="M866" i="1"/>
  <c r="M868" i="1" s="1"/>
  <c r="K866" i="1"/>
  <c r="K868" i="1" s="1"/>
  <c r="J866" i="1"/>
  <c r="J868" i="1" s="1"/>
  <c r="I866" i="1"/>
  <c r="I868" i="1" s="1"/>
  <c r="H866" i="1"/>
  <c r="H868" i="1" s="1"/>
  <c r="G866" i="1"/>
  <c r="G868" i="1" s="1"/>
  <c r="F866" i="1"/>
  <c r="F868" i="1" s="1"/>
  <c r="E866" i="1"/>
  <c r="E868" i="1" s="1"/>
  <c r="D866" i="1"/>
  <c r="D868" i="1" s="1"/>
  <c r="C868" i="1"/>
  <c r="T766" i="1" l="1"/>
  <c r="T768" i="1" s="1"/>
  <c r="T769" i="1"/>
  <c r="S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S766" i="1"/>
  <c r="S768" i="1" s="1"/>
  <c r="P766" i="1"/>
  <c r="P768" i="1" s="1"/>
  <c r="O766" i="1"/>
  <c r="O768" i="1" s="1"/>
  <c r="N766" i="1"/>
  <c r="N768" i="1" s="1"/>
  <c r="M766" i="1"/>
  <c r="M768" i="1" s="1"/>
  <c r="L766" i="1"/>
  <c r="L768" i="1" s="1"/>
  <c r="K766" i="1"/>
  <c r="K768" i="1" s="1"/>
  <c r="J766" i="1"/>
  <c r="J768" i="1" s="1"/>
  <c r="I766" i="1"/>
  <c r="I768" i="1" s="1"/>
  <c r="H766" i="1"/>
  <c r="H768" i="1" s="1"/>
  <c r="G766" i="1"/>
  <c r="G768" i="1" s="1"/>
  <c r="F766" i="1"/>
  <c r="F768" i="1" s="1"/>
  <c r="E766" i="1"/>
  <c r="E768" i="1" s="1"/>
  <c r="D766" i="1"/>
  <c r="D768" i="1" s="1"/>
  <c r="C766" i="1"/>
  <c r="C768" i="1" s="1"/>
  <c r="C669" i="1"/>
  <c r="C671" i="1" s="1"/>
  <c r="T672" i="1"/>
  <c r="S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T669" i="1"/>
  <c r="T671" i="1" s="1"/>
  <c r="S669" i="1"/>
  <c r="S671" i="1" s="1"/>
  <c r="P669" i="1"/>
  <c r="P671" i="1" s="1"/>
  <c r="O669" i="1"/>
  <c r="O671" i="1" s="1"/>
  <c r="N669" i="1"/>
  <c r="N671" i="1" s="1"/>
  <c r="M669" i="1"/>
  <c r="M671" i="1" s="1"/>
  <c r="L669" i="1"/>
  <c r="L671" i="1" s="1"/>
  <c r="K669" i="1"/>
  <c r="K671" i="1" s="1"/>
  <c r="J669" i="1"/>
  <c r="J671" i="1" s="1"/>
  <c r="I669" i="1"/>
  <c r="I671" i="1" s="1"/>
  <c r="H669" i="1"/>
  <c r="H671" i="1" s="1"/>
  <c r="G669" i="1"/>
  <c r="G671" i="1" s="1"/>
  <c r="F669" i="1"/>
  <c r="F671" i="1" s="1"/>
  <c r="E669" i="1"/>
  <c r="E671" i="1" s="1"/>
  <c r="D669" i="1"/>
  <c r="D671" i="1" s="1"/>
  <c r="T565" i="1"/>
  <c r="T567" i="1" s="1"/>
  <c r="E568" i="1"/>
  <c r="F568" i="1"/>
  <c r="F569" i="1" s="1"/>
  <c r="G568" i="1"/>
  <c r="G569" i="1" s="1"/>
  <c r="H568" i="1"/>
  <c r="H569" i="1" s="1"/>
  <c r="I568" i="1"/>
  <c r="I569" i="1" s="1"/>
  <c r="J568" i="1"/>
  <c r="J569" i="1" s="1"/>
  <c r="K568" i="1"/>
  <c r="K569" i="1" s="1"/>
  <c r="L568" i="1"/>
  <c r="L569" i="1" s="1"/>
  <c r="M568" i="1"/>
  <c r="M569" i="1" s="1"/>
  <c r="N568" i="1"/>
  <c r="N569" i="1" s="1"/>
  <c r="O568" i="1"/>
  <c r="O569" i="1" s="1"/>
  <c r="P568" i="1"/>
  <c r="P569" i="1" s="1"/>
  <c r="S568" i="1"/>
  <c r="S569" i="1" s="1"/>
  <c r="T568" i="1"/>
  <c r="T569" i="1" s="1"/>
  <c r="D568" i="1"/>
  <c r="D569" i="1" s="1"/>
  <c r="C568" i="1"/>
  <c r="C569" i="1" s="1"/>
  <c r="S565" i="1"/>
  <c r="S567" i="1" s="1"/>
  <c r="P565" i="1"/>
  <c r="P567" i="1" s="1"/>
  <c r="O565" i="1"/>
  <c r="O567" i="1" s="1"/>
  <c r="N565" i="1"/>
  <c r="N567" i="1" s="1"/>
  <c r="M565" i="1"/>
  <c r="M567" i="1" s="1"/>
  <c r="L565" i="1"/>
  <c r="L567" i="1" s="1"/>
  <c r="K565" i="1"/>
  <c r="K567" i="1" s="1"/>
  <c r="J565" i="1"/>
  <c r="J567" i="1" s="1"/>
  <c r="I565" i="1"/>
  <c r="I567" i="1" s="1"/>
  <c r="H565" i="1"/>
  <c r="H567" i="1" s="1"/>
  <c r="G565" i="1"/>
  <c r="G567" i="1" s="1"/>
  <c r="F565" i="1"/>
  <c r="F567" i="1" s="1"/>
  <c r="E565" i="1"/>
  <c r="E567" i="1" s="1"/>
  <c r="D565" i="1"/>
  <c r="D567" i="1" s="1"/>
  <c r="C565" i="1"/>
  <c r="C567" i="1" s="1"/>
  <c r="T473" i="1"/>
  <c r="T475" i="1" s="1"/>
  <c r="S473" i="1"/>
  <c r="S475" i="1" s="1"/>
  <c r="P473" i="1"/>
  <c r="P475" i="1" s="1"/>
  <c r="O473" i="1"/>
  <c r="O475" i="1" s="1"/>
  <c r="N473" i="1"/>
  <c r="N475" i="1" s="1"/>
  <c r="M473" i="1"/>
  <c r="M475" i="1" s="1"/>
  <c r="L473" i="1"/>
  <c r="L475" i="1" s="1"/>
  <c r="K473" i="1"/>
  <c r="K475" i="1" s="1"/>
  <c r="J473" i="1"/>
  <c r="J475" i="1" s="1"/>
  <c r="I473" i="1"/>
  <c r="I475" i="1" s="1"/>
  <c r="H473" i="1"/>
  <c r="H475" i="1" s="1"/>
  <c r="G473" i="1"/>
  <c r="G475" i="1" s="1"/>
  <c r="F473" i="1"/>
  <c r="F475" i="1" s="1"/>
  <c r="E473" i="1"/>
  <c r="E475" i="1" s="1"/>
  <c r="D473" i="1"/>
  <c r="D475" i="1" s="1"/>
  <c r="C473" i="1"/>
  <c r="C475" i="1" s="1"/>
  <c r="C348" i="1"/>
  <c r="C350" i="1" s="1"/>
  <c r="M348" i="1"/>
  <c r="M350" i="1" s="1"/>
  <c r="D348" i="1"/>
  <c r="D350" i="1" s="1"/>
  <c r="E348" i="1"/>
  <c r="E350" i="1" s="1"/>
  <c r="F348" i="1"/>
  <c r="F350" i="1" s="1"/>
  <c r="G348" i="1"/>
  <c r="G350" i="1" s="1"/>
  <c r="H348" i="1"/>
  <c r="H350" i="1" s="1"/>
  <c r="I348" i="1"/>
  <c r="I350" i="1" s="1"/>
  <c r="J348" i="1"/>
  <c r="J350" i="1" s="1"/>
  <c r="K348" i="1"/>
  <c r="K350" i="1" s="1"/>
  <c r="L348" i="1"/>
  <c r="L350" i="1" s="1"/>
  <c r="N348" i="1"/>
  <c r="N350" i="1" s="1"/>
  <c r="O348" i="1"/>
  <c r="O350" i="1" s="1"/>
  <c r="P348" i="1"/>
  <c r="P350" i="1" s="1"/>
  <c r="S348" i="1"/>
  <c r="S350" i="1" s="1"/>
  <c r="T348" i="1"/>
  <c r="T350" i="1" s="1"/>
  <c r="K201" i="1"/>
  <c r="L201" i="1"/>
  <c r="M201" i="1"/>
  <c r="N201" i="1"/>
  <c r="O201" i="1"/>
  <c r="P201" i="1"/>
  <c r="S201" i="1"/>
  <c r="T201" i="1"/>
  <c r="T203" i="1" s="1"/>
  <c r="P203" i="1" l="1"/>
  <c r="E201" i="1"/>
  <c r="E203" i="1" s="1"/>
  <c r="D201" i="1"/>
  <c r="D203" i="1" s="1"/>
  <c r="F201" i="1"/>
  <c r="F203" i="1" s="1"/>
  <c r="G201" i="1"/>
  <c r="G203" i="1" s="1"/>
  <c r="H201" i="1"/>
  <c r="H203" i="1" s="1"/>
  <c r="I201" i="1"/>
  <c r="I203" i="1" s="1"/>
  <c r="J201" i="1"/>
  <c r="J203" i="1" s="1"/>
  <c r="K203" i="1"/>
  <c r="L203" i="1"/>
  <c r="M203" i="1"/>
  <c r="N203" i="1"/>
  <c r="O203" i="1"/>
  <c r="S203" i="1"/>
  <c r="C201" i="1"/>
  <c r="C203" i="1" s="1"/>
  <c r="D82" i="1"/>
  <c r="D84" i="1" s="1"/>
  <c r="F82" i="1"/>
  <c r="F84" i="1" s="1"/>
  <c r="G82" i="1"/>
  <c r="G84" i="1" s="1"/>
  <c r="H82" i="1"/>
  <c r="H84" i="1" s="1"/>
  <c r="I82" i="1"/>
  <c r="I84" i="1" s="1"/>
  <c r="J82" i="1"/>
  <c r="J84" i="1" s="1"/>
  <c r="K82" i="1"/>
  <c r="K84" i="1" s="1"/>
  <c r="L82" i="1"/>
  <c r="L84" i="1" s="1"/>
  <c r="M82" i="1"/>
  <c r="M84" i="1" s="1"/>
  <c r="N82" i="1"/>
  <c r="N84" i="1" s="1"/>
  <c r="O82" i="1"/>
  <c r="O84" i="1" s="1"/>
  <c r="P82" i="1"/>
  <c r="P84" i="1" s="1"/>
  <c r="S82" i="1"/>
  <c r="S84" i="1" s="1"/>
  <c r="T82" i="1"/>
  <c r="T84" i="1" s="1"/>
  <c r="C82" i="1"/>
  <c r="C84" i="1" s="1"/>
  <c r="D958" i="1"/>
  <c r="D960" i="1" s="1"/>
</calcChain>
</file>

<file path=xl/sharedStrings.xml><?xml version="1.0" encoding="utf-8"?>
<sst xmlns="http://schemas.openxmlformats.org/spreadsheetml/2006/main" count="2031" uniqueCount="354">
  <si>
    <t>Opening balances</t>
  </si>
  <si>
    <t>Layers Tangakona batch 14 5 tonnes</t>
  </si>
  <si>
    <t xml:space="preserve">Layers Batch 14 Tangakona 4 tonnes </t>
  </si>
  <si>
    <t>Layers Nasira 1 tonne</t>
  </si>
  <si>
    <t xml:space="preserve">Layers Nasira 2 tonnes </t>
  </si>
  <si>
    <t xml:space="preserve">Layers TK 2 tonnes </t>
  </si>
  <si>
    <t>Received soya</t>
  </si>
  <si>
    <t>Received Toxin</t>
  </si>
  <si>
    <t>Received lime</t>
  </si>
  <si>
    <t>Received maize from Fred</t>
  </si>
  <si>
    <t>Received layers premix</t>
  </si>
  <si>
    <t>Chick mash 2 tonnes</t>
  </si>
  <si>
    <t>Received DCP</t>
  </si>
  <si>
    <t>Received egg colour</t>
  </si>
  <si>
    <t>Received Wheat pollards</t>
  </si>
  <si>
    <t xml:space="preserve">Layers TK  6 tonnes Batch 14 </t>
  </si>
  <si>
    <t>Layers Batch 13 Nasira 4 tonnes</t>
  </si>
  <si>
    <t>Received maize germ</t>
  </si>
  <si>
    <t>Received soya cake</t>
  </si>
  <si>
    <t>Received Sunflower</t>
  </si>
  <si>
    <t xml:space="preserve">Layers Batch 14 Tangakona 7 tonnes </t>
  </si>
  <si>
    <t xml:space="preserve">Layers TK  12 tonnes Batch 14 </t>
  </si>
  <si>
    <t xml:space="preserve">Received maize germ </t>
  </si>
  <si>
    <t>Layers Nasira 9 tonnes Nasira</t>
  </si>
  <si>
    <t>Layers Nasira batch 13 5 tonnes</t>
  </si>
  <si>
    <t>CURRENT BALANCE</t>
  </si>
  <si>
    <t>NUMBER OF DAYS TO SERVE</t>
  </si>
  <si>
    <t>Finished feeds used</t>
  </si>
  <si>
    <t>consuption per day</t>
  </si>
  <si>
    <t>Returned soya cake</t>
  </si>
  <si>
    <t xml:space="preserve">Total feeds consumed upto </t>
  </si>
  <si>
    <t>Layer Tangakona batch 14 1 tonne</t>
  </si>
  <si>
    <t>Chick mash 1 tonne</t>
  </si>
  <si>
    <t>Finished feeds consumed</t>
  </si>
  <si>
    <t>Received broiler premix</t>
  </si>
  <si>
    <t>Received layer premix</t>
  </si>
  <si>
    <t>Received layer soya</t>
  </si>
  <si>
    <t>Received maize</t>
  </si>
  <si>
    <t>FINISHED FEEDS BATCH 14 (bags)</t>
  </si>
  <si>
    <t>FINISHED FEEDS BATCH 15(bags)</t>
  </si>
  <si>
    <t>MAIZE (kgs)</t>
  </si>
  <si>
    <t>LAYER PREMIX(kgs)</t>
  </si>
  <si>
    <t>LIME(kgs)</t>
  </si>
  <si>
    <t>Soya cake (kgs)</t>
  </si>
  <si>
    <t>wheat pollard(kgs)</t>
  </si>
  <si>
    <t>sunflower cake(kgs)</t>
  </si>
  <si>
    <t>DCP(kgs)</t>
  </si>
  <si>
    <t>TOXIN(kgs)</t>
  </si>
  <si>
    <t>BIOGAR(kgs)</t>
  </si>
  <si>
    <t>EGGCOLOUR(kgs)</t>
  </si>
  <si>
    <t>BROILER PREMIX(kgs)</t>
  </si>
  <si>
    <t>Vitafix(kgs)</t>
  </si>
  <si>
    <t>Layer Tangakona batch 14 10 tonneS</t>
  </si>
  <si>
    <t>Layers Nasira 3 tonneS</t>
  </si>
  <si>
    <t>Received wheat pollard</t>
  </si>
  <si>
    <t>Received sunflower cake</t>
  </si>
  <si>
    <t>Layers TK batch 14 3 tonne</t>
  </si>
  <si>
    <t>Received pollard</t>
  </si>
  <si>
    <t>Layers Batch 14 layers 4 tonnes</t>
  </si>
  <si>
    <t>Layers Tangakona batch 14 2 tonnes</t>
  </si>
  <si>
    <t>Received maize bran</t>
  </si>
  <si>
    <t>Receievd vitafix</t>
  </si>
  <si>
    <t>Received egg color</t>
  </si>
  <si>
    <t>Wheat bran</t>
  </si>
  <si>
    <t>Growers mash 1 tonne</t>
  </si>
  <si>
    <t>Received maize  germ</t>
  </si>
  <si>
    <t>Receievd layer premix</t>
  </si>
  <si>
    <t>Growers mash 2 tonnes</t>
  </si>
  <si>
    <t>Layers Batch 13 Nasira 2 tonnes</t>
  </si>
  <si>
    <t>Batch 14 6 tonnes</t>
  </si>
  <si>
    <t>Growers mash 5 tonnes</t>
  </si>
  <si>
    <t>Layers Batch 13 Nasira 1 tonne</t>
  </si>
  <si>
    <t>Layers Batch 13 Nasira 5 tonnes</t>
  </si>
  <si>
    <t>Receieved sunflower</t>
  </si>
  <si>
    <t>Received Maize germ</t>
  </si>
  <si>
    <t>Received maize locally</t>
  </si>
  <si>
    <t>MAIZE GERM/BRAN (kgs)</t>
  </si>
  <si>
    <t>Received sunflower</t>
  </si>
  <si>
    <t>Received toxin</t>
  </si>
  <si>
    <t>Received maize from Paul Egesa</t>
  </si>
  <si>
    <t>developers mash 1 tonne</t>
  </si>
  <si>
    <t>Layers TK batch 14 3 tonnes</t>
  </si>
  <si>
    <t>Receive wheat pollard</t>
  </si>
  <si>
    <t>Received wheat bran</t>
  </si>
  <si>
    <t>Recceived sunflower</t>
  </si>
  <si>
    <t>developers mash 3 tonnes</t>
  </si>
  <si>
    <t>Received vitafix</t>
  </si>
  <si>
    <t>developers mash 2 tonnes</t>
  </si>
  <si>
    <t xml:space="preserve">Received layer premix </t>
  </si>
  <si>
    <t>Received maize from Warari</t>
  </si>
  <si>
    <t xml:space="preserve">Received wheat bran </t>
  </si>
  <si>
    <t>Layers Batch 13 Nasira 3 tonnes</t>
  </si>
  <si>
    <t>Received maize from warari</t>
  </si>
  <si>
    <t xml:space="preserve">Received wheat pollard </t>
  </si>
  <si>
    <t>Received Layer premix</t>
  </si>
  <si>
    <t>Overfeeding of batch 14</t>
  </si>
  <si>
    <t xml:space="preserve">Layers Batch 14 Tangakona 8 tonnes </t>
  </si>
  <si>
    <t>Layer Tangakona batch 14 9 tonnes</t>
  </si>
  <si>
    <t>developers mash 4 tonnes</t>
  </si>
  <si>
    <t xml:space="preserve">Received egg colour </t>
  </si>
  <si>
    <t>Prelay feeds for batch 15 3 tonnes</t>
  </si>
  <si>
    <t>Received maize germ from Bribrema</t>
  </si>
  <si>
    <t>Expected for 31 days</t>
  </si>
  <si>
    <t>Bal to complete 31 days</t>
  </si>
  <si>
    <t>Prelay feeds for batch 15 4tonnes</t>
  </si>
  <si>
    <t>Received maize germ from Sai</t>
  </si>
  <si>
    <t>Prelay feeds for batch 15 1 tonne</t>
  </si>
  <si>
    <t>Prelay feeds for batch 15 2tonnes</t>
  </si>
  <si>
    <t xml:space="preserve">Received soya cake </t>
  </si>
  <si>
    <t xml:space="preserve">Received Toxin binder </t>
  </si>
  <si>
    <t>Batch 15 layers 2 tonnes</t>
  </si>
  <si>
    <t>Batch 15 layers 1 tonne</t>
  </si>
  <si>
    <t>Batch 15 layers 3 tonnes</t>
  </si>
  <si>
    <t>Received Maize</t>
  </si>
  <si>
    <t>Received maize from Kakura</t>
  </si>
  <si>
    <t>Received maize from KAkura</t>
  </si>
  <si>
    <t>Receved soya cake</t>
  </si>
  <si>
    <t>Received premix</t>
  </si>
  <si>
    <t>Received biogar</t>
  </si>
  <si>
    <t>Receive sunflower</t>
  </si>
  <si>
    <t>Tangakona overfeeding</t>
  </si>
  <si>
    <t xml:space="preserve">Received lime </t>
  </si>
  <si>
    <t>Batch 15 3 tonnes</t>
  </si>
  <si>
    <t>Batch 15 layers 4 tonnes</t>
  </si>
  <si>
    <t>Batch 15 2 tonnes</t>
  </si>
  <si>
    <t>Receive maize</t>
  </si>
  <si>
    <t>Batch 15 1 tonne</t>
  </si>
  <si>
    <t>Batch 15 6 tonnes</t>
  </si>
  <si>
    <t xml:space="preserve">Received maize from Warari </t>
  </si>
  <si>
    <t>Batch 15 4 tonnes</t>
  </si>
  <si>
    <t>Received maize from Alex</t>
  </si>
  <si>
    <t>Received maize germ from sai</t>
  </si>
  <si>
    <t>Batch 15 8 tonnes</t>
  </si>
  <si>
    <t xml:space="preserve">Received maize </t>
  </si>
  <si>
    <t>received maize from Jonathan</t>
  </si>
  <si>
    <t>Received maize from okemere</t>
  </si>
  <si>
    <t>Received Soya cake</t>
  </si>
  <si>
    <t>Received maize from Johnstone Adenge</t>
  </si>
  <si>
    <t>Received maize from Phoebe Akumu</t>
  </si>
  <si>
    <t>Received maize from Nabwire</t>
  </si>
  <si>
    <t>Received maize from Lydia</t>
  </si>
  <si>
    <t>Received maize from Grace Namenge</t>
  </si>
  <si>
    <t>Batch 15 7 tonnes</t>
  </si>
  <si>
    <t>Received from staff</t>
  </si>
  <si>
    <t>Received maize from Susan Otwani</t>
  </si>
  <si>
    <t>Layer Tangakona batch 14 10 tonnes</t>
  </si>
  <si>
    <t>Batch 15 5 tonnes</t>
  </si>
  <si>
    <t>Received maize from Stephen Simiyu</t>
  </si>
  <si>
    <t>STAFF MAIZE</t>
  </si>
  <si>
    <t>KIENYEJI MAIZE</t>
  </si>
  <si>
    <t>AMIN VIT</t>
  </si>
  <si>
    <t>TYLODOXY</t>
  </si>
  <si>
    <t>HIPROTECTOL</t>
  </si>
  <si>
    <t>MIAPHOS</t>
  </si>
  <si>
    <t>POULTRY DUST</t>
  </si>
  <si>
    <t>ADVICE</t>
  </si>
  <si>
    <t xml:space="preserve">AMIN TOTAL </t>
  </si>
  <si>
    <t>LIVERVITAL</t>
  </si>
  <si>
    <t>AGRITONIC</t>
  </si>
  <si>
    <t>AGRIVITAM</t>
  </si>
  <si>
    <t>Aliseryl</t>
  </si>
  <si>
    <t>TUFFSHELL</t>
  </si>
  <si>
    <t>HARDEX</t>
  </si>
  <si>
    <t>Ultracide</t>
  </si>
  <si>
    <t>Ultraclean</t>
  </si>
  <si>
    <t>Lumax</t>
  </si>
  <si>
    <t>Crop mine</t>
  </si>
  <si>
    <t>Received tuffshell</t>
  </si>
  <si>
    <t>Maize to Hellena</t>
  </si>
  <si>
    <t>Maize transfer to feeds production</t>
  </si>
  <si>
    <t>Received ultraclean</t>
  </si>
  <si>
    <t>Received agritonic</t>
  </si>
  <si>
    <t>Received Agrivitam</t>
  </si>
  <si>
    <t>Maize for staff flour</t>
  </si>
  <si>
    <t>Used ultaraclean</t>
  </si>
  <si>
    <t>Receieved Aliseryl</t>
  </si>
  <si>
    <t>Received advice</t>
  </si>
  <si>
    <t>Received Ultracide</t>
  </si>
  <si>
    <t>Used utracide</t>
  </si>
  <si>
    <t>Dispatched agritonic to TK</t>
  </si>
  <si>
    <t>Received lumax</t>
  </si>
  <si>
    <t>Dispatched tuffshell to TK</t>
  </si>
  <si>
    <t>Received crop mine</t>
  </si>
  <si>
    <t>Used agritonic by Nasira</t>
  </si>
  <si>
    <t>Used agrivitam by Nasira</t>
  </si>
  <si>
    <t>Used advice</t>
  </si>
  <si>
    <t>Used aliseryl</t>
  </si>
  <si>
    <t>Maize issued by Director</t>
  </si>
  <si>
    <t>Kienyeji maize to Director</t>
  </si>
  <si>
    <t>Received amivit</t>
  </si>
  <si>
    <t>Received livervital</t>
  </si>
  <si>
    <t>Grinding of staff maize</t>
  </si>
  <si>
    <t xml:space="preserve">Maize donation to wazee </t>
  </si>
  <si>
    <t>Received maize from Wyclife</t>
  </si>
  <si>
    <t>Received maize from Grace</t>
  </si>
  <si>
    <t>Biogar used by batch 15</t>
  </si>
  <si>
    <t>Expected for 30 days</t>
  </si>
  <si>
    <t>Maize donation to wazee</t>
  </si>
  <si>
    <t xml:space="preserve"> </t>
  </si>
  <si>
    <t>Maize grinded for Nasira staff</t>
  </si>
  <si>
    <t>Receieved maize</t>
  </si>
  <si>
    <t>Maize donation to chief</t>
  </si>
  <si>
    <t>Donation to Wazee</t>
  </si>
  <si>
    <t>Maize grinded for Nasira staff and TK</t>
  </si>
  <si>
    <t>Lipidol</t>
  </si>
  <si>
    <t>Received lipidol</t>
  </si>
  <si>
    <t>Received amin total</t>
  </si>
  <si>
    <t>Received Poultry dust</t>
  </si>
  <si>
    <t>Received levacide</t>
  </si>
  <si>
    <t>Levacide</t>
  </si>
  <si>
    <t>Received maize from Joseck Obara</t>
  </si>
  <si>
    <t>Used</t>
  </si>
  <si>
    <t>Grinded maize for Nasira and Tangakona</t>
  </si>
  <si>
    <t>Poultry dust used</t>
  </si>
  <si>
    <t>Diamond v</t>
  </si>
  <si>
    <t>Reecived diamond v</t>
  </si>
  <si>
    <t>Reecived egg colour</t>
  </si>
  <si>
    <t>Received toxin binder</t>
  </si>
  <si>
    <t>Grinded maize for Nasira staff</t>
  </si>
  <si>
    <t>Received diamond v</t>
  </si>
  <si>
    <t>Batch 15 7 tonne</t>
  </si>
  <si>
    <t>Maize to Hellena by Director</t>
  </si>
  <si>
    <t>1 bag of kienyeji maize by Director to Nipher</t>
  </si>
  <si>
    <t>50kgs by Director to construction</t>
  </si>
  <si>
    <t>50kgs kienyeji maize to Director</t>
  </si>
  <si>
    <t>Received miaphos</t>
  </si>
  <si>
    <t>Received  poultry dust</t>
  </si>
  <si>
    <t>Received poultry dust</t>
  </si>
  <si>
    <t>Grinded maize for Nasira</t>
  </si>
  <si>
    <t>Received maize  from Masiga</t>
  </si>
  <si>
    <t>Received kienyeji maize</t>
  </si>
  <si>
    <t>D</t>
  </si>
  <si>
    <t>Received staff maize</t>
  </si>
  <si>
    <t>Expected for 28 days</t>
  </si>
  <si>
    <t>Received maize from Kigalo</t>
  </si>
  <si>
    <t>Kerol</t>
  </si>
  <si>
    <t>Glucose</t>
  </si>
  <si>
    <t>Amprollium</t>
  </si>
  <si>
    <t>Liquid parafin</t>
  </si>
  <si>
    <t xml:space="preserve">Received </t>
  </si>
  <si>
    <t>Received Chick mash</t>
  </si>
  <si>
    <t>Received crumbs mash</t>
  </si>
  <si>
    <t>Encrocure</t>
  </si>
  <si>
    <t>Received encrocure</t>
  </si>
  <si>
    <t>CHICK MASH</t>
  </si>
  <si>
    <t>Quad d tox</t>
  </si>
  <si>
    <t>Received quad d tox</t>
  </si>
  <si>
    <t>Maize donation to Director</t>
  </si>
  <si>
    <t>Received maize from Charles Ebula</t>
  </si>
  <si>
    <t>Used maize</t>
  </si>
  <si>
    <t>Maize to Hellen</t>
  </si>
  <si>
    <t>Donated to Wazee and site</t>
  </si>
  <si>
    <t>Batch 15 7 tonneS</t>
  </si>
  <si>
    <t>Battch 16 2 tonnes</t>
  </si>
  <si>
    <t>Received maize from Aloi</t>
  </si>
  <si>
    <t>Received soya caake</t>
  </si>
  <si>
    <t>Battch 16 1 tonne</t>
  </si>
  <si>
    <t>Grinded maize for Nasira and TK</t>
  </si>
  <si>
    <t>Received maize from Velinda Nafula</t>
  </si>
  <si>
    <t>Received maize Kigalo</t>
  </si>
  <si>
    <t>Maize donation to Chief by Chairman</t>
  </si>
  <si>
    <t>Grinded maize for Tangakona</t>
  </si>
  <si>
    <t xml:space="preserve">Received quad d tox </t>
  </si>
  <si>
    <t>Received aliseryl</t>
  </si>
  <si>
    <t>Received maize germ from Kigalo</t>
  </si>
  <si>
    <t>Battch 16 4 tonnes</t>
  </si>
  <si>
    <t>Received maize from kizito Nerima</t>
  </si>
  <si>
    <t>Batch 15 9 tonnes</t>
  </si>
  <si>
    <t>Maize donation to site by Chairman to construction</t>
  </si>
  <si>
    <t>AGGREGATORS</t>
  </si>
  <si>
    <t>LOCAL SUPPLIERS</t>
  </si>
  <si>
    <t>BAGS</t>
  </si>
  <si>
    <t>LOCAL BAGS</t>
  </si>
  <si>
    <t>Batch 16 additional bags</t>
  </si>
  <si>
    <t>CHICK MASH UNGA</t>
  </si>
  <si>
    <t xml:space="preserve">Received biogar </t>
  </si>
  <si>
    <t>Battch 16 3 tonnes</t>
  </si>
  <si>
    <t>Battch 16 10 tonnes</t>
  </si>
  <si>
    <t>Feeds returned for remixing</t>
  </si>
  <si>
    <t>Received maize from Rosebella Okello</t>
  </si>
  <si>
    <t>Remixing of batch 16 feed 4 tonnes</t>
  </si>
  <si>
    <t>Received maize from Lucky Okello</t>
  </si>
  <si>
    <t>Mize donation to Hellen</t>
  </si>
  <si>
    <t>Received amprolium</t>
  </si>
  <si>
    <t>Batch 16 remixing 1 tonne</t>
  </si>
  <si>
    <t>Received maize  from Warari</t>
  </si>
  <si>
    <t>Batch 16 remixing 9 tonnes</t>
  </si>
  <si>
    <t>Batch 16 growers 5 tonnes</t>
  </si>
  <si>
    <t>Received kupacide</t>
  </si>
  <si>
    <t>Kupacide</t>
  </si>
  <si>
    <t>Received maize frrrom Everlyne Nafula</t>
  </si>
  <si>
    <t>Received maize from Kizito Nerima</t>
  </si>
  <si>
    <t>Maize donation to site</t>
  </si>
  <si>
    <t>Batch 16 growers 4 tonnes</t>
  </si>
  <si>
    <t>Batch 16 growers 1 tonne</t>
  </si>
  <si>
    <t>Grinded maize for Naira and TK</t>
  </si>
  <si>
    <t>Maize to Chairman</t>
  </si>
  <si>
    <t>Batch 16 growers 8 tonnes</t>
  </si>
  <si>
    <t>Maize to site 25 kgs</t>
  </si>
  <si>
    <t>Batch 16 growers 2 tonnes</t>
  </si>
  <si>
    <t>Received  layers premix</t>
  </si>
  <si>
    <t>Batch 16 growers 3 tonnes</t>
  </si>
  <si>
    <t>Batch 16 growers 10 tonnes</t>
  </si>
  <si>
    <t>Maize to Director</t>
  </si>
  <si>
    <t>Batch 16 growers 7 tonnes</t>
  </si>
  <si>
    <t>Used amivit</t>
  </si>
  <si>
    <t>Used livervital</t>
  </si>
  <si>
    <t>Used tuffshell</t>
  </si>
  <si>
    <t>Used amin total</t>
  </si>
  <si>
    <t>Used poultry dust</t>
  </si>
  <si>
    <t>Received</t>
  </si>
  <si>
    <t>Biosec</t>
  </si>
  <si>
    <t>Used biosec</t>
  </si>
  <si>
    <t>Batch 16 prelay 5 tonnes</t>
  </si>
  <si>
    <t>Rceived maize</t>
  </si>
  <si>
    <t>Batch 16 prelay 8 tonnes</t>
  </si>
  <si>
    <t>Grinded maize Nasira</t>
  </si>
  <si>
    <t>Received agrivitam</t>
  </si>
  <si>
    <t>Received mintocare</t>
  </si>
  <si>
    <t>Mintocare</t>
  </si>
  <si>
    <t>Batch 16 prelay 7 tonnes</t>
  </si>
  <si>
    <t>Batch 16 prelay 1 tonne</t>
  </si>
  <si>
    <t>Use poultry dust</t>
  </si>
  <si>
    <t>Used ultracide</t>
  </si>
  <si>
    <t>Used ultraclean</t>
  </si>
  <si>
    <t>Maize to site</t>
  </si>
  <si>
    <t>Batch 16 prelay 3 tonnes</t>
  </si>
  <si>
    <t>Batch 16 layers 3 tonnes</t>
  </si>
  <si>
    <t>Batch 16 layers 4 tonnes</t>
  </si>
  <si>
    <t>Batch 16 layers 2 tonnes</t>
  </si>
  <si>
    <t>Received sundlower cake</t>
  </si>
  <si>
    <t>Maize from Chairman</t>
  </si>
  <si>
    <t xml:space="preserve">Grinded maize for Nasira </t>
  </si>
  <si>
    <t>Received maize from harvest</t>
  </si>
  <si>
    <t>Transferred maize to feeds</t>
  </si>
  <si>
    <t>Received maize from staff net weight after grinding</t>
  </si>
  <si>
    <t>Batch 16 layers 5 tonnes</t>
  </si>
  <si>
    <t>Received maize from chairman</t>
  </si>
  <si>
    <t>Batch 15 feeds 1 tonne</t>
  </si>
  <si>
    <t xml:space="preserve">Batch 16 2 tonnes </t>
  </si>
  <si>
    <t>Batch 15 feeds 2 tonnes</t>
  </si>
  <si>
    <t>Grinded maize for TK</t>
  </si>
  <si>
    <t>Received sundflower cake</t>
  </si>
  <si>
    <t>Batch 16 layers 6 tonnes</t>
  </si>
  <si>
    <t>Kienyeji maize to milling</t>
  </si>
  <si>
    <t>Received maize from Jonathan Masiga</t>
  </si>
  <si>
    <t>Receved maize from staff</t>
  </si>
  <si>
    <t>Received maize from harvest TK</t>
  </si>
  <si>
    <t>Staff maize to Director</t>
  </si>
  <si>
    <t xml:space="preserve">Batch 16 4 tonnes </t>
  </si>
  <si>
    <t>Livervital used TK</t>
  </si>
  <si>
    <t>Used livervital Nasira</t>
  </si>
  <si>
    <t>Used tuffshell Nasira</t>
  </si>
  <si>
    <t>Used amin total Nasira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</si>
</sst>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2" xfId="0" applyFont="1" applyFill="1" applyBorder="1" applyAlignment="1">
      <alignment wrapText="1"/>
    </xf>
    <xf numFmtId="0" fontId="1" fillId="0" borderId="0" xfId="0" applyFont="1" applyAlignment="1">
      <alignment wrapText="1"/>
    </xf>
    <xf numFmtId="14" fontId="2" fillId="3" borderId="1" xfId="0" applyNumberFormat="1" applyFont="1" applyFill="1" applyBorder="1"/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2" fontId="2" fillId="3" borderId="1" xfId="0" applyNumberFormat="1" applyFont="1" applyFill="1" applyBorder="1"/>
    <xf numFmtId="0" fontId="2" fillId="3" borderId="3" xfId="0" applyFont="1" applyFill="1" applyBorder="1"/>
    <xf numFmtId="0" fontId="1" fillId="3" borderId="0" xfId="0" applyFont="1" applyFill="1"/>
    <xf numFmtId="0" fontId="1" fillId="0" borderId="3" xfId="0" applyFont="1" applyBorder="1"/>
    <xf numFmtId="14" fontId="1" fillId="4" borderId="3" xfId="0" applyNumberFormat="1" applyFont="1" applyFill="1" applyBorder="1"/>
    <xf numFmtId="0" fontId="1" fillId="4" borderId="3" xfId="0" applyFont="1" applyFill="1" applyBorder="1"/>
    <xf numFmtId="2" fontId="1" fillId="4" borderId="3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4" fontId="2" fillId="3" borderId="3" xfId="0" applyNumberFormat="1" applyFont="1" applyFill="1" applyBorder="1"/>
    <xf numFmtId="14" fontId="1" fillId="4" borderId="1" xfId="0" applyNumberFormat="1" applyFont="1" applyFill="1" applyBorder="1"/>
    <xf numFmtId="0" fontId="1" fillId="4" borderId="1" xfId="0" applyFont="1" applyFill="1" applyBorder="1"/>
    <xf numFmtId="2" fontId="1" fillId="4" borderId="1" xfId="0" applyNumberFormat="1" applyFont="1" applyFill="1" applyBorder="1"/>
    <xf numFmtId="14" fontId="1" fillId="3" borderId="1" xfId="0" applyNumberFormat="1" applyFont="1" applyFill="1" applyBorder="1"/>
    <xf numFmtId="0" fontId="2" fillId="4" borderId="4" xfId="0" applyFont="1" applyFill="1" applyBorder="1"/>
    <xf numFmtId="164" fontId="2" fillId="4" borderId="4" xfId="0" applyNumberFormat="1" applyFont="1" applyFill="1" applyBorder="1"/>
    <xf numFmtId="2" fontId="2" fillId="3" borderId="3" xfId="0" applyNumberFormat="1" applyFont="1" applyFill="1" applyBorder="1"/>
    <xf numFmtId="164" fontId="2" fillId="3" borderId="1" xfId="0" applyNumberFormat="1" applyFont="1" applyFill="1" applyBorder="1"/>
    <xf numFmtId="0" fontId="1" fillId="3" borderId="1" xfId="0" applyFont="1" applyFill="1" applyBorder="1"/>
    <xf numFmtId="2" fontId="1" fillId="0" borderId="0" xfId="0" applyNumberFormat="1" applyFont="1"/>
    <xf numFmtId="0" fontId="6" fillId="0" borderId="0" xfId="0" applyFont="1"/>
    <xf numFmtId="14" fontId="8" fillId="3" borderId="1" xfId="0" applyNumberFormat="1" applyFont="1" applyFill="1" applyBorder="1"/>
    <xf numFmtId="0" fontId="9" fillId="0" borderId="1" xfId="0" applyFont="1" applyBorder="1"/>
    <xf numFmtId="0" fontId="9" fillId="0" borderId="0" xfId="0" applyFont="1"/>
    <xf numFmtId="17" fontId="10" fillId="0" borderId="0" xfId="0" applyNumberFormat="1" applyFont="1"/>
    <xf numFmtId="0" fontId="1" fillId="0" borderId="1" xfId="0" applyFont="1" applyBorder="1" applyAlignment="1">
      <alignment horizontal="center"/>
    </xf>
    <xf numFmtId="0" fontId="9" fillId="0" borderId="3" xfId="0" applyFont="1" applyBorder="1"/>
    <xf numFmtId="0" fontId="11" fillId="0" borderId="1" xfId="1" applyBorder="1"/>
    <xf numFmtId="2" fontId="1" fillId="3" borderId="1" xfId="0" applyNumberFormat="1" applyFont="1" applyFill="1" applyBorder="1"/>
    <xf numFmtId="0" fontId="1" fillId="4" borderId="0" xfId="0" applyFont="1" applyFill="1"/>
    <xf numFmtId="0" fontId="2" fillId="0" borderId="1" xfId="0" applyFont="1" applyBorder="1"/>
    <xf numFmtId="0" fontId="2" fillId="0" borderId="0" xfId="0" applyFont="1"/>
    <xf numFmtId="0" fontId="1" fillId="2" borderId="0" xfId="0" applyFont="1" applyFill="1" applyAlignment="1">
      <alignment wrapText="1"/>
    </xf>
    <xf numFmtId="2" fontId="1" fillId="5" borderId="0" xfId="0" applyNumberFormat="1" applyFont="1" applyFill="1"/>
    <xf numFmtId="0" fontId="1" fillId="5" borderId="0" xfId="0" applyFont="1" applyFill="1"/>
    <xf numFmtId="0" fontId="2" fillId="3" borderId="4" xfId="0" applyFont="1" applyFill="1" applyBorder="1"/>
    <xf numFmtId="0" fontId="2" fillId="3" borderId="0" xfId="0" applyFont="1" applyFill="1"/>
    <xf numFmtId="17" fontId="5" fillId="3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17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689"/>
  <sheetViews>
    <sheetView tabSelected="1" zoomScale="107" zoomScaleNormal="59" workbookViewId="0">
      <pane ySplit="1" topLeftCell="A1680" activePane="bottomLeft" state="frozen"/>
      <selection pane="bottomLeft" activeCell="M1698" sqref="M1698"/>
    </sheetView>
  </sheetViews>
  <sheetFormatPr defaultColWidth="8.7265625" defaultRowHeight="10.5" x14ac:dyDescent="0.25"/>
  <cols>
    <col min="1" max="1" width="8.7265625" style="4" customWidth="1"/>
    <col min="2" max="2" width="24.54296875" style="4" customWidth="1"/>
    <col min="3" max="3" width="8.7265625" style="4" customWidth="1"/>
    <col min="4" max="5" width="7.54296875" style="4" customWidth="1"/>
    <col min="6" max="6" width="10.54296875" style="4" customWidth="1"/>
    <col min="7" max="7" width="11" style="4" customWidth="1"/>
    <col min="8" max="8" width="8.7265625" style="4"/>
    <col min="9" max="9" width="12.81640625" style="4" bestFit="1" customWidth="1"/>
    <col min="10" max="10" width="9.81640625" style="4" bestFit="1" customWidth="1"/>
    <col min="11" max="11" width="6.453125" style="4" customWidth="1"/>
    <col min="12" max="12" width="10.26953125" style="4" customWidth="1"/>
    <col min="13" max="13" width="6.453125" style="4" customWidth="1"/>
    <col min="14" max="14" width="8.7265625" style="4" customWidth="1"/>
    <col min="15" max="15" width="6.54296875" style="4" customWidth="1"/>
    <col min="16" max="18" width="6.453125" style="4" customWidth="1"/>
    <col min="19" max="19" width="8.7265625" style="4"/>
    <col min="20" max="20" width="5.81640625" style="4" customWidth="1"/>
    <col min="21" max="21" width="5.36328125" style="4" customWidth="1"/>
    <col min="22" max="22" width="5.6328125" style="4" customWidth="1"/>
    <col min="23" max="23" width="8.7265625" style="4"/>
    <col min="24" max="24" width="13.6328125" style="4" customWidth="1"/>
    <col min="25" max="16384" width="8.7265625" style="4"/>
  </cols>
  <sheetData>
    <row r="1" spans="1:26" s="2" customFormat="1" ht="42" x14ac:dyDescent="0.25">
      <c r="A1" s="1"/>
      <c r="B1" s="5"/>
      <c r="C1" s="5" t="s">
        <v>40</v>
      </c>
      <c r="D1" s="5" t="s">
        <v>76</v>
      </c>
      <c r="E1" s="5" t="s">
        <v>63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47</v>
      </c>
      <c r="L1" s="5" t="s">
        <v>46</v>
      </c>
      <c r="M1" s="5" t="s">
        <v>48</v>
      </c>
      <c r="N1" s="5" t="s">
        <v>49</v>
      </c>
      <c r="O1" s="6" t="s">
        <v>50</v>
      </c>
      <c r="P1" s="6" t="s">
        <v>51</v>
      </c>
      <c r="Q1" s="6" t="s">
        <v>204</v>
      </c>
      <c r="R1" s="6" t="s">
        <v>214</v>
      </c>
      <c r="S1" s="8" t="s">
        <v>38</v>
      </c>
      <c r="T1" s="8" t="s">
        <v>39</v>
      </c>
      <c r="U1" s="42" t="s">
        <v>274</v>
      </c>
      <c r="V1" s="42" t="s">
        <v>244</v>
      </c>
    </row>
    <row r="2" spans="1:26" s="12" customFormat="1" x14ac:dyDescent="0.25">
      <c r="A2" s="3">
        <v>45717</v>
      </c>
      <c r="B2" s="9" t="s">
        <v>0</v>
      </c>
      <c r="C2" s="10">
        <v>18050</v>
      </c>
      <c r="D2" s="9">
        <v>4775</v>
      </c>
      <c r="E2" s="9"/>
      <c r="F2" s="9">
        <v>475</v>
      </c>
      <c r="G2" s="9">
        <v>4300</v>
      </c>
      <c r="H2" s="9">
        <v>12264</v>
      </c>
      <c r="I2" s="9">
        <v>5510</v>
      </c>
      <c r="J2" s="9">
        <v>5490</v>
      </c>
      <c r="K2" s="9">
        <v>49</v>
      </c>
      <c r="L2" s="9">
        <v>81</v>
      </c>
      <c r="M2" s="9">
        <v>24</v>
      </c>
      <c r="N2" s="9">
        <v>37.5</v>
      </c>
      <c r="O2" s="9">
        <v>260</v>
      </c>
      <c r="P2" s="11">
        <v>21</v>
      </c>
      <c r="Q2" s="11"/>
      <c r="R2" s="11"/>
      <c r="S2" s="9">
        <v>25</v>
      </c>
      <c r="T2" s="9">
        <v>50</v>
      </c>
    </row>
    <row r="3" spans="1:26" x14ac:dyDescent="0.25">
      <c r="A3" s="3">
        <v>45717</v>
      </c>
      <c r="B3" s="7" t="s">
        <v>1</v>
      </c>
      <c r="C3" s="7">
        <v>-2000</v>
      </c>
      <c r="D3" s="7">
        <v>-625</v>
      </c>
      <c r="E3" s="7"/>
      <c r="F3" s="7">
        <v>-125</v>
      </c>
      <c r="G3" s="7">
        <v>-450</v>
      </c>
      <c r="H3" s="7">
        <v>-850</v>
      </c>
      <c r="I3" s="7">
        <v>-550</v>
      </c>
      <c r="J3" s="7">
        <v>-400</v>
      </c>
      <c r="K3" s="7">
        <v>-5</v>
      </c>
      <c r="L3" s="7">
        <v>-15</v>
      </c>
      <c r="M3" s="7"/>
      <c r="N3" s="7">
        <v>-2.5</v>
      </c>
      <c r="O3" s="7"/>
      <c r="P3" s="7"/>
      <c r="Q3" s="7"/>
      <c r="R3" s="7"/>
      <c r="S3" s="7">
        <v>100</v>
      </c>
      <c r="T3" s="7"/>
      <c r="X3" s="4" t="s">
        <v>270</v>
      </c>
      <c r="Y3" s="43">
        <f>C190+C218+C548+C560+C604+C625+C649+C688+C689+C704+C741+C744+C751+C755+C777+C789+C828+C841+C843+C855+C884+C944</f>
        <v>16336</v>
      </c>
      <c r="Z3" s="29"/>
    </row>
    <row r="4" spans="1:26" x14ac:dyDescent="0.25">
      <c r="A4" s="3">
        <v>45719</v>
      </c>
      <c r="B4" s="7" t="s">
        <v>2</v>
      </c>
      <c r="C4" s="7">
        <v>-1600</v>
      </c>
      <c r="D4" s="7">
        <v>-500</v>
      </c>
      <c r="E4" s="7"/>
      <c r="F4" s="7">
        <v>-100</v>
      </c>
      <c r="G4" s="7">
        <v>-360</v>
      </c>
      <c r="H4" s="7">
        <v>-680</v>
      </c>
      <c r="I4" s="7">
        <v>-440</v>
      </c>
      <c r="J4" s="7">
        <v>-320</v>
      </c>
      <c r="K4" s="7">
        <v>-4</v>
      </c>
      <c r="L4" s="7">
        <v>-12</v>
      </c>
      <c r="M4" s="7"/>
      <c r="N4" s="7">
        <v>-2</v>
      </c>
      <c r="O4" s="7"/>
      <c r="P4" s="7"/>
      <c r="Q4" s="7"/>
      <c r="R4" s="7"/>
      <c r="S4" s="7">
        <v>80</v>
      </c>
      <c r="T4" s="7"/>
      <c r="Y4" s="44">
        <v>46950</v>
      </c>
    </row>
    <row r="5" spans="1:26" x14ac:dyDescent="0.25">
      <c r="A5" s="3">
        <v>45719</v>
      </c>
      <c r="B5" s="7" t="s">
        <v>3</v>
      </c>
      <c r="C5" s="7">
        <v>-400</v>
      </c>
      <c r="D5" s="7">
        <v>-125</v>
      </c>
      <c r="E5" s="7"/>
      <c r="F5" s="7">
        <v>-25</v>
      </c>
      <c r="G5" s="7">
        <v>-90</v>
      </c>
      <c r="H5" s="7">
        <v>-170</v>
      </c>
      <c r="I5" s="7">
        <v>-110</v>
      </c>
      <c r="J5" s="7">
        <v>-80</v>
      </c>
      <c r="K5" s="7">
        <v>-1</v>
      </c>
      <c r="L5" s="7">
        <v>-3</v>
      </c>
      <c r="M5" s="7"/>
      <c r="N5" s="7">
        <v>-0.5</v>
      </c>
      <c r="O5" s="7"/>
      <c r="P5" s="7"/>
      <c r="Q5" s="7"/>
      <c r="R5" s="7"/>
      <c r="S5" s="7"/>
      <c r="T5" s="7"/>
      <c r="Y5" s="44">
        <f>Y4*12</f>
        <v>563400</v>
      </c>
    </row>
    <row r="6" spans="1:26" x14ac:dyDescent="0.25">
      <c r="A6" s="3">
        <v>45721</v>
      </c>
      <c r="B6" s="7" t="s">
        <v>4</v>
      </c>
      <c r="C6" s="7">
        <v>-800</v>
      </c>
      <c r="D6" s="7">
        <v>-250</v>
      </c>
      <c r="E6" s="7"/>
      <c r="F6" s="7">
        <v>-50</v>
      </c>
      <c r="G6" s="7">
        <v>-180</v>
      </c>
      <c r="H6" s="7">
        <v>-340</v>
      </c>
      <c r="I6" s="7">
        <v>-220</v>
      </c>
      <c r="J6" s="7">
        <v>-160</v>
      </c>
      <c r="K6" s="7">
        <v>-2</v>
      </c>
      <c r="L6" s="7">
        <v>-6</v>
      </c>
      <c r="M6" s="7"/>
      <c r="N6" s="7">
        <v>-1</v>
      </c>
      <c r="O6" s="7"/>
      <c r="P6" s="7"/>
      <c r="Q6" s="7"/>
      <c r="R6" s="7"/>
      <c r="S6" s="7"/>
      <c r="T6" s="7"/>
      <c r="Y6" s="44">
        <f>Y5/100</f>
        <v>5634</v>
      </c>
    </row>
    <row r="7" spans="1:26" x14ac:dyDescent="0.25">
      <c r="A7" s="3">
        <v>45721</v>
      </c>
      <c r="B7" s="7" t="s">
        <v>5</v>
      </c>
      <c r="C7" s="7">
        <v>-800</v>
      </c>
      <c r="D7" s="7">
        <v>-250</v>
      </c>
      <c r="E7" s="7"/>
      <c r="F7" s="7">
        <v>-50</v>
      </c>
      <c r="G7" s="7">
        <v>-180</v>
      </c>
      <c r="H7" s="7">
        <v>-340</v>
      </c>
      <c r="I7" s="7">
        <v>-220</v>
      </c>
      <c r="J7" s="7">
        <v>-160</v>
      </c>
      <c r="K7" s="7">
        <v>-2</v>
      </c>
      <c r="L7" s="7">
        <v>-6</v>
      </c>
      <c r="M7" s="7"/>
      <c r="N7" s="7">
        <v>-1</v>
      </c>
      <c r="O7" s="7"/>
      <c r="P7" s="7"/>
      <c r="Q7" s="7"/>
      <c r="R7" s="7"/>
      <c r="S7" s="7">
        <v>40</v>
      </c>
      <c r="T7" s="7"/>
      <c r="X7" s="4" t="s">
        <v>269</v>
      </c>
      <c r="Y7" s="43">
        <f>Y5-Y3</f>
        <v>547064</v>
      </c>
    </row>
    <row r="8" spans="1:26" x14ac:dyDescent="0.25">
      <c r="A8" s="3">
        <v>45721</v>
      </c>
      <c r="B8" s="7" t="s">
        <v>6</v>
      </c>
      <c r="C8" s="7"/>
      <c r="D8" s="7"/>
      <c r="E8" s="7"/>
      <c r="F8" s="7"/>
      <c r="G8" s="7"/>
      <c r="H8" s="7">
        <v>10550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X8" s="4" t="s">
        <v>271</v>
      </c>
      <c r="Y8" s="44">
        <f>Y7/100</f>
        <v>5470.64</v>
      </c>
    </row>
    <row r="9" spans="1:26" x14ac:dyDescent="0.25">
      <c r="A9" s="3">
        <v>45721</v>
      </c>
      <c r="B9" s="7" t="s">
        <v>7</v>
      </c>
      <c r="C9" s="7"/>
      <c r="D9" s="7"/>
      <c r="E9" s="7"/>
      <c r="F9" s="7"/>
      <c r="G9" s="7"/>
      <c r="H9" s="7"/>
      <c r="I9" s="7"/>
      <c r="J9" s="7"/>
      <c r="K9" s="7">
        <v>100</v>
      </c>
      <c r="L9" s="7"/>
      <c r="M9" s="7"/>
      <c r="N9" s="7"/>
      <c r="O9" s="7"/>
      <c r="P9" s="7"/>
      <c r="Q9" s="7"/>
      <c r="R9" s="7"/>
      <c r="S9" s="7"/>
      <c r="T9" s="7"/>
      <c r="X9" s="4" t="s">
        <v>272</v>
      </c>
      <c r="Y9" s="44">
        <f>Y3/90</f>
        <v>181.51111111111112</v>
      </c>
    </row>
    <row r="10" spans="1:26" x14ac:dyDescent="0.25">
      <c r="A10" s="3">
        <v>45722</v>
      </c>
      <c r="B10" s="7" t="s">
        <v>2</v>
      </c>
      <c r="C10" s="7">
        <v>-1600</v>
      </c>
      <c r="D10" s="7">
        <v>-500</v>
      </c>
      <c r="E10" s="7"/>
      <c r="F10" s="7">
        <v>-100</v>
      </c>
      <c r="G10" s="7">
        <v>-360</v>
      </c>
      <c r="H10" s="7">
        <v>-680</v>
      </c>
      <c r="I10" s="7">
        <v>-440</v>
      </c>
      <c r="J10" s="7">
        <v>-320</v>
      </c>
      <c r="K10" s="7">
        <v>-4</v>
      </c>
      <c r="L10" s="7">
        <v>-12</v>
      </c>
      <c r="M10" s="7"/>
      <c r="N10" s="7">
        <v>-2</v>
      </c>
      <c r="O10" s="7"/>
      <c r="P10" s="7"/>
      <c r="Q10" s="7"/>
      <c r="R10" s="7"/>
      <c r="S10" s="7">
        <v>80</v>
      </c>
      <c r="T10" s="7"/>
    </row>
    <row r="11" spans="1:26" x14ac:dyDescent="0.25">
      <c r="A11" s="3">
        <v>45722</v>
      </c>
      <c r="B11" s="7" t="s">
        <v>3</v>
      </c>
      <c r="C11" s="7">
        <v>-400</v>
      </c>
      <c r="D11" s="7">
        <v>-125</v>
      </c>
      <c r="E11" s="7"/>
      <c r="F11" s="7">
        <v>-25</v>
      </c>
      <c r="G11" s="7">
        <v>-90</v>
      </c>
      <c r="H11" s="7">
        <v>-170</v>
      </c>
      <c r="I11" s="7">
        <v>-110</v>
      </c>
      <c r="J11" s="7">
        <v>-80</v>
      </c>
      <c r="K11" s="7">
        <v>-1</v>
      </c>
      <c r="L11" s="7">
        <v>-3</v>
      </c>
      <c r="M11" s="7"/>
      <c r="N11" s="7">
        <v>-0.5</v>
      </c>
      <c r="O11" s="7"/>
      <c r="P11" s="7"/>
      <c r="Q11" s="7"/>
      <c r="R11" s="7"/>
      <c r="S11" s="7"/>
      <c r="T11" s="7"/>
    </row>
    <row r="12" spans="1:26" x14ac:dyDescent="0.25">
      <c r="A12" s="3">
        <v>45722</v>
      </c>
      <c r="B12" s="7" t="s">
        <v>8</v>
      </c>
      <c r="C12" s="7"/>
      <c r="D12" s="7"/>
      <c r="E12" s="7"/>
      <c r="F12" s="7"/>
      <c r="G12" s="7">
        <v>11000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6" x14ac:dyDescent="0.25">
      <c r="A13" s="3">
        <v>45723</v>
      </c>
      <c r="B13" s="7" t="s">
        <v>9</v>
      </c>
      <c r="C13" s="7">
        <v>12000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6" x14ac:dyDescent="0.25">
      <c r="A14" s="3">
        <v>45723</v>
      </c>
      <c r="B14" s="7" t="s">
        <v>10</v>
      </c>
      <c r="C14" s="7"/>
      <c r="D14" s="7"/>
      <c r="E14" s="7"/>
      <c r="F14" s="7">
        <v>1600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6" x14ac:dyDescent="0.25">
      <c r="A15" s="3">
        <v>45723</v>
      </c>
      <c r="B15" s="7" t="s">
        <v>11</v>
      </c>
      <c r="C15" s="7">
        <v>-1040</v>
      </c>
      <c r="D15" s="7">
        <v>-260</v>
      </c>
      <c r="E15" s="7"/>
      <c r="F15" s="7"/>
      <c r="G15" s="7">
        <v>-20</v>
      </c>
      <c r="H15" s="7">
        <v>-620</v>
      </c>
      <c r="I15" s="7"/>
      <c r="J15" s="7">
        <v>-60</v>
      </c>
      <c r="K15" s="7"/>
      <c r="L15" s="7"/>
      <c r="M15" s="7">
        <v>-0.6</v>
      </c>
      <c r="N15" s="7"/>
      <c r="O15" s="7">
        <v>-55</v>
      </c>
      <c r="P15" s="7">
        <v>-2</v>
      </c>
      <c r="Q15" s="7"/>
      <c r="R15" s="7"/>
      <c r="S15" s="7"/>
      <c r="T15" s="7">
        <v>40</v>
      </c>
    </row>
    <row r="16" spans="1:26" x14ac:dyDescent="0.25">
      <c r="A16" s="3">
        <v>45723</v>
      </c>
      <c r="B16" s="7" t="s">
        <v>4</v>
      </c>
      <c r="C16" s="7">
        <v>-800</v>
      </c>
      <c r="D16" s="7">
        <v>-250</v>
      </c>
      <c r="E16" s="7"/>
      <c r="F16" s="7">
        <v>-50</v>
      </c>
      <c r="G16" s="7">
        <v>-180</v>
      </c>
      <c r="H16" s="7">
        <v>-340</v>
      </c>
      <c r="I16" s="7">
        <v>-220</v>
      </c>
      <c r="J16" s="7">
        <v>-160</v>
      </c>
      <c r="K16" s="7">
        <v>-2</v>
      </c>
      <c r="L16" s="7">
        <v>-6</v>
      </c>
      <c r="M16" s="7"/>
      <c r="N16" s="7">
        <v>-1</v>
      </c>
      <c r="O16" s="7"/>
      <c r="P16" s="7"/>
      <c r="Q16" s="7"/>
      <c r="R16" s="7"/>
      <c r="S16" s="7"/>
      <c r="T16" s="7"/>
    </row>
    <row r="17" spans="1:20" x14ac:dyDescent="0.25">
      <c r="A17" s="3">
        <v>45724</v>
      </c>
      <c r="B17" s="7" t="s">
        <v>12</v>
      </c>
      <c r="C17" s="7"/>
      <c r="D17" s="7"/>
      <c r="E17" s="7"/>
      <c r="F17" s="7"/>
      <c r="G17" s="7"/>
      <c r="H17" s="7"/>
      <c r="I17" s="7"/>
      <c r="J17" s="7"/>
      <c r="K17" s="7"/>
      <c r="L17" s="7">
        <v>250</v>
      </c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3">
        <v>45724</v>
      </c>
      <c r="B18" s="7" t="s">
        <v>13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25</v>
      </c>
      <c r="O18" s="7"/>
      <c r="P18" s="7"/>
      <c r="Q18" s="7"/>
      <c r="R18" s="7"/>
      <c r="S18" s="7"/>
      <c r="T18" s="7"/>
    </row>
    <row r="19" spans="1:20" x14ac:dyDescent="0.25">
      <c r="A19" s="3">
        <v>45724</v>
      </c>
      <c r="B19" s="7" t="s">
        <v>14</v>
      </c>
      <c r="C19" s="7"/>
      <c r="D19" s="7"/>
      <c r="E19" s="7"/>
      <c r="F19" s="7"/>
      <c r="G19" s="7"/>
      <c r="H19" s="7"/>
      <c r="I19" s="7">
        <v>9800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3">
        <v>45724</v>
      </c>
      <c r="B20" s="7" t="s">
        <v>2</v>
      </c>
      <c r="C20" s="7">
        <v>-1600</v>
      </c>
      <c r="D20" s="7">
        <v>-500</v>
      </c>
      <c r="E20" s="7"/>
      <c r="F20" s="7">
        <v>-100</v>
      </c>
      <c r="G20" s="7">
        <v>-360</v>
      </c>
      <c r="H20" s="7">
        <v>-680</v>
      </c>
      <c r="I20" s="7">
        <v>-440</v>
      </c>
      <c r="J20" s="7">
        <v>-320</v>
      </c>
      <c r="K20" s="7">
        <v>-4</v>
      </c>
      <c r="L20" s="7">
        <v>-12</v>
      </c>
      <c r="M20" s="7"/>
      <c r="N20" s="7">
        <v>-2</v>
      </c>
      <c r="O20" s="7"/>
      <c r="P20" s="7"/>
      <c r="Q20" s="7"/>
      <c r="R20" s="7"/>
      <c r="S20" s="7">
        <v>80</v>
      </c>
      <c r="T20" s="7"/>
    </row>
    <row r="21" spans="1:20" x14ac:dyDescent="0.25">
      <c r="A21" s="3">
        <v>45724</v>
      </c>
      <c r="B21" s="7" t="s">
        <v>29</v>
      </c>
      <c r="C21" s="7"/>
      <c r="D21" s="7"/>
      <c r="E21" s="7"/>
      <c r="F21" s="7"/>
      <c r="G21" s="7"/>
      <c r="H21" s="7">
        <v>-4150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3">
        <v>45724</v>
      </c>
      <c r="B22" s="7" t="s">
        <v>3</v>
      </c>
      <c r="C22" s="7">
        <v>-400</v>
      </c>
      <c r="D22" s="7">
        <v>-125</v>
      </c>
      <c r="E22" s="7"/>
      <c r="F22" s="7">
        <v>-25</v>
      </c>
      <c r="G22" s="7">
        <v>-90</v>
      </c>
      <c r="H22" s="7">
        <v>-170</v>
      </c>
      <c r="I22" s="7">
        <v>-110</v>
      </c>
      <c r="J22" s="7">
        <v>-80</v>
      </c>
      <c r="K22" s="7">
        <v>-1</v>
      </c>
      <c r="L22" s="7">
        <v>-3</v>
      </c>
      <c r="M22" s="7"/>
      <c r="N22" s="7">
        <v>-0.5</v>
      </c>
      <c r="O22" s="7"/>
      <c r="P22" s="7"/>
      <c r="Q22" s="7"/>
      <c r="R22" s="7"/>
      <c r="S22" s="7"/>
      <c r="T22" s="7"/>
    </row>
    <row r="23" spans="1:20" x14ac:dyDescent="0.25">
      <c r="A23" s="3">
        <v>45725</v>
      </c>
      <c r="B23" s="7" t="s">
        <v>15</v>
      </c>
      <c r="C23" s="7">
        <v>-2400</v>
      </c>
      <c r="D23" s="7">
        <v>-750</v>
      </c>
      <c r="E23" s="7"/>
      <c r="F23" s="7">
        <v>-150</v>
      </c>
      <c r="G23" s="7">
        <v>-540</v>
      </c>
      <c r="H23" s="7">
        <v>-1020</v>
      </c>
      <c r="I23" s="7">
        <v>-660</v>
      </c>
      <c r="J23" s="7">
        <v>-480</v>
      </c>
      <c r="K23" s="7">
        <v>-6</v>
      </c>
      <c r="L23" s="7">
        <v>-18</v>
      </c>
      <c r="M23" s="7"/>
      <c r="N23" s="7">
        <v>-3</v>
      </c>
      <c r="O23" s="7"/>
      <c r="P23" s="7"/>
      <c r="Q23" s="7"/>
      <c r="R23" s="7"/>
      <c r="S23" s="7">
        <v>120</v>
      </c>
      <c r="T23" s="7"/>
    </row>
    <row r="24" spans="1:20" x14ac:dyDescent="0.25">
      <c r="A24" s="3">
        <v>45725</v>
      </c>
      <c r="B24" s="7" t="s">
        <v>16</v>
      </c>
      <c r="C24" s="7">
        <v>-1600</v>
      </c>
      <c r="D24" s="7">
        <v>-500</v>
      </c>
      <c r="E24" s="7"/>
      <c r="F24" s="7">
        <v>-100</v>
      </c>
      <c r="G24" s="7">
        <v>-360</v>
      </c>
      <c r="H24" s="7">
        <v>-680</v>
      </c>
      <c r="I24" s="7">
        <v>-440</v>
      </c>
      <c r="J24" s="7">
        <v>-320</v>
      </c>
      <c r="K24" s="7">
        <v>-4</v>
      </c>
      <c r="L24" s="7">
        <v>-12</v>
      </c>
      <c r="M24" s="7"/>
      <c r="N24" s="7">
        <v>-2</v>
      </c>
      <c r="O24" s="7"/>
      <c r="P24" s="7"/>
      <c r="Q24" s="7"/>
      <c r="R24" s="7"/>
      <c r="S24" s="7"/>
      <c r="T24" s="7"/>
    </row>
    <row r="25" spans="1:20" x14ac:dyDescent="0.25">
      <c r="A25" s="3">
        <v>45727</v>
      </c>
      <c r="B25" s="7" t="s">
        <v>17</v>
      </c>
      <c r="C25" s="7"/>
      <c r="D25" s="7">
        <v>7500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3">
        <v>45727</v>
      </c>
      <c r="B26" s="7" t="s">
        <v>18</v>
      </c>
      <c r="C26" s="7"/>
      <c r="D26" s="7"/>
      <c r="E26" s="7"/>
      <c r="F26" s="7"/>
      <c r="G26" s="7"/>
      <c r="H26" s="7">
        <v>3400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3">
        <v>45727</v>
      </c>
      <c r="B27" s="7" t="s">
        <v>19</v>
      </c>
      <c r="C27" s="7"/>
      <c r="D27" s="7"/>
      <c r="E27" s="7"/>
      <c r="F27" s="7"/>
      <c r="G27" s="7"/>
      <c r="H27" s="7"/>
      <c r="I27" s="7"/>
      <c r="J27" s="7">
        <v>1600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3">
        <v>45727</v>
      </c>
      <c r="B28" s="7" t="s">
        <v>1</v>
      </c>
      <c r="C28" s="7">
        <v>-2000</v>
      </c>
      <c r="D28" s="7">
        <v>-625</v>
      </c>
      <c r="E28" s="7"/>
      <c r="F28" s="7">
        <v>-125</v>
      </c>
      <c r="G28" s="7">
        <v>-450</v>
      </c>
      <c r="H28" s="7">
        <v>-850</v>
      </c>
      <c r="I28" s="7">
        <v>-550</v>
      </c>
      <c r="J28" s="7">
        <v>-400</v>
      </c>
      <c r="K28" s="7">
        <v>-5</v>
      </c>
      <c r="L28" s="7">
        <v>-15</v>
      </c>
      <c r="M28" s="7"/>
      <c r="N28" s="7">
        <v>-2.5</v>
      </c>
      <c r="O28" s="7"/>
      <c r="P28" s="7"/>
      <c r="Q28" s="7"/>
      <c r="R28" s="7"/>
      <c r="S28" s="7">
        <v>100</v>
      </c>
      <c r="T28" s="7"/>
    </row>
    <row r="29" spans="1:20" x14ac:dyDescent="0.25">
      <c r="A29" s="3">
        <v>45728</v>
      </c>
      <c r="B29" s="7" t="s">
        <v>20</v>
      </c>
      <c r="C29" s="7">
        <v>-2100</v>
      </c>
      <c r="D29" s="7">
        <v>-875</v>
      </c>
      <c r="E29" s="7"/>
      <c r="F29" s="7">
        <v>-175</v>
      </c>
      <c r="G29" s="7">
        <v>-630</v>
      </c>
      <c r="H29" s="7">
        <v>-1190</v>
      </c>
      <c r="I29" s="7">
        <v>-770</v>
      </c>
      <c r="J29" s="7">
        <v>-560</v>
      </c>
      <c r="K29" s="7">
        <v>-7</v>
      </c>
      <c r="L29" s="7">
        <v>-21</v>
      </c>
      <c r="M29" s="7"/>
      <c r="N29" s="7">
        <v>-3.5</v>
      </c>
      <c r="O29" s="7"/>
      <c r="P29" s="7"/>
      <c r="Q29" s="7"/>
      <c r="R29" s="7"/>
      <c r="S29" s="7">
        <v>140</v>
      </c>
      <c r="T29" s="7"/>
    </row>
    <row r="30" spans="1:20" x14ac:dyDescent="0.25">
      <c r="A30" s="3">
        <v>45728</v>
      </c>
      <c r="B30" s="7" t="s">
        <v>4</v>
      </c>
      <c r="C30" s="7">
        <v>-800</v>
      </c>
      <c r="D30" s="7">
        <v>-250</v>
      </c>
      <c r="E30" s="7"/>
      <c r="F30" s="7">
        <v>-50</v>
      </c>
      <c r="G30" s="7">
        <v>-180</v>
      </c>
      <c r="H30" s="7">
        <v>-340</v>
      </c>
      <c r="I30" s="7">
        <v>-220</v>
      </c>
      <c r="J30" s="7">
        <v>-160</v>
      </c>
      <c r="K30" s="7">
        <v>-2</v>
      </c>
      <c r="L30" s="7">
        <v>-6</v>
      </c>
      <c r="M30" s="7"/>
      <c r="N30" s="7">
        <v>-1</v>
      </c>
      <c r="O30" s="7"/>
      <c r="P30" s="7"/>
      <c r="Q30" s="7"/>
      <c r="R30" s="7"/>
      <c r="S30" s="7"/>
      <c r="T30" s="7"/>
    </row>
    <row r="31" spans="1:20" x14ac:dyDescent="0.25">
      <c r="A31" s="3">
        <v>45729</v>
      </c>
      <c r="B31" s="7" t="s">
        <v>21</v>
      </c>
      <c r="C31" s="7">
        <v>-4800</v>
      </c>
      <c r="D31" s="7">
        <v>-1550</v>
      </c>
      <c r="E31" s="7"/>
      <c r="F31" s="7">
        <v>-300</v>
      </c>
      <c r="G31" s="7">
        <v>-1080</v>
      </c>
      <c r="H31" s="7">
        <v>-2040</v>
      </c>
      <c r="I31" s="7">
        <v>-1320</v>
      </c>
      <c r="J31" s="7">
        <v>-480</v>
      </c>
      <c r="K31" s="7">
        <v>-12</v>
      </c>
      <c r="L31" s="7">
        <v>-36</v>
      </c>
      <c r="M31" s="7"/>
      <c r="N31" s="7">
        <v>-6</v>
      </c>
      <c r="O31" s="7"/>
      <c r="P31" s="7"/>
      <c r="Q31" s="7"/>
      <c r="R31" s="7"/>
      <c r="S31" s="7">
        <v>240</v>
      </c>
      <c r="T31" s="7"/>
    </row>
    <row r="32" spans="1:20" x14ac:dyDescent="0.25">
      <c r="A32" s="3">
        <v>45729</v>
      </c>
      <c r="B32" s="7" t="s">
        <v>4</v>
      </c>
      <c r="C32" s="7">
        <v>-800</v>
      </c>
      <c r="D32" s="7">
        <v>-250</v>
      </c>
      <c r="E32" s="7"/>
      <c r="F32" s="7">
        <v>-50</v>
      </c>
      <c r="G32" s="7">
        <v>-180</v>
      </c>
      <c r="H32" s="7">
        <v>-340</v>
      </c>
      <c r="I32" s="7">
        <v>-220</v>
      </c>
      <c r="J32" s="7">
        <v>-160</v>
      </c>
      <c r="K32" s="7">
        <v>-2</v>
      </c>
      <c r="L32" s="7">
        <v>-6</v>
      </c>
      <c r="M32" s="7"/>
      <c r="N32" s="7">
        <v>-1</v>
      </c>
      <c r="O32" s="7"/>
      <c r="P32" s="7"/>
      <c r="Q32" s="7"/>
      <c r="R32" s="7"/>
      <c r="S32" s="7"/>
      <c r="T32" s="7"/>
    </row>
    <row r="33" spans="1:20" x14ac:dyDescent="0.25">
      <c r="A33" s="3">
        <v>45730</v>
      </c>
      <c r="B33" s="7" t="s">
        <v>9</v>
      </c>
      <c r="C33" s="7">
        <v>12000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3">
        <v>45730</v>
      </c>
      <c r="B34" s="7" t="s">
        <v>22</v>
      </c>
      <c r="C34" s="7"/>
      <c r="D34" s="7">
        <v>11950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3">
        <v>45730</v>
      </c>
      <c r="B35" s="7" t="s">
        <v>11</v>
      </c>
      <c r="C35" s="7">
        <v>-1040</v>
      </c>
      <c r="D35" s="7">
        <v>-260</v>
      </c>
      <c r="E35" s="7"/>
      <c r="F35" s="7"/>
      <c r="G35" s="7">
        <v>-20</v>
      </c>
      <c r="H35" s="7">
        <v>-620</v>
      </c>
      <c r="I35" s="7"/>
      <c r="J35" s="7">
        <v>-60</v>
      </c>
      <c r="K35" s="7"/>
      <c r="L35" s="7"/>
      <c r="M35" s="7">
        <v>-0.6</v>
      </c>
      <c r="N35" s="7"/>
      <c r="O35" s="7">
        <v>-55</v>
      </c>
      <c r="P35" s="7">
        <v>-2</v>
      </c>
      <c r="Q35" s="7"/>
      <c r="R35" s="7"/>
      <c r="S35" s="7"/>
      <c r="T35" s="7">
        <v>40</v>
      </c>
    </row>
    <row r="36" spans="1:20" x14ac:dyDescent="0.25">
      <c r="A36" s="3">
        <v>45730</v>
      </c>
      <c r="B36" s="7" t="s">
        <v>16</v>
      </c>
      <c r="C36" s="7">
        <v>-1600</v>
      </c>
      <c r="D36" s="7">
        <v>-500</v>
      </c>
      <c r="E36" s="7"/>
      <c r="F36" s="7">
        <v>-100</v>
      </c>
      <c r="G36" s="7">
        <v>-360</v>
      </c>
      <c r="H36" s="7">
        <v>-680</v>
      </c>
      <c r="I36" s="7">
        <v>-440</v>
      </c>
      <c r="J36" s="7">
        <v>-320</v>
      </c>
      <c r="K36" s="7">
        <v>-4</v>
      </c>
      <c r="L36" s="7">
        <v>-12</v>
      </c>
      <c r="M36" s="7"/>
      <c r="N36" s="7">
        <v>-2</v>
      </c>
      <c r="O36" s="7"/>
      <c r="P36" s="7"/>
      <c r="Q36" s="7"/>
      <c r="R36" s="7"/>
      <c r="S36" s="7"/>
      <c r="T36" s="7"/>
    </row>
    <row r="37" spans="1:20" x14ac:dyDescent="0.25">
      <c r="A37" s="3">
        <v>45733</v>
      </c>
      <c r="B37" s="7" t="s">
        <v>23</v>
      </c>
      <c r="C37" s="7">
        <v>-5400</v>
      </c>
      <c r="D37" s="7">
        <v>-1125</v>
      </c>
      <c r="E37" s="7"/>
      <c r="F37" s="7">
        <v>-225</v>
      </c>
      <c r="G37" s="7">
        <v>-810</v>
      </c>
      <c r="H37" s="7">
        <v>-1530</v>
      </c>
      <c r="I37" s="7">
        <v>-990</v>
      </c>
      <c r="J37" s="7">
        <v>-720</v>
      </c>
      <c r="K37" s="7">
        <v>-9</v>
      </c>
      <c r="L37" s="7">
        <v>-27</v>
      </c>
      <c r="M37" s="7"/>
      <c r="N37" s="7">
        <v>-4.5</v>
      </c>
      <c r="O37" s="7"/>
      <c r="P37" s="7"/>
      <c r="Q37" s="7"/>
      <c r="R37" s="7"/>
      <c r="S37" s="7"/>
      <c r="T37" s="7"/>
    </row>
    <row r="38" spans="1:20" s="7" customFormat="1" x14ac:dyDescent="0.25">
      <c r="A38" s="3">
        <v>45733</v>
      </c>
      <c r="B38" s="7" t="s">
        <v>30</v>
      </c>
      <c r="S38" s="7">
        <v>-798</v>
      </c>
      <c r="T38" s="7">
        <v>-108</v>
      </c>
    </row>
    <row r="39" spans="1:20" x14ac:dyDescent="0.25">
      <c r="A39" s="3">
        <v>45734</v>
      </c>
      <c r="B39" s="7" t="s">
        <v>24</v>
      </c>
      <c r="C39" s="7">
        <v>-2000</v>
      </c>
      <c r="D39" s="7">
        <v>-625</v>
      </c>
      <c r="E39" s="7"/>
      <c r="F39" s="7">
        <v>-125</v>
      </c>
      <c r="G39" s="7">
        <v>-450</v>
      </c>
      <c r="H39" s="7">
        <v>-850</v>
      </c>
      <c r="I39" s="7">
        <v>-550</v>
      </c>
      <c r="J39" s="7">
        <v>-400</v>
      </c>
      <c r="K39" s="7">
        <v>-5</v>
      </c>
      <c r="L39" s="7">
        <v>-15</v>
      </c>
      <c r="M39" s="7"/>
      <c r="N39" s="7">
        <v>-2.5</v>
      </c>
      <c r="O39" s="7"/>
      <c r="P39" s="7"/>
      <c r="Q39" s="13"/>
      <c r="R39" s="13"/>
      <c r="S39" s="13"/>
      <c r="T39" s="13"/>
    </row>
    <row r="40" spans="1:20" x14ac:dyDescent="0.25">
      <c r="A40" s="3">
        <v>45734</v>
      </c>
      <c r="B40" s="7" t="s">
        <v>11</v>
      </c>
      <c r="C40" s="7">
        <v>-1040</v>
      </c>
      <c r="D40" s="7">
        <v>-260</v>
      </c>
      <c r="E40" s="7"/>
      <c r="F40" s="7"/>
      <c r="G40" s="7">
        <v>-20</v>
      </c>
      <c r="H40" s="7">
        <v>-620</v>
      </c>
      <c r="I40" s="7"/>
      <c r="J40" s="7">
        <v>-60</v>
      </c>
      <c r="K40" s="7"/>
      <c r="L40" s="7"/>
      <c r="M40" s="7">
        <v>-0.6</v>
      </c>
      <c r="N40" s="7"/>
      <c r="O40" s="7">
        <v>-55</v>
      </c>
      <c r="P40" s="7">
        <v>-2</v>
      </c>
      <c r="Q40" s="7"/>
      <c r="R40" s="7"/>
      <c r="S40" s="7"/>
      <c r="T40" s="7">
        <v>40</v>
      </c>
    </row>
    <row r="41" spans="1:20" x14ac:dyDescent="0.25">
      <c r="A41" s="3">
        <v>45734</v>
      </c>
      <c r="B41" s="13" t="s">
        <v>27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>
        <v>-48</v>
      </c>
      <c r="T41" s="13">
        <v>-8</v>
      </c>
    </row>
    <row r="42" spans="1:20" x14ac:dyDescent="0.25">
      <c r="A42" s="3">
        <v>45735</v>
      </c>
      <c r="B42" s="7" t="s">
        <v>32</v>
      </c>
      <c r="C42" s="7">
        <v>-520</v>
      </c>
      <c r="D42" s="7">
        <v>-130</v>
      </c>
      <c r="E42" s="7"/>
      <c r="F42" s="7"/>
      <c r="G42" s="7">
        <v>-10</v>
      </c>
      <c r="H42" s="7">
        <v>-310</v>
      </c>
      <c r="I42" s="7"/>
      <c r="J42" s="7">
        <v>-60</v>
      </c>
      <c r="K42" s="7"/>
      <c r="L42" s="7"/>
      <c r="M42" s="7">
        <v>-0.3</v>
      </c>
      <c r="N42" s="7"/>
      <c r="O42" s="7">
        <v>-27.5</v>
      </c>
      <c r="P42" s="7">
        <v>-1</v>
      </c>
      <c r="Q42" s="7"/>
      <c r="R42" s="7"/>
      <c r="S42" s="7"/>
      <c r="T42" s="7">
        <v>20</v>
      </c>
    </row>
    <row r="43" spans="1:20" x14ac:dyDescent="0.25">
      <c r="A43" s="3">
        <v>45735</v>
      </c>
      <c r="B43" s="7" t="s">
        <v>31</v>
      </c>
      <c r="C43" s="7">
        <v>-400</v>
      </c>
      <c r="D43" s="7">
        <v>-125</v>
      </c>
      <c r="E43" s="7"/>
      <c r="F43" s="7">
        <v>-25</v>
      </c>
      <c r="G43" s="7">
        <v>-90</v>
      </c>
      <c r="H43" s="7">
        <v>-170</v>
      </c>
      <c r="I43" s="7">
        <v>-110</v>
      </c>
      <c r="J43" s="7">
        <v>-80</v>
      </c>
      <c r="K43" s="7">
        <v>-1</v>
      </c>
      <c r="L43" s="7">
        <v>-3</v>
      </c>
      <c r="M43" s="7"/>
      <c r="N43" s="7">
        <v>-0.5</v>
      </c>
      <c r="O43" s="7"/>
      <c r="P43" s="7"/>
      <c r="Q43" s="7"/>
      <c r="R43" s="7"/>
      <c r="S43" s="7">
        <v>20</v>
      </c>
      <c r="T43" s="13"/>
    </row>
    <row r="44" spans="1:20" x14ac:dyDescent="0.25">
      <c r="A44" s="3">
        <v>45735</v>
      </c>
      <c r="B44" s="13" t="s">
        <v>33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>
        <v>-48</v>
      </c>
      <c r="T44" s="13">
        <v>-8</v>
      </c>
    </row>
    <row r="45" spans="1:20" x14ac:dyDescent="0.25">
      <c r="A45" s="3">
        <v>45735</v>
      </c>
      <c r="B45" s="13" t="s">
        <v>10</v>
      </c>
      <c r="C45" s="13"/>
      <c r="D45" s="13"/>
      <c r="E45" s="13"/>
      <c r="F45" s="13">
        <v>500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x14ac:dyDescent="0.25">
      <c r="A46" s="3">
        <v>45736</v>
      </c>
      <c r="B46" s="13" t="s">
        <v>33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>
        <v>-48</v>
      </c>
      <c r="T46" s="13">
        <v>-8</v>
      </c>
    </row>
    <row r="47" spans="1:20" x14ac:dyDescent="0.25">
      <c r="A47" s="3">
        <v>45737</v>
      </c>
      <c r="B47" s="13" t="s">
        <v>34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>
        <v>250</v>
      </c>
      <c r="P47" s="13"/>
      <c r="Q47" s="13"/>
      <c r="R47" s="13"/>
      <c r="S47" s="13"/>
      <c r="T47" s="13"/>
    </row>
    <row r="48" spans="1:20" x14ac:dyDescent="0.25">
      <c r="A48" s="3">
        <v>45737</v>
      </c>
      <c r="B48" s="13" t="s">
        <v>35</v>
      </c>
      <c r="C48" s="13"/>
      <c r="D48" s="13"/>
      <c r="E48" s="13"/>
      <c r="F48" s="13">
        <v>1100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x14ac:dyDescent="0.25">
      <c r="A49" s="3">
        <v>45737</v>
      </c>
      <c r="B49" s="13" t="s">
        <v>36</v>
      </c>
      <c r="C49" s="13"/>
      <c r="D49" s="13"/>
      <c r="E49" s="13"/>
      <c r="F49" s="13"/>
      <c r="G49" s="13"/>
      <c r="H49" s="13">
        <v>7500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x14ac:dyDescent="0.25">
      <c r="A50" s="3">
        <v>45737</v>
      </c>
      <c r="B50" s="13" t="s">
        <v>19</v>
      </c>
      <c r="C50" s="13"/>
      <c r="D50" s="13"/>
      <c r="E50" s="13"/>
      <c r="F50" s="13"/>
      <c r="G50" s="13"/>
      <c r="H50" s="13"/>
      <c r="I50" s="13"/>
      <c r="J50" s="13">
        <v>3600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x14ac:dyDescent="0.25">
      <c r="A51" s="3">
        <v>45737</v>
      </c>
      <c r="B51" s="13" t="s">
        <v>37</v>
      </c>
      <c r="C51" s="13">
        <v>12000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x14ac:dyDescent="0.25">
      <c r="A52" s="3">
        <v>45737</v>
      </c>
      <c r="B52" s="7" t="s">
        <v>96</v>
      </c>
      <c r="C52" s="7">
        <v>-3200</v>
      </c>
      <c r="D52" s="7">
        <v>-100</v>
      </c>
      <c r="E52" s="7"/>
      <c r="F52" s="7">
        <v>-200</v>
      </c>
      <c r="G52" s="7">
        <v>-720</v>
      </c>
      <c r="H52" s="7">
        <v>-1360</v>
      </c>
      <c r="I52" s="7">
        <v>-880</v>
      </c>
      <c r="J52" s="7">
        <v>-640</v>
      </c>
      <c r="K52" s="7">
        <v>-8</v>
      </c>
      <c r="L52" s="7">
        <v>-24</v>
      </c>
      <c r="M52" s="7"/>
      <c r="N52" s="7">
        <v>-4</v>
      </c>
      <c r="O52" s="7"/>
      <c r="P52" s="7"/>
      <c r="Q52" s="7"/>
      <c r="R52" s="7"/>
      <c r="S52" s="7">
        <v>160</v>
      </c>
      <c r="T52" s="7"/>
    </row>
    <row r="53" spans="1:20" x14ac:dyDescent="0.25">
      <c r="A53" s="3">
        <v>45737</v>
      </c>
      <c r="B53" s="13" t="s">
        <v>33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>
        <v>-48</v>
      </c>
      <c r="T53" s="13">
        <v>-8</v>
      </c>
    </row>
    <row r="54" spans="1:20" x14ac:dyDescent="0.25">
      <c r="A54" s="3">
        <v>45738</v>
      </c>
      <c r="B54" s="7" t="s">
        <v>2</v>
      </c>
      <c r="C54" s="7">
        <v>-1600</v>
      </c>
      <c r="D54" s="7">
        <v>-500</v>
      </c>
      <c r="E54" s="7"/>
      <c r="F54" s="7">
        <v>-100</v>
      </c>
      <c r="G54" s="7">
        <v>-360</v>
      </c>
      <c r="H54" s="7">
        <v>-680</v>
      </c>
      <c r="I54" s="7">
        <v>-440</v>
      </c>
      <c r="J54" s="7">
        <v>-320</v>
      </c>
      <c r="K54" s="7">
        <v>-4</v>
      </c>
      <c r="L54" s="7">
        <v>-12</v>
      </c>
      <c r="M54" s="7"/>
      <c r="N54" s="7">
        <v>-2</v>
      </c>
      <c r="O54" s="7"/>
      <c r="P54" s="7"/>
      <c r="Q54" s="7"/>
      <c r="R54" s="7"/>
      <c r="S54" s="7">
        <v>80</v>
      </c>
      <c r="T54" s="7"/>
    </row>
    <row r="55" spans="1:20" x14ac:dyDescent="0.25">
      <c r="A55" s="3">
        <v>45738</v>
      </c>
      <c r="B55" s="13" t="s">
        <v>33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>
        <v>-48</v>
      </c>
      <c r="T55" s="13">
        <v>-8</v>
      </c>
    </row>
    <row r="56" spans="1:20" x14ac:dyDescent="0.25">
      <c r="A56" s="3">
        <v>45739</v>
      </c>
      <c r="B56" s="13" t="s">
        <v>33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-48</v>
      </c>
      <c r="T56" s="13">
        <v>-8</v>
      </c>
    </row>
    <row r="57" spans="1:20" x14ac:dyDescent="0.25">
      <c r="A57" s="3">
        <v>45740</v>
      </c>
      <c r="B57" s="7" t="s">
        <v>52</v>
      </c>
      <c r="C57" s="7">
        <v>-4000</v>
      </c>
      <c r="D57" s="7">
        <v>-1250</v>
      </c>
      <c r="E57" s="7"/>
      <c r="F57" s="7">
        <v>-250</v>
      </c>
      <c r="G57" s="7">
        <v>-900</v>
      </c>
      <c r="H57" s="7">
        <v>-1700</v>
      </c>
      <c r="I57" s="7">
        <v>-1100</v>
      </c>
      <c r="J57" s="7">
        <v>-800</v>
      </c>
      <c r="K57" s="7">
        <v>-10</v>
      </c>
      <c r="L57" s="7">
        <v>-30</v>
      </c>
      <c r="M57" s="7"/>
      <c r="N57" s="7">
        <v>-5</v>
      </c>
      <c r="O57" s="7"/>
      <c r="P57" s="7"/>
      <c r="Q57" s="7"/>
      <c r="R57" s="7"/>
      <c r="S57" s="7">
        <v>200</v>
      </c>
      <c r="T57" s="13"/>
    </row>
    <row r="58" spans="1:20" x14ac:dyDescent="0.25">
      <c r="A58" s="3">
        <v>45740</v>
      </c>
      <c r="B58" s="13" t="s">
        <v>33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>
        <v>-48</v>
      </c>
      <c r="T58" s="13">
        <v>-8</v>
      </c>
    </row>
    <row r="59" spans="1:20" x14ac:dyDescent="0.25">
      <c r="A59" s="3">
        <v>45741</v>
      </c>
      <c r="B59" s="7" t="s">
        <v>11</v>
      </c>
      <c r="C59" s="7">
        <v>-1040</v>
      </c>
      <c r="D59" s="7">
        <v>-260</v>
      </c>
      <c r="E59" s="7"/>
      <c r="F59" s="7"/>
      <c r="G59" s="7">
        <v>-20</v>
      </c>
      <c r="H59" s="7">
        <v>-620</v>
      </c>
      <c r="I59" s="7"/>
      <c r="J59" s="7">
        <v>-60</v>
      </c>
      <c r="K59" s="7"/>
      <c r="L59" s="7"/>
      <c r="M59" s="7">
        <v>-0.6</v>
      </c>
      <c r="N59" s="7"/>
      <c r="O59" s="7">
        <v>-55</v>
      </c>
      <c r="P59" s="7">
        <v>-2</v>
      </c>
      <c r="Q59" s="7"/>
      <c r="R59" s="7"/>
      <c r="S59" s="7"/>
      <c r="T59" s="7">
        <v>40</v>
      </c>
    </row>
    <row r="60" spans="1:20" x14ac:dyDescent="0.25">
      <c r="A60" s="3">
        <v>45741</v>
      </c>
      <c r="B60" s="7" t="s">
        <v>4</v>
      </c>
      <c r="C60" s="7">
        <v>-800</v>
      </c>
      <c r="D60" s="7">
        <v>-250</v>
      </c>
      <c r="E60" s="7"/>
      <c r="F60" s="7">
        <v>-50</v>
      </c>
      <c r="G60" s="7">
        <v>-180</v>
      </c>
      <c r="H60" s="7">
        <v>-340</v>
      </c>
      <c r="I60" s="7">
        <v>-220</v>
      </c>
      <c r="J60" s="7">
        <v>-160</v>
      </c>
      <c r="K60" s="7">
        <v>-2</v>
      </c>
      <c r="L60" s="7">
        <v>-6</v>
      </c>
      <c r="M60" s="7"/>
      <c r="N60" s="7">
        <v>-1</v>
      </c>
      <c r="O60" s="7"/>
      <c r="P60" s="7"/>
      <c r="Q60" s="7"/>
      <c r="R60" s="7"/>
      <c r="S60" s="7"/>
      <c r="T60" s="7"/>
    </row>
    <row r="61" spans="1:20" x14ac:dyDescent="0.25">
      <c r="A61" s="3">
        <v>45741</v>
      </c>
      <c r="B61" s="13" t="s">
        <v>33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>
        <v>-48</v>
      </c>
      <c r="T61" s="13">
        <v>-8</v>
      </c>
    </row>
    <row r="62" spans="1:20" x14ac:dyDescent="0.25">
      <c r="A62" s="3">
        <v>45741</v>
      </c>
      <c r="B62" s="13" t="s">
        <v>7</v>
      </c>
      <c r="C62" s="13"/>
      <c r="D62" s="13"/>
      <c r="E62" s="13"/>
      <c r="F62" s="13"/>
      <c r="G62" s="13"/>
      <c r="H62" s="13"/>
      <c r="I62" s="13"/>
      <c r="J62" s="13"/>
      <c r="K62" s="13">
        <v>100</v>
      </c>
      <c r="L62" s="13"/>
      <c r="M62" s="13"/>
      <c r="N62" s="13"/>
      <c r="O62" s="13"/>
      <c r="P62" s="13"/>
      <c r="Q62" s="13"/>
      <c r="R62" s="13"/>
      <c r="S62" s="13"/>
      <c r="T62" s="13"/>
    </row>
    <row r="63" spans="1:20" x14ac:dyDescent="0.25">
      <c r="A63" s="3">
        <v>45742</v>
      </c>
      <c r="B63" s="7" t="s">
        <v>4</v>
      </c>
      <c r="C63" s="7">
        <v>-800</v>
      </c>
      <c r="D63" s="7">
        <v>-250</v>
      </c>
      <c r="E63" s="7"/>
      <c r="F63" s="7">
        <v>-50</v>
      </c>
      <c r="G63" s="7">
        <v>-180</v>
      </c>
      <c r="H63" s="7">
        <v>-340</v>
      </c>
      <c r="I63" s="7">
        <v>-220</v>
      </c>
      <c r="J63" s="7">
        <v>-160</v>
      </c>
      <c r="K63" s="7">
        <v>-2</v>
      </c>
      <c r="L63" s="7">
        <v>-6</v>
      </c>
      <c r="M63" s="7"/>
      <c r="N63" s="7">
        <v>-1</v>
      </c>
      <c r="O63" s="7"/>
      <c r="P63" s="7"/>
      <c r="Q63" s="7"/>
      <c r="R63" s="7"/>
      <c r="S63" s="7"/>
      <c r="T63" s="7"/>
    </row>
    <row r="64" spans="1:20" x14ac:dyDescent="0.25">
      <c r="A64" s="3">
        <v>45742</v>
      </c>
      <c r="B64" s="13" t="s">
        <v>12</v>
      </c>
      <c r="C64" s="13"/>
      <c r="D64" s="13"/>
      <c r="E64" s="13"/>
      <c r="F64" s="13"/>
      <c r="G64" s="13"/>
      <c r="H64" s="13"/>
      <c r="I64" s="13"/>
      <c r="J64" s="13"/>
      <c r="K64" s="13"/>
      <c r="L64" s="13">
        <v>250</v>
      </c>
      <c r="M64" s="13"/>
      <c r="N64" s="13"/>
      <c r="O64" s="13"/>
      <c r="P64" s="13"/>
      <c r="Q64" s="13"/>
      <c r="R64" s="13"/>
      <c r="S64" s="13"/>
      <c r="T64" s="13"/>
    </row>
    <row r="65" spans="1:20" x14ac:dyDescent="0.25">
      <c r="A65" s="3">
        <v>45742</v>
      </c>
      <c r="B65" s="13" t="s">
        <v>13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>
        <v>25</v>
      </c>
      <c r="O65" s="13"/>
      <c r="P65" s="13"/>
      <c r="Q65" s="13"/>
      <c r="R65" s="13"/>
      <c r="S65" s="13"/>
      <c r="T65" s="13"/>
    </row>
    <row r="66" spans="1:20" x14ac:dyDescent="0.25">
      <c r="A66" s="3">
        <v>45742</v>
      </c>
      <c r="B66" s="13" t="s">
        <v>33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>
        <v>-48</v>
      </c>
      <c r="T66" s="13">
        <v>-10</v>
      </c>
    </row>
    <row r="67" spans="1:20" x14ac:dyDescent="0.25">
      <c r="A67" s="3">
        <v>45743</v>
      </c>
      <c r="B67" s="7" t="s">
        <v>69</v>
      </c>
      <c r="C67" s="7">
        <v>-2400</v>
      </c>
      <c r="D67" s="7">
        <v>-775</v>
      </c>
      <c r="E67" s="7"/>
      <c r="F67" s="7">
        <v>-150</v>
      </c>
      <c r="G67" s="7">
        <v>-540</v>
      </c>
      <c r="H67" s="7">
        <v>-1020</v>
      </c>
      <c r="I67" s="7">
        <v>-660</v>
      </c>
      <c r="J67" s="7">
        <v>-240</v>
      </c>
      <c r="K67" s="7">
        <v>-6</v>
      </c>
      <c r="L67" s="7">
        <v>-18</v>
      </c>
      <c r="M67" s="7"/>
      <c r="N67" s="7">
        <v>-3</v>
      </c>
      <c r="O67" s="7"/>
      <c r="P67" s="7"/>
      <c r="Q67" s="7"/>
      <c r="R67" s="7"/>
      <c r="S67" s="7">
        <v>120</v>
      </c>
      <c r="T67" s="7"/>
    </row>
    <row r="68" spans="1:20" x14ac:dyDescent="0.25">
      <c r="A68" s="3">
        <v>45743</v>
      </c>
      <c r="B68" s="13" t="s">
        <v>33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>
        <v>-48</v>
      </c>
      <c r="T68" s="13">
        <v>-10</v>
      </c>
    </row>
    <row r="69" spans="1:20" x14ac:dyDescent="0.25">
      <c r="A69" s="3">
        <v>45744</v>
      </c>
      <c r="B69" s="13" t="s">
        <v>33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>
        <v>-48</v>
      </c>
      <c r="T69" s="13">
        <v>-10</v>
      </c>
    </row>
    <row r="70" spans="1:20" x14ac:dyDescent="0.25">
      <c r="A70" s="3">
        <v>45744</v>
      </c>
      <c r="B70" s="13" t="s">
        <v>9</v>
      </c>
      <c r="C70" s="13">
        <v>12000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x14ac:dyDescent="0.25">
      <c r="A71" s="3">
        <v>45744</v>
      </c>
      <c r="B71" s="7" t="s">
        <v>1</v>
      </c>
      <c r="C71" s="7">
        <v>-2000</v>
      </c>
      <c r="D71" s="7">
        <v>-625</v>
      </c>
      <c r="E71" s="7"/>
      <c r="F71" s="7">
        <v>-125</v>
      </c>
      <c r="G71" s="7">
        <v>-450</v>
      </c>
      <c r="H71" s="7">
        <v>-850</v>
      </c>
      <c r="I71" s="7">
        <v>-550</v>
      </c>
      <c r="J71" s="7">
        <v>-400</v>
      </c>
      <c r="K71" s="7">
        <v>-5</v>
      </c>
      <c r="L71" s="7">
        <v>-15</v>
      </c>
      <c r="M71" s="7"/>
      <c r="N71" s="7">
        <v>-2.5</v>
      </c>
      <c r="O71" s="7"/>
      <c r="P71" s="7"/>
      <c r="Q71" s="7"/>
      <c r="R71" s="7"/>
      <c r="S71" s="7">
        <v>100</v>
      </c>
      <c r="T71" s="13"/>
    </row>
    <row r="72" spans="1:20" x14ac:dyDescent="0.25">
      <c r="A72" s="3">
        <v>45744</v>
      </c>
      <c r="B72" s="7" t="s">
        <v>32</v>
      </c>
      <c r="C72" s="7">
        <v>-520</v>
      </c>
      <c r="D72" s="7">
        <v>-130</v>
      </c>
      <c r="E72" s="7"/>
      <c r="F72" s="7"/>
      <c r="G72" s="7">
        <v>-10</v>
      </c>
      <c r="H72" s="7">
        <v>-310</v>
      </c>
      <c r="I72" s="7"/>
      <c r="J72" s="7">
        <v>-60</v>
      </c>
      <c r="K72" s="7"/>
      <c r="L72" s="7"/>
      <c r="M72" s="7">
        <v>-0.3</v>
      </c>
      <c r="N72" s="7"/>
      <c r="O72" s="7">
        <v>-27.5</v>
      </c>
      <c r="P72" s="7">
        <v>-1</v>
      </c>
      <c r="Q72" s="7"/>
      <c r="R72" s="7"/>
      <c r="S72" s="7"/>
      <c r="T72" s="7">
        <v>20</v>
      </c>
    </row>
    <row r="73" spans="1:20" x14ac:dyDescent="0.25">
      <c r="A73" s="3">
        <v>45745</v>
      </c>
      <c r="B73" s="13" t="s">
        <v>33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>
        <v>-48</v>
      </c>
      <c r="T73" s="13">
        <v>-10</v>
      </c>
    </row>
    <row r="74" spans="1:20" x14ac:dyDescent="0.25">
      <c r="A74" s="3">
        <v>45746</v>
      </c>
      <c r="B74" s="7" t="s">
        <v>1</v>
      </c>
      <c r="C74" s="7">
        <v>-2000</v>
      </c>
      <c r="D74" s="7">
        <v>-625</v>
      </c>
      <c r="E74" s="7"/>
      <c r="F74" s="7">
        <v>-125</v>
      </c>
      <c r="G74" s="7">
        <v>-450</v>
      </c>
      <c r="H74" s="7">
        <v>-850</v>
      </c>
      <c r="I74" s="7">
        <v>-550</v>
      </c>
      <c r="J74" s="7">
        <v>-400</v>
      </c>
      <c r="K74" s="7">
        <v>-5</v>
      </c>
      <c r="L74" s="7">
        <v>-15</v>
      </c>
      <c r="M74" s="7"/>
      <c r="N74" s="7">
        <v>-2.5</v>
      </c>
      <c r="O74" s="7"/>
      <c r="P74" s="7"/>
      <c r="Q74" s="7"/>
      <c r="R74" s="7"/>
      <c r="S74" s="7">
        <v>100</v>
      </c>
      <c r="T74" s="13"/>
    </row>
    <row r="75" spans="1:20" x14ac:dyDescent="0.25">
      <c r="A75" s="3">
        <v>45746</v>
      </c>
      <c r="B75" s="7" t="s">
        <v>11</v>
      </c>
      <c r="C75" s="7">
        <v>-1040</v>
      </c>
      <c r="D75" s="7">
        <v>-260</v>
      </c>
      <c r="E75" s="7"/>
      <c r="F75" s="7"/>
      <c r="G75" s="7">
        <v>-20</v>
      </c>
      <c r="H75" s="7">
        <v>-620</v>
      </c>
      <c r="I75" s="7"/>
      <c r="J75" s="7">
        <v>-60</v>
      </c>
      <c r="K75" s="7"/>
      <c r="L75" s="7"/>
      <c r="M75" s="7">
        <v>-0.6</v>
      </c>
      <c r="N75" s="7"/>
      <c r="O75" s="7">
        <v>-55</v>
      </c>
      <c r="P75" s="7">
        <v>-2</v>
      </c>
      <c r="Q75" s="7"/>
      <c r="R75" s="7"/>
      <c r="S75" s="7"/>
      <c r="T75" s="7">
        <v>40</v>
      </c>
    </row>
    <row r="76" spans="1:20" x14ac:dyDescent="0.25">
      <c r="A76" s="3">
        <v>45746</v>
      </c>
      <c r="B76" s="13" t="s">
        <v>33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>
        <v>-48</v>
      </c>
      <c r="T76" s="13">
        <v>-10</v>
      </c>
    </row>
    <row r="77" spans="1:20" x14ac:dyDescent="0.25">
      <c r="A77" s="3">
        <v>45747</v>
      </c>
      <c r="B77" s="7" t="s">
        <v>16</v>
      </c>
      <c r="C77" s="7">
        <v>-1600</v>
      </c>
      <c r="D77" s="7">
        <v>-500</v>
      </c>
      <c r="E77" s="7"/>
      <c r="F77" s="7">
        <v>-100</v>
      </c>
      <c r="G77" s="7">
        <v>-360</v>
      </c>
      <c r="H77" s="7">
        <v>-680</v>
      </c>
      <c r="I77" s="7">
        <v>-440</v>
      </c>
      <c r="J77" s="7">
        <v>-320</v>
      </c>
      <c r="K77" s="7">
        <v>-4</v>
      </c>
      <c r="L77" s="7">
        <v>-12</v>
      </c>
      <c r="M77" s="7"/>
      <c r="N77" s="7">
        <v>-2</v>
      </c>
      <c r="O77" s="7"/>
      <c r="P77" s="7"/>
      <c r="Q77" s="7"/>
      <c r="R77" s="7"/>
      <c r="S77" s="7"/>
      <c r="T77" s="7"/>
    </row>
    <row r="78" spans="1:20" x14ac:dyDescent="0.25">
      <c r="A78" s="3">
        <v>45747</v>
      </c>
      <c r="B78" s="13" t="s">
        <v>33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>
        <v>-48</v>
      </c>
      <c r="T78" s="13">
        <v>-10</v>
      </c>
    </row>
    <row r="79" spans="1:20" x14ac:dyDescent="0.25">
      <c r="A79" s="1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5">
      <c r="A80" s="1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5">
      <c r="A81" s="1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s="14"/>
      <c r="B82" s="15" t="s">
        <v>25</v>
      </c>
      <c r="C82" s="16">
        <f>SUM(C2:C81)</f>
        <v>7110</v>
      </c>
      <c r="D82" s="16">
        <f>SUM(D2:D81)</f>
        <v>7365</v>
      </c>
      <c r="E82" s="16"/>
      <c r="F82" s="16">
        <f t="shared" ref="F82:T82" si="0">SUM(F2:F81)</f>
        <v>450</v>
      </c>
      <c r="G82" s="16">
        <f t="shared" si="0"/>
        <v>3570</v>
      </c>
      <c r="H82" s="16">
        <f t="shared" si="0"/>
        <v>3914</v>
      </c>
      <c r="I82" s="16">
        <f t="shared" si="0"/>
        <v>1120</v>
      </c>
      <c r="J82" s="16">
        <f t="shared" si="0"/>
        <v>670</v>
      </c>
      <c r="K82" s="16">
        <f t="shared" si="0"/>
        <v>120</v>
      </c>
      <c r="L82" s="16">
        <f t="shared" si="0"/>
        <v>194</v>
      </c>
      <c r="M82" s="16">
        <f t="shared" si="0"/>
        <v>20.399999999999991</v>
      </c>
      <c r="N82" s="16">
        <f t="shared" si="0"/>
        <v>23</v>
      </c>
      <c r="O82" s="16">
        <f t="shared" si="0"/>
        <v>180</v>
      </c>
      <c r="P82" s="16">
        <f t="shared" si="0"/>
        <v>9</v>
      </c>
      <c r="Q82" s="16"/>
      <c r="R82" s="16"/>
      <c r="S82" s="16">
        <f t="shared" si="0"/>
        <v>315</v>
      </c>
      <c r="T82" s="16">
        <f t="shared" si="0"/>
        <v>58</v>
      </c>
    </row>
    <row r="83" spans="1:20" x14ac:dyDescent="0.25">
      <c r="A83" s="17"/>
      <c r="B83" s="17" t="s">
        <v>28</v>
      </c>
      <c r="C83" s="17">
        <v>1808</v>
      </c>
      <c r="D83" s="17">
        <v>560</v>
      </c>
      <c r="E83" s="17"/>
      <c r="F83" s="17">
        <v>100</v>
      </c>
      <c r="G83" s="17">
        <v>544</v>
      </c>
      <c r="H83" s="17">
        <v>804</v>
      </c>
      <c r="I83" s="17">
        <v>440</v>
      </c>
      <c r="J83" s="17">
        <v>332</v>
      </c>
      <c r="K83" s="17">
        <v>4</v>
      </c>
      <c r="L83" s="17">
        <v>12</v>
      </c>
      <c r="M83" s="17">
        <v>0.12</v>
      </c>
      <c r="N83" s="17">
        <v>2</v>
      </c>
      <c r="O83" s="17">
        <v>11</v>
      </c>
      <c r="P83" s="17">
        <v>0.4</v>
      </c>
      <c r="Q83" s="17"/>
      <c r="R83" s="17"/>
      <c r="S83" s="17">
        <v>48</v>
      </c>
      <c r="T83" s="17">
        <v>10</v>
      </c>
    </row>
    <row r="84" spans="1:20" x14ac:dyDescent="0.25">
      <c r="A84" s="17"/>
      <c r="B84" s="17" t="s">
        <v>26</v>
      </c>
      <c r="C84" s="18">
        <f>C82/C83</f>
        <v>3.9325221238938055</v>
      </c>
      <c r="D84" s="18">
        <f t="shared" ref="D84:T84" si="1">D82/D83</f>
        <v>13.151785714285714</v>
      </c>
      <c r="E84" s="18"/>
      <c r="F84" s="18">
        <f t="shared" si="1"/>
        <v>4.5</v>
      </c>
      <c r="G84" s="18">
        <f t="shared" si="1"/>
        <v>6.5625</v>
      </c>
      <c r="H84" s="18">
        <f t="shared" si="1"/>
        <v>4.8681592039800998</v>
      </c>
      <c r="I84" s="18">
        <f t="shared" si="1"/>
        <v>2.5454545454545454</v>
      </c>
      <c r="J84" s="18">
        <f t="shared" si="1"/>
        <v>2.0180722891566263</v>
      </c>
      <c r="K84" s="18">
        <f t="shared" si="1"/>
        <v>30</v>
      </c>
      <c r="L84" s="18">
        <f t="shared" si="1"/>
        <v>16.166666666666668</v>
      </c>
      <c r="M84" s="18">
        <f t="shared" si="1"/>
        <v>169.99999999999994</v>
      </c>
      <c r="N84" s="18">
        <f t="shared" si="1"/>
        <v>11.5</v>
      </c>
      <c r="O84" s="18">
        <f t="shared" si="1"/>
        <v>16.363636363636363</v>
      </c>
      <c r="P84" s="18">
        <f t="shared" si="1"/>
        <v>22.5</v>
      </c>
      <c r="Q84" s="18"/>
      <c r="R84" s="18"/>
      <c r="S84" s="18">
        <f t="shared" si="1"/>
        <v>6.5625</v>
      </c>
      <c r="T84" s="18">
        <f t="shared" si="1"/>
        <v>5.8</v>
      </c>
    </row>
    <row r="87" spans="1:20" x14ac:dyDescent="0.25">
      <c r="A87" s="3">
        <v>45748</v>
      </c>
      <c r="B87" s="9" t="s">
        <v>0</v>
      </c>
      <c r="C87" s="10">
        <v>6200</v>
      </c>
      <c r="D87" s="9">
        <v>6650</v>
      </c>
      <c r="E87" s="7">
        <v>4350</v>
      </c>
      <c r="F87" s="9">
        <v>450</v>
      </c>
      <c r="G87" s="9">
        <v>3670</v>
      </c>
      <c r="H87" s="9">
        <v>2830</v>
      </c>
      <c r="I87" s="9">
        <v>1250</v>
      </c>
      <c r="J87" s="9">
        <v>980</v>
      </c>
      <c r="K87" s="9">
        <v>119.6</v>
      </c>
      <c r="L87" s="9">
        <v>192</v>
      </c>
      <c r="M87" s="9">
        <v>20.3</v>
      </c>
      <c r="N87" s="9">
        <v>22</v>
      </c>
      <c r="O87" s="9">
        <v>175</v>
      </c>
      <c r="P87" s="9">
        <v>9</v>
      </c>
      <c r="Q87" s="9"/>
      <c r="R87" s="9"/>
      <c r="S87" s="9">
        <v>90</v>
      </c>
      <c r="T87" s="9">
        <v>30</v>
      </c>
    </row>
    <row r="88" spans="1:20" x14ac:dyDescent="0.25">
      <c r="A88" s="23">
        <v>45748</v>
      </c>
      <c r="B88" s="7" t="s">
        <v>53</v>
      </c>
      <c r="C88" s="7">
        <v>-1200</v>
      </c>
      <c r="D88" s="7">
        <v>-375</v>
      </c>
      <c r="E88" s="7"/>
      <c r="F88" s="7">
        <v>-75</v>
      </c>
      <c r="G88" s="7">
        <v>-270</v>
      </c>
      <c r="H88" s="7">
        <v>-510</v>
      </c>
      <c r="I88" s="7">
        <v>-330</v>
      </c>
      <c r="J88" s="7">
        <v>-240</v>
      </c>
      <c r="K88" s="7">
        <v>-3</v>
      </c>
      <c r="L88" s="7">
        <v>-9</v>
      </c>
      <c r="M88" s="7"/>
      <c r="N88" s="7">
        <v>-1.5</v>
      </c>
      <c r="O88" s="7"/>
      <c r="P88" s="7"/>
      <c r="Q88" s="7"/>
      <c r="R88" s="7"/>
      <c r="S88" s="7"/>
      <c r="T88" s="7"/>
    </row>
    <row r="89" spans="1:20" x14ac:dyDescent="0.25">
      <c r="A89" s="23">
        <v>45748</v>
      </c>
      <c r="B89" s="13" t="s">
        <v>33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>
        <v>-48</v>
      </c>
      <c r="T89" s="13">
        <v>-10</v>
      </c>
    </row>
    <row r="90" spans="1:20" x14ac:dyDescent="0.25">
      <c r="A90" s="23">
        <v>45749</v>
      </c>
      <c r="B90" s="7" t="s">
        <v>18</v>
      </c>
      <c r="C90" s="7"/>
      <c r="D90" s="7"/>
      <c r="E90" s="7"/>
      <c r="F90" s="7"/>
      <c r="G90" s="7"/>
      <c r="H90" s="7">
        <v>6800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5">
      <c r="A91" s="23">
        <v>45749</v>
      </c>
      <c r="B91" s="7" t="s">
        <v>54</v>
      </c>
      <c r="C91" s="7"/>
      <c r="D91" s="7"/>
      <c r="E91" s="7"/>
      <c r="F91" s="7"/>
      <c r="G91" s="7"/>
      <c r="H91" s="7"/>
      <c r="I91" s="7">
        <v>900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s="23">
        <v>45749</v>
      </c>
      <c r="B92" s="7" t="s">
        <v>55</v>
      </c>
      <c r="C92" s="7"/>
      <c r="D92" s="7"/>
      <c r="E92" s="7"/>
      <c r="F92" s="7"/>
      <c r="G92" s="7"/>
      <c r="H92" s="7"/>
      <c r="I92" s="7"/>
      <c r="J92" s="7">
        <v>3200</v>
      </c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5">
      <c r="A93" s="23">
        <v>45749</v>
      </c>
      <c r="B93" s="7" t="s">
        <v>35</v>
      </c>
      <c r="C93" s="7"/>
      <c r="D93" s="7"/>
      <c r="E93" s="7"/>
      <c r="F93" s="7">
        <v>1600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5">
      <c r="A94" s="23">
        <v>45749</v>
      </c>
      <c r="B94" s="13" t="s">
        <v>33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>
        <v>-48</v>
      </c>
      <c r="T94" s="13">
        <v>-10</v>
      </c>
    </row>
    <row r="95" spans="1:20" x14ac:dyDescent="0.25">
      <c r="A95" s="23">
        <v>45749</v>
      </c>
      <c r="B95" s="7" t="s">
        <v>56</v>
      </c>
      <c r="C95" s="7">
        <v>-1200</v>
      </c>
      <c r="D95" s="7">
        <v>-375</v>
      </c>
      <c r="E95" s="7"/>
      <c r="F95" s="7">
        <v>-75</v>
      </c>
      <c r="G95" s="7">
        <v>-270</v>
      </c>
      <c r="H95" s="7">
        <v>-510</v>
      </c>
      <c r="I95" s="7">
        <v>-330</v>
      </c>
      <c r="J95" s="7">
        <v>-240</v>
      </c>
      <c r="K95" s="7">
        <v>-3</v>
      </c>
      <c r="L95" s="7">
        <v>-9</v>
      </c>
      <c r="M95" s="7"/>
      <c r="N95" s="7">
        <v>-1.5</v>
      </c>
      <c r="O95" s="7"/>
      <c r="P95" s="7"/>
      <c r="Q95" s="7"/>
      <c r="R95" s="7"/>
      <c r="S95" s="7">
        <v>60</v>
      </c>
      <c r="T95" s="7"/>
    </row>
    <row r="96" spans="1:20" x14ac:dyDescent="0.25">
      <c r="A96" s="23">
        <v>45749</v>
      </c>
      <c r="B96" s="7" t="s">
        <v>11</v>
      </c>
      <c r="C96" s="7">
        <v>-1040</v>
      </c>
      <c r="D96" s="7">
        <v>-260</v>
      </c>
      <c r="E96" s="7"/>
      <c r="F96" s="7"/>
      <c r="G96" s="7">
        <v>-20</v>
      </c>
      <c r="H96" s="7">
        <v>-620</v>
      </c>
      <c r="I96" s="7"/>
      <c r="J96" s="7">
        <v>-60</v>
      </c>
      <c r="K96" s="7"/>
      <c r="L96" s="7"/>
      <c r="M96" s="7">
        <v>-0.6</v>
      </c>
      <c r="N96" s="7"/>
      <c r="O96" s="7">
        <v>-55</v>
      </c>
      <c r="P96" s="7">
        <v>-2</v>
      </c>
      <c r="Q96" s="7"/>
      <c r="R96" s="7"/>
      <c r="S96" s="7"/>
      <c r="T96" s="7">
        <v>40</v>
      </c>
    </row>
    <row r="97" spans="1:20" x14ac:dyDescent="0.25">
      <c r="A97" s="23">
        <v>45750</v>
      </c>
      <c r="B97" s="7" t="s">
        <v>1</v>
      </c>
      <c r="C97" s="7">
        <v>-2000</v>
      </c>
      <c r="D97" s="7">
        <v>-625</v>
      </c>
      <c r="E97" s="7"/>
      <c r="F97" s="7">
        <v>-125</v>
      </c>
      <c r="G97" s="7">
        <v>-450</v>
      </c>
      <c r="H97" s="7">
        <v>-850</v>
      </c>
      <c r="I97" s="7">
        <v>-550</v>
      </c>
      <c r="J97" s="7">
        <v>-400</v>
      </c>
      <c r="K97" s="7">
        <v>-5</v>
      </c>
      <c r="L97" s="7">
        <v>-15</v>
      </c>
      <c r="M97" s="7"/>
      <c r="N97" s="7">
        <v>-2.5</v>
      </c>
      <c r="O97" s="7"/>
      <c r="P97" s="7"/>
      <c r="Q97" s="7"/>
      <c r="R97" s="7"/>
      <c r="S97" s="7">
        <v>100</v>
      </c>
      <c r="T97" s="13"/>
    </row>
    <row r="98" spans="1:20" x14ac:dyDescent="0.25">
      <c r="A98" s="23">
        <v>45750</v>
      </c>
      <c r="B98" s="13" t="s">
        <v>33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>
        <v>-48</v>
      </c>
      <c r="T98" s="13">
        <v>-10</v>
      </c>
    </row>
    <row r="99" spans="1:20" x14ac:dyDescent="0.25">
      <c r="A99" s="23">
        <v>45751</v>
      </c>
      <c r="B99" s="13" t="s">
        <v>33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>
        <v>-48</v>
      </c>
      <c r="T99" s="13">
        <v>-12</v>
      </c>
    </row>
    <row r="100" spans="1:20" x14ac:dyDescent="0.25">
      <c r="A100" s="23">
        <v>45751</v>
      </c>
      <c r="B100" s="13" t="s">
        <v>37</v>
      </c>
      <c r="C100" s="13">
        <v>12000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x14ac:dyDescent="0.25">
      <c r="A101" s="23">
        <v>45751</v>
      </c>
      <c r="B101" s="7" t="s">
        <v>16</v>
      </c>
      <c r="C101" s="7">
        <v>-1600</v>
      </c>
      <c r="D101" s="7">
        <v>-500</v>
      </c>
      <c r="E101" s="7"/>
      <c r="F101" s="7">
        <v>-100</v>
      </c>
      <c r="G101" s="7">
        <v>-360</v>
      </c>
      <c r="H101" s="7">
        <v>-680</v>
      </c>
      <c r="I101" s="7">
        <v>-440</v>
      </c>
      <c r="J101" s="7">
        <v>-320</v>
      </c>
      <c r="K101" s="7">
        <v>-4</v>
      </c>
      <c r="L101" s="7">
        <v>-12</v>
      </c>
      <c r="M101" s="7"/>
      <c r="N101" s="7">
        <v>-2</v>
      </c>
      <c r="O101" s="7"/>
      <c r="P101" s="7"/>
      <c r="Q101" s="7"/>
      <c r="R101" s="7"/>
      <c r="S101" s="7"/>
      <c r="T101" s="7"/>
    </row>
    <row r="102" spans="1:20" x14ac:dyDescent="0.25">
      <c r="A102" s="23">
        <v>45752</v>
      </c>
      <c r="B102" s="13" t="s">
        <v>57</v>
      </c>
      <c r="C102" s="13"/>
      <c r="D102" s="13"/>
      <c r="E102" s="13"/>
      <c r="F102" s="13"/>
      <c r="G102" s="13"/>
      <c r="H102" s="13"/>
      <c r="I102" s="13">
        <v>5000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x14ac:dyDescent="0.25">
      <c r="A103" s="23">
        <v>45752</v>
      </c>
      <c r="B103" s="7" t="s">
        <v>58</v>
      </c>
      <c r="C103" s="7">
        <v>-1600</v>
      </c>
      <c r="D103" s="7">
        <v>-500</v>
      </c>
      <c r="E103" s="7"/>
      <c r="F103" s="7">
        <v>-100</v>
      </c>
      <c r="G103" s="7">
        <v>-360</v>
      </c>
      <c r="H103" s="7">
        <v>-680</v>
      </c>
      <c r="I103" s="7">
        <v>-440</v>
      </c>
      <c r="J103" s="7">
        <v>-320</v>
      </c>
      <c r="K103" s="7">
        <v>-4</v>
      </c>
      <c r="L103" s="7">
        <v>-12</v>
      </c>
      <c r="M103" s="7"/>
      <c r="N103" s="7">
        <v>-2</v>
      </c>
      <c r="O103" s="7"/>
      <c r="P103" s="7"/>
      <c r="Q103" s="7"/>
      <c r="R103" s="7"/>
      <c r="S103" s="7">
        <v>80</v>
      </c>
      <c r="T103" s="7"/>
    </row>
    <row r="104" spans="1:20" x14ac:dyDescent="0.25">
      <c r="A104" s="23">
        <v>45752</v>
      </c>
      <c r="B104" s="13" t="s">
        <v>33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>
        <v>-48</v>
      </c>
      <c r="T104" s="13">
        <v>-12</v>
      </c>
    </row>
    <row r="105" spans="1:20" x14ac:dyDescent="0.25">
      <c r="A105" s="23">
        <v>45752</v>
      </c>
      <c r="B105" s="7" t="s">
        <v>11</v>
      </c>
      <c r="C105" s="7">
        <v>-1040</v>
      </c>
      <c r="D105" s="7">
        <v>-260</v>
      </c>
      <c r="E105" s="7"/>
      <c r="F105" s="7"/>
      <c r="G105" s="7">
        <v>-20</v>
      </c>
      <c r="H105" s="7">
        <v>-620</v>
      </c>
      <c r="I105" s="7"/>
      <c r="J105" s="7">
        <v>-60</v>
      </c>
      <c r="K105" s="7"/>
      <c r="L105" s="7"/>
      <c r="M105" s="7">
        <v>-0.6</v>
      </c>
      <c r="N105" s="7"/>
      <c r="O105" s="7">
        <v>-55</v>
      </c>
      <c r="P105" s="7">
        <v>-2</v>
      </c>
      <c r="Q105" s="7"/>
      <c r="R105" s="7"/>
      <c r="S105" s="7"/>
      <c r="T105" s="7">
        <v>40</v>
      </c>
    </row>
    <row r="106" spans="1:20" x14ac:dyDescent="0.25">
      <c r="A106" s="23">
        <v>45753</v>
      </c>
      <c r="B106" s="13" t="s">
        <v>33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>
        <v>-48</v>
      </c>
      <c r="T106" s="13">
        <v>-12</v>
      </c>
    </row>
    <row r="107" spans="1:20" x14ac:dyDescent="0.25">
      <c r="A107" s="23">
        <v>45754</v>
      </c>
      <c r="B107" s="13" t="s">
        <v>33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>
        <v>-48</v>
      </c>
      <c r="T107" s="13">
        <v>-12</v>
      </c>
    </row>
    <row r="108" spans="1:20" x14ac:dyDescent="0.25">
      <c r="A108" s="23">
        <v>45754</v>
      </c>
      <c r="B108" s="7" t="s">
        <v>4</v>
      </c>
      <c r="C108" s="7">
        <v>-800</v>
      </c>
      <c r="D108" s="7">
        <v>-250</v>
      </c>
      <c r="E108" s="7"/>
      <c r="F108" s="7">
        <v>-50</v>
      </c>
      <c r="G108" s="7">
        <v>-180</v>
      </c>
      <c r="H108" s="7">
        <v>-340</v>
      </c>
      <c r="I108" s="7">
        <v>-220</v>
      </c>
      <c r="J108" s="7">
        <v>-160</v>
      </c>
      <c r="K108" s="7">
        <v>-2</v>
      </c>
      <c r="L108" s="7">
        <v>-6</v>
      </c>
      <c r="M108" s="7"/>
      <c r="N108" s="7">
        <v>-1</v>
      </c>
      <c r="O108" s="7"/>
      <c r="P108" s="7"/>
      <c r="Q108" s="7"/>
      <c r="R108" s="7"/>
      <c r="S108" s="7"/>
      <c r="T108" s="7"/>
    </row>
    <row r="109" spans="1:20" x14ac:dyDescent="0.25">
      <c r="A109" s="23">
        <v>45755</v>
      </c>
      <c r="B109" s="7" t="s">
        <v>4</v>
      </c>
      <c r="C109" s="7">
        <v>-800</v>
      </c>
      <c r="D109" s="7">
        <v>-250</v>
      </c>
      <c r="E109" s="7"/>
      <c r="F109" s="7">
        <v>-50</v>
      </c>
      <c r="G109" s="7">
        <v>-180</v>
      </c>
      <c r="H109" s="7">
        <v>-340</v>
      </c>
      <c r="I109" s="7">
        <v>-220</v>
      </c>
      <c r="J109" s="7">
        <v>-160</v>
      </c>
      <c r="K109" s="7">
        <v>-2</v>
      </c>
      <c r="L109" s="7">
        <v>-6</v>
      </c>
      <c r="M109" s="7"/>
      <c r="N109" s="7">
        <v>-1</v>
      </c>
      <c r="O109" s="7"/>
      <c r="P109" s="7"/>
      <c r="Q109" s="7"/>
      <c r="R109" s="7"/>
      <c r="S109" s="7"/>
      <c r="T109" s="7"/>
    </row>
    <row r="110" spans="1:20" x14ac:dyDescent="0.25">
      <c r="A110" s="23">
        <v>45755</v>
      </c>
      <c r="B110" s="7" t="s">
        <v>1</v>
      </c>
      <c r="C110" s="7">
        <v>-2000</v>
      </c>
      <c r="D110" s="7">
        <v>-625</v>
      </c>
      <c r="E110" s="7"/>
      <c r="F110" s="7">
        <v>-125</v>
      </c>
      <c r="G110" s="7">
        <v>-450</v>
      </c>
      <c r="H110" s="7">
        <v>-850</v>
      </c>
      <c r="I110" s="7">
        <v>-550</v>
      </c>
      <c r="J110" s="7">
        <v>-400</v>
      </c>
      <c r="K110" s="7">
        <v>-5</v>
      </c>
      <c r="L110" s="7">
        <v>-15</v>
      </c>
      <c r="M110" s="7"/>
      <c r="N110" s="7">
        <v>-2.5</v>
      </c>
      <c r="O110" s="7"/>
      <c r="P110" s="7"/>
      <c r="Q110" s="7"/>
      <c r="R110" s="7"/>
      <c r="S110" s="7">
        <v>100</v>
      </c>
      <c r="T110" s="13"/>
    </row>
    <row r="111" spans="1:20" x14ac:dyDescent="0.25">
      <c r="A111" s="23">
        <v>45755</v>
      </c>
      <c r="B111" s="13" t="s">
        <v>33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>
        <v>-48</v>
      </c>
      <c r="T111" s="13">
        <v>-12</v>
      </c>
    </row>
    <row r="112" spans="1:20" x14ac:dyDescent="0.25">
      <c r="A112" s="23">
        <v>45756</v>
      </c>
      <c r="B112" s="7" t="s">
        <v>11</v>
      </c>
      <c r="C112" s="7">
        <v>-1040</v>
      </c>
      <c r="D112" s="7">
        <v>-260</v>
      </c>
      <c r="E112" s="7"/>
      <c r="F112" s="7"/>
      <c r="G112" s="7">
        <v>-20</v>
      </c>
      <c r="H112" s="7">
        <v>-620</v>
      </c>
      <c r="I112" s="7"/>
      <c r="J112" s="7">
        <v>-60</v>
      </c>
      <c r="K112" s="7"/>
      <c r="L112" s="7"/>
      <c r="M112" s="7">
        <v>-0.6</v>
      </c>
      <c r="N112" s="7"/>
      <c r="O112" s="7">
        <v>-55</v>
      </c>
      <c r="P112" s="7">
        <v>-2</v>
      </c>
      <c r="Q112" s="7"/>
      <c r="R112" s="7"/>
      <c r="S112" s="7"/>
      <c r="T112" s="7">
        <v>40</v>
      </c>
    </row>
    <row r="113" spans="1:20" x14ac:dyDescent="0.25">
      <c r="A113" s="23">
        <v>45756</v>
      </c>
      <c r="B113" s="7" t="s">
        <v>4</v>
      </c>
      <c r="C113" s="7">
        <v>-800</v>
      </c>
      <c r="D113" s="7">
        <v>-250</v>
      </c>
      <c r="E113" s="7"/>
      <c r="F113" s="7">
        <v>-50</v>
      </c>
      <c r="G113" s="7">
        <v>-180</v>
      </c>
      <c r="H113" s="7">
        <v>-340</v>
      </c>
      <c r="I113" s="7">
        <v>-220</v>
      </c>
      <c r="J113" s="7">
        <v>-160</v>
      </c>
      <c r="K113" s="7">
        <v>-2</v>
      </c>
      <c r="L113" s="7">
        <v>-6</v>
      </c>
      <c r="M113" s="7"/>
      <c r="N113" s="7">
        <v>-1</v>
      </c>
      <c r="O113" s="7"/>
      <c r="P113" s="7"/>
      <c r="Q113" s="7"/>
      <c r="R113" s="7"/>
      <c r="S113" s="7"/>
      <c r="T113" s="7"/>
    </row>
    <row r="114" spans="1:20" x14ac:dyDescent="0.25">
      <c r="A114" s="23">
        <v>45756</v>
      </c>
      <c r="B114" s="7" t="s">
        <v>59</v>
      </c>
      <c r="C114" s="7">
        <v>-800</v>
      </c>
      <c r="D114" s="7">
        <v>-250</v>
      </c>
      <c r="E114" s="7"/>
      <c r="F114" s="7">
        <v>-50</v>
      </c>
      <c r="G114" s="7">
        <v>-180</v>
      </c>
      <c r="H114" s="7">
        <v>-340</v>
      </c>
      <c r="I114" s="7">
        <v>-220</v>
      </c>
      <c r="J114" s="7">
        <v>-160</v>
      </c>
      <c r="K114" s="7">
        <v>-2</v>
      </c>
      <c r="L114" s="7">
        <v>-6</v>
      </c>
      <c r="M114" s="7"/>
      <c r="N114" s="7">
        <v>-1</v>
      </c>
      <c r="O114" s="7"/>
      <c r="P114" s="7"/>
      <c r="Q114" s="7"/>
      <c r="R114" s="7"/>
      <c r="S114" s="7">
        <v>40</v>
      </c>
      <c r="T114" s="7"/>
    </row>
    <row r="115" spans="1:20" x14ac:dyDescent="0.25">
      <c r="A115" s="23">
        <v>45756</v>
      </c>
      <c r="B115" s="7" t="s">
        <v>37</v>
      </c>
      <c r="C115" s="7">
        <v>12320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5">
      <c r="A116" s="23">
        <v>45756</v>
      </c>
      <c r="B116" s="13" t="s">
        <v>33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>
        <v>-48</v>
      </c>
      <c r="T116" s="13">
        <v>-12</v>
      </c>
    </row>
    <row r="117" spans="1:20" x14ac:dyDescent="0.25">
      <c r="A117" s="23">
        <v>45757</v>
      </c>
      <c r="B117" s="13" t="s">
        <v>33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>
        <v>-48</v>
      </c>
      <c r="T117" s="13">
        <v>-12</v>
      </c>
    </row>
    <row r="118" spans="1:20" x14ac:dyDescent="0.25">
      <c r="A118" s="23">
        <v>45757</v>
      </c>
      <c r="B118" s="7" t="s">
        <v>4</v>
      </c>
      <c r="C118" s="7">
        <v>-800</v>
      </c>
      <c r="D118" s="7">
        <v>-250</v>
      </c>
      <c r="E118" s="7"/>
      <c r="F118" s="7">
        <v>-50</v>
      </c>
      <c r="G118" s="7">
        <v>-180</v>
      </c>
      <c r="H118" s="7">
        <v>-340</v>
      </c>
      <c r="I118" s="7">
        <v>-220</v>
      </c>
      <c r="J118" s="7">
        <v>-160</v>
      </c>
      <c r="K118" s="7">
        <v>-2</v>
      </c>
      <c r="L118" s="7">
        <v>-6</v>
      </c>
      <c r="M118" s="7"/>
      <c r="N118" s="7">
        <v>-1</v>
      </c>
      <c r="O118" s="7"/>
      <c r="P118" s="7"/>
      <c r="Q118" s="7"/>
      <c r="R118" s="7"/>
      <c r="S118" s="7"/>
      <c r="T118" s="7"/>
    </row>
    <row r="119" spans="1:20" x14ac:dyDescent="0.25">
      <c r="A119" s="23">
        <v>45757</v>
      </c>
      <c r="B119" s="7" t="s">
        <v>31</v>
      </c>
      <c r="C119" s="7">
        <v>-400</v>
      </c>
      <c r="D119" s="7">
        <v>-125</v>
      </c>
      <c r="E119" s="7"/>
      <c r="F119" s="7">
        <v>-25</v>
      </c>
      <c r="G119" s="7">
        <v>-90</v>
      </c>
      <c r="H119" s="7">
        <v>-170</v>
      </c>
      <c r="I119" s="7">
        <v>-110</v>
      </c>
      <c r="J119" s="7">
        <v>-80</v>
      </c>
      <c r="K119" s="7">
        <v>-1</v>
      </c>
      <c r="L119" s="7">
        <v>-3</v>
      </c>
      <c r="M119" s="7"/>
      <c r="N119" s="7">
        <v>-0.5</v>
      </c>
      <c r="O119" s="7"/>
      <c r="P119" s="7"/>
      <c r="Q119" s="7"/>
      <c r="R119" s="7"/>
      <c r="S119" s="7">
        <v>20</v>
      </c>
      <c r="T119" s="13"/>
    </row>
    <row r="120" spans="1:20" x14ac:dyDescent="0.25">
      <c r="A120" s="23">
        <v>45757</v>
      </c>
      <c r="B120" s="13" t="s">
        <v>8</v>
      </c>
      <c r="C120" s="13"/>
      <c r="D120" s="13"/>
      <c r="E120" s="13"/>
      <c r="F120" s="13"/>
      <c r="G120" s="13">
        <v>11000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x14ac:dyDescent="0.25">
      <c r="A121" s="23">
        <v>45757</v>
      </c>
      <c r="B121" s="13" t="s">
        <v>54</v>
      </c>
      <c r="C121" s="13"/>
      <c r="D121" s="13"/>
      <c r="E121" s="13"/>
      <c r="F121" s="13"/>
      <c r="G121" s="13"/>
      <c r="H121" s="13"/>
      <c r="I121" s="13">
        <v>1000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x14ac:dyDescent="0.25">
      <c r="A122" s="23">
        <v>45758</v>
      </c>
      <c r="B122" s="13" t="s">
        <v>37</v>
      </c>
      <c r="C122" s="13">
        <v>12600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x14ac:dyDescent="0.25">
      <c r="A123" s="23">
        <v>45758</v>
      </c>
      <c r="B123" s="7" t="s">
        <v>2</v>
      </c>
      <c r="C123" s="7">
        <v>-1600</v>
      </c>
      <c r="D123" s="7">
        <v>-500</v>
      </c>
      <c r="E123" s="7"/>
      <c r="F123" s="7">
        <v>-100</v>
      </c>
      <c r="G123" s="7">
        <v>-360</v>
      </c>
      <c r="H123" s="7">
        <v>-680</v>
      </c>
      <c r="I123" s="7">
        <v>-440</v>
      </c>
      <c r="J123" s="7">
        <v>-320</v>
      </c>
      <c r="K123" s="7">
        <v>-4</v>
      </c>
      <c r="L123" s="7">
        <v>-12</v>
      </c>
      <c r="M123" s="7"/>
      <c r="N123" s="7">
        <v>-2</v>
      </c>
      <c r="O123" s="7"/>
      <c r="P123" s="7"/>
      <c r="Q123" s="7"/>
      <c r="R123" s="7"/>
      <c r="S123" s="7">
        <v>80</v>
      </c>
      <c r="T123" s="7"/>
    </row>
    <row r="124" spans="1:20" x14ac:dyDescent="0.25">
      <c r="A124" s="23">
        <v>45758</v>
      </c>
      <c r="B124" s="7" t="s">
        <v>31</v>
      </c>
      <c r="C124" s="7">
        <v>-400</v>
      </c>
      <c r="D124" s="7">
        <v>-125</v>
      </c>
      <c r="E124" s="7"/>
      <c r="F124" s="7">
        <v>-25</v>
      </c>
      <c r="G124" s="7">
        <v>-90</v>
      </c>
      <c r="H124" s="7">
        <v>-170</v>
      </c>
      <c r="I124" s="7">
        <v>-110</v>
      </c>
      <c r="J124" s="7">
        <v>-80</v>
      </c>
      <c r="K124" s="7">
        <v>-1</v>
      </c>
      <c r="L124" s="7">
        <v>-3</v>
      </c>
      <c r="M124" s="7"/>
      <c r="N124" s="7">
        <v>-0.5</v>
      </c>
      <c r="O124" s="7"/>
      <c r="P124" s="7"/>
      <c r="T124" s="13"/>
    </row>
    <row r="125" spans="1:20" x14ac:dyDescent="0.25">
      <c r="A125" s="23">
        <v>45758</v>
      </c>
      <c r="B125" s="13" t="s">
        <v>33</v>
      </c>
      <c r="C125" s="13"/>
      <c r="D125" s="13"/>
      <c r="E125" s="13"/>
      <c r="F125" s="13"/>
      <c r="G125" s="13"/>
      <c r="H125" s="13"/>
      <c r="I125" s="7"/>
      <c r="J125" s="13"/>
      <c r="K125" s="13"/>
      <c r="L125" s="13"/>
      <c r="M125" s="13"/>
      <c r="N125" s="13"/>
      <c r="O125" s="13"/>
      <c r="P125" s="13"/>
      <c r="Q125" s="13"/>
      <c r="R125" s="13"/>
      <c r="S125" s="13">
        <v>-48</v>
      </c>
      <c r="T125" s="13">
        <v>-14</v>
      </c>
    </row>
    <row r="126" spans="1:20" x14ac:dyDescent="0.25">
      <c r="A126" s="23">
        <v>45758</v>
      </c>
      <c r="B126" s="13" t="s">
        <v>18</v>
      </c>
      <c r="C126" s="13"/>
      <c r="D126" s="13"/>
      <c r="E126" s="13"/>
      <c r="F126" s="13"/>
      <c r="G126" s="13"/>
      <c r="H126" s="13">
        <v>6550</v>
      </c>
      <c r="I126" s="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x14ac:dyDescent="0.25">
      <c r="A127" s="23">
        <v>45758</v>
      </c>
      <c r="B127" s="13" t="s">
        <v>60</v>
      </c>
      <c r="C127" s="13"/>
      <c r="D127" s="13">
        <v>3850</v>
      </c>
      <c r="E127" s="13"/>
      <c r="F127" s="13"/>
      <c r="G127" s="13"/>
      <c r="H127" s="13"/>
      <c r="I127" s="7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x14ac:dyDescent="0.25">
      <c r="A128" s="23">
        <v>45758</v>
      </c>
      <c r="B128" s="13" t="s">
        <v>55</v>
      </c>
      <c r="C128" s="13"/>
      <c r="D128" s="13"/>
      <c r="E128" s="13"/>
      <c r="F128" s="13"/>
      <c r="G128" s="13"/>
      <c r="H128" s="13"/>
      <c r="I128" s="13"/>
      <c r="J128" s="13">
        <v>2000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x14ac:dyDescent="0.25">
      <c r="A129" s="23">
        <v>45758</v>
      </c>
      <c r="B129" s="13" t="s">
        <v>34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>
        <v>250</v>
      </c>
      <c r="P129" s="13"/>
      <c r="Q129" s="13"/>
      <c r="R129" s="13"/>
      <c r="S129" s="13"/>
      <c r="T129" s="13"/>
    </row>
    <row r="130" spans="1:20" x14ac:dyDescent="0.25">
      <c r="A130" s="23">
        <v>45758</v>
      </c>
      <c r="B130" s="13" t="s">
        <v>61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25</v>
      </c>
      <c r="Q130" s="13"/>
      <c r="R130" s="13"/>
      <c r="S130" s="13"/>
      <c r="T130" s="13"/>
    </row>
    <row r="131" spans="1:20" x14ac:dyDescent="0.25">
      <c r="A131" s="23">
        <v>45758</v>
      </c>
      <c r="B131" s="13" t="s">
        <v>62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>
        <v>50</v>
      </c>
      <c r="O131" s="13"/>
      <c r="P131" s="13"/>
      <c r="Q131" s="13"/>
      <c r="R131" s="13"/>
      <c r="S131" s="13"/>
      <c r="T131" s="13"/>
    </row>
    <row r="132" spans="1:20" x14ac:dyDescent="0.25">
      <c r="A132" s="23">
        <v>45758</v>
      </c>
      <c r="B132" s="13" t="s">
        <v>12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>
        <v>175</v>
      </c>
      <c r="M132" s="13"/>
      <c r="N132" s="13"/>
      <c r="O132" s="13"/>
      <c r="P132" s="13"/>
      <c r="Q132" s="13"/>
      <c r="R132" s="13"/>
      <c r="S132" s="13"/>
      <c r="T132" s="13"/>
    </row>
    <row r="133" spans="1:20" x14ac:dyDescent="0.25">
      <c r="A133" s="23">
        <v>45759</v>
      </c>
      <c r="B133" s="13" t="s">
        <v>33</v>
      </c>
      <c r="C133" s="13"/>
      <c r="D133" s="13"/>
      <c r="E133" s="13"/>
      <c r="F133" s="13"/>
      <c r="G133" s="13"/>
      <c r="H133" s="13"/>
      <c r="I133" s="7"/>
      <c r="J133" s="13"/>
      <c r="K133" s="13"/>
      <c r="L133" s="13"/>
      <c r="M133" s="13"/>
      <c r="N133" s="13"/>
      <c r="O133" s="13"/>
      <c r="P133" s="13"/>
      <c r="Q133" s="13"/>
      <c r="R133" s="13"/>
      <c r="S133" s="13">
        <v>-48</v>
      </c>
      <c r="T133" s="13">
        <v>-14</v>
      </c>
    </row>
    <row r="134" spans="1:20" x14ac:dyDescent="0.25">
      <c r="A134" s="23">
        <v>45759</v>
      </c>
      <c r="B134" s="7" t="s">
        <v>2</v>
      </c>
      <c r="C134" s="7">
        <v>-1600</v>
      </c>
      <c r="D134" s="7">
        <v>-500</v>
      </c>
      <c r="E134" s="7"/>
      <c r="F134" s="7">
        <v>-100</v>
      </c>
      <c r="G134" s="7">
        <v>-360</v>
      </c>
      <c r="H134" s="7">
        <v>-680</v>
      </c>
      <c r="I134" s="7">
        <v>-440</v>
      </c>
      <c r="J134" s="7">
        <v>-320</v>
      </c>
      <c r="K134" s="7">
        <v>-4</v>
      </c>
      <c r="L134" s="7">
        <v>-12</v>
      </c>
      <c r="M134" s="7"/>
      <c r="N134" s="7">
        <v>-2</v>
      </c>
      <c r="O134" s="7"/>
      <c r="P134" s="7"/>
      <c r="Q134" s="7"/>
      <c r="R134" s="7"/>
      <c r="S134" s="7">
        <v>80</v>
      </c>
      <c r="T134" s="7"/>
    </row>
    <row r="135" spans="1:20" x14ac:dyDescent="0.25">
      <c r="A135" s="23">
        <v>45759</v>
      </c>
      <c r="B135" s="7" t="s">
        <v>4</v>
      </c>
      <c r="C135" s="7">
        <v>-800</v>
      </c>
      <c r="D135" s="7">
        <v>-250</v>
      </c>
      <c r="E135" s="7"/>
      <c r="F135" s="7">
        <v>-50</v>
      </c>
      <c r="G135" s="7">
        <v>-180</v>
      </c>
      <c r="H135" s="7">
        <v>-340</v>
      </c>
      <c r="I135" s="7">
        <v>-220</v>
      </c>
      <c r="J135" s="7">
        <v>-160</v>
      </c>
      <c r="K135" s="7">
        <v>-2</v>
      </c>
      <c r="L135" s="7">
        <v>-6</v>
      </c>
      <c r="M135" s="7"/>
      <c r="N135" s="7">
        <v>-1</v>
      </c>
      <c r="O135" s="7"/>
      <c r="P135" s="7"/>
      <c r="Q135" s="7"/>
      <c r="R135" s="7"/>
      <c r="S135" s="7"/>
      <c r="T135" s="7"/>
    </row>
    <row r="136" spans="1:20" x14ac:dyDescent="0.25">
      <c r="A136" s="23">
        <v>45759</v>
      </c>
      <c r="B136" s="7" t="s">
        <v>32</v>
      </c>
      <c r="C136" s="7">
        <v>-520</v>
      </c>
      <c r="D136" s="7">
        <v>-130</v>
      </c>
      <c r="E136" s="7"/>
      <c r="F136" s="7"/>
      <c r="G136" s="7">
        <v>-10</v>
      </c>
      <c r="H136" s="7">
        <v>-310</v>
      </c>
      <c r="I136" s="7"/>
      <c r="J136" s="7">
        <v>-60</v>
      </c>
      <c r="K136" s="7"/>
      <c r="L136" s="7"/>
      <c r="M136" s="7">
        <v>-0.3</v>
      </c>
      <c r="N136" s="7"/>
      <c r="O136" s="7">
        <v>-27.5</v>
      </c>
      <c r="P136" s="7">
        <v>-1</v>
      </c>
      <c r="Q136" s="7"/>
      <c r="R136" s="7"/>
      <c r="S136" s="7"/>
      <c r="T136" s="7">
        <v>20</v>
      </c>
    </row>
    <row r="137" spans="1:20" x14ac:dyDescent="0.25">
      <c r="A137" s="23">
        <v>45760</v>
      </c>
      <c r="B137" s="7" t="s">
        <v>2</v>
      </c>
      <c r="C137" s="7">
        <v>-1600</v>
      </c>
      <c r="D137" s="7">
        <v>-500</v>
      </c>
      <c r="E137" s="7"/>
      <c r="F137" s="7">
        <v>-100</v>
      </c>
      <c r="G137" s="7">
        <v>-360</v>
      </c>
      <c r="H137" s="7">
        <v>-680</v>
      </c>
      <c r="I137" s="7">
        <v>-440</v>
      </c>
      <c r="J137" s="7">
        <v>-320</v>
      </c>
      <c r="K137" s="7">
        <v>-4</v>
      </c>
      <c r="L137" s="7">
        <v>-12</v>
      </c>
      <c r="M137" s="7"/>
      <c r="N137" s="7">
        <v>-2</v>
      </c>
      <c r="O137" s="7"/>
      <c r="P137" s="7"/>
      <c r="Q137" s="7"/>
      <c r="R137" s="7"/>
      <c r="S137" s="7">
        <v>80</v>
      </c>
      <c r="T137" s="7"/>
    </row>
    <row r="138" spans="1:20" x14ac:dyDescent="0.25">
      <c r="A138" s="23">
        <v>45760</v>
      </c>
      <c r="B138" s="7" t="s">
        <v>4</v>
      </c>
      <c r="C138" s="7">
        <v>-800</v>
      </c>
      <c r="D138" s="7">
        <v>-250</v>
      </c>
      <c r="E138" s="7"/>
      <c r="F138" s="7">
        <v>-50</v>
      </c>
      <c r="G138" s="7">
        <v>-180</v>
      </c>
      <c r="H138" s="7">
        <v>-340</v>
      </c>
      <c r="I138" s="7">
        <v>-220</v>
      </c>
      <c r="J138" s="7">
        <v>-160</v>
      </c>
      <c r="K138" s="7">
        <v>-2</v>
      </c>
      <c r="L138" s="7">
        <v>-6</v>
      </c>
      <c r="M138" s="7"/>
      <c r="N138" s="7">
        <v>-1</v>
      </c>
      <c r="O138" s="7"/>
      <c r="P138" s="7"/>
      <c r="Q138" s="7"/>
      <c r="R138" s="7"/>
      <c r="S138" s="7"/>
      <c r="T138" s="7"/>
    </row>
    <row r="139" spans="1:20" x14ac:dyDescent="0.25">
      <c r="A139" s="23">
        <v>45760</v>
      </c>
      <c r="B139" s="7" t="s">
        <v>32</v>
      </c>
      <c r="C139" s="7">
        <v>-520</v>
      </c>
      <c r="D139" s="7">
        <v>-130</v>
      </c>
      <c r="E139" s="7"/>
      <c r="F139" s="7"/>
      <c r="G139" s="7">
        <v>-10</v>
      </c>
      <c r="H139" s="7">
        <v>-310</v>
      </c>
      <c r="I139" s="7"/>
      <c r="J139" s="7">
        <v>-60</v>
      </c>
      <c r="K139" s="7"/>
      <c r="L139" s="7"/>
      <c r="M139" s="7">
        <v>-0.3</v>
      </c>
      <c r="N139" s="7"/>
      <c r="O139" s="7">
        <v>-27.5</v>
      </c>
      <c r="P139" s="7">
        <v>-1</v>
      </c>
      <c r="Q139" s="7"/>
      <c r="R139" s="7"/>
      <c r="S139" s="7"/>
      <c r="T139" s="7">
        <v>20</v>
      </c>
    </row>
    <row r="140" spans="1:20" x14ac:dyDescent="0.25">
      <c r="A140" s="23">
        <v>45760</v>
      </c>
      <c r="B140" s="13" t="s">
        <v>33</v>
      </c>
      <c r="C140" s="13"/>
      <c r="D140" s="13"/>
      <c r="E140" s="13"/>
      <c r="F140" s="13"/>
      <c r="G140" s="13"/>
      <c r="H140" s="13"/>
      <c r="I140" s="7"/>
      <c r="J140" s="13"/>
      <c r="K140" s="13"/>
      <c r="L140" s="13"/>
      <c r="M140" s="13"/>
      <c r="N140" s="13"/>
      <c r="O140" s="13"/>
      <c r="P140" s="13"/>
      <c r="Q140" s="13"/>
      <c r="R140" s="13"/>
      <c r="S140" s="13">
        <v>-48</v>
      </c>
      <c r="T140" s="13">
        <v>-14</v>
      </c>
    </row>
    <row r="141" spans="1:20" x14ac:dyDescent="0.25">
      <c r="A141" s="23">
        <v>45761</v>
      </c>
      <c r="B141" s="13" t="s">
        <v>33</v>
      </c>
      <c r="C141" s="13"/>
      <c r="D141" s="13"/>
      <c r="E141" s="13"/>
      <c r="F141" s="13"/>
      <c r="G141" s="13"/>
      <c r="H141" s="13"/>
      <c r="I141" s="7"/>
      <c r="J141" s="13"/>
      <c r="K141" s="13"/>
      <c r="L141" s="13"/>
      <c r="M141" s="13"/>
      <c r="N141" s="13"/>
      <c r="O141" s="13"/>
      <c r="P141" s="13"/>
      <c r="Q141" s="13"/>
      <c r="R141" s="13"/>
      <c r="S141" s="13">
        <v>-48</v>
      </c>
      <c r="T141" s="13">
        <v>-14</v>
      </c>
    </row>
    <row r="142" spans="1:20" x14ac:dyDescent="0.25">
      <c r="A142" s="23">
        <v>45761</v>
      </c>
      <c r="B142" s="7" t="s">
        <v>64</v>
      </c>
      <c r="C142" s="13">
        <v>-350</v>
      </c>
      <c r="D142" s="13">
        <v>-150</v>
      </c>
      <c r="E142" s="13">
        <v>-140</v>
      </c>
      <c r="F142" s="13"/>
      <c r="G142" s="13">
        <v>-10</v>
      </c>
      <c r="H142" s="13">
        <v>-170</v>
      </c>
      <c r="I142" s="7">
        <v>-60</v>
      </c>
      <c r="J142" s="13">
        <v>-90</v>
      </c>
      <c r="K142" s="13"/>
      <c r="L142" s="13"/>
      <c r="M142" s="13">
        <v>-0.3</v>
      </c>
      <c r="N142" s="13"/>
      <c r="O142" s="13">
        <v>-25</v>
      </c>
      <c r="P142" s="13">
        <v>-1</v>
      </c>
      <c r="Q142" s="13"/>
      <c r="R142" s="13"/>
      <c r="S142" s="13"/>
      <c r="T142" s="13">
        <v>20</v>
      </c>
    </row>
    <row r="143" spans="1:20" x14ac:dyDescent="0.25">
      <c r="A143" s="23">
        <v>45761</v>
      </c>
      <c r="B143" s="7" t="s">
        <v>2</v>
      </c>
      <c r="C143" s="7">
        <v>-1600</v>
      </c>
      <c r="D143" s="7">
        <v>-500</v>
      </c>
      <c r="E143" s="7"/>
      <c r="F143" s="7">
        <v>-100</v>
      </c>
      <c r="G143" s="7">
        <v>-360</v>
      </c>
      <c r="H143" s="7">
        <v>-680</v>
      </c>
      <c r="I143" s="7">
        <v>-440</v>
      </c>
      <c r="J143" s="7">
        <v>-320</v>
      </c>
      <c r="K143" s="7">
        <v>-4</v>
      </c>
      <c r="L143" s="7">
        <v>-12</v>
      </c>
      <c r="M143" s="7"/>
      <c r="N143" s="7">
        <v>-2</v>
      </c>
      <c r="O143" s="7"/>
      <c r="P143" s="7"/>
      <c r="Q143" s="7"/>
      <c r="R143" s="7"/>
      <c r="S143" s="7">
        <v>80</v>
      </c>
      <c r="T143" s="7"/>
    </row>
    <row r="144" spans="1:20" x14ac:dyDescent="0.25">
      <c r="A144" s="23">
        <v>45761</v>
      </c>
      <c r="B144" s="7" t="s">
        <v>3</v>
      </c>
      <c r="C144" s="7">
        <v>-400</v>
      </c>
      <c r="D144" s="7">
        <v>-125</v>
      </c>
      <c r="E144" s="7"/>
      <c r="F144" s="7">
        <v>-25</v>
      </c>
      <c r="G144" s="7">
        <v>-90</v>
      </c>
      <c r="H144" s="7">
        <v>-170</v>
      </c>
      <c r="I144" s="7">
        <v>-110</v>
      </c>
      <c r="J144" s="7">
        <v>-80</v>
      </c>
      <c r="K144" s="7">
        <v>-1</v>
      </c>
      <c r="L144" s="7">
        <v>-3</v>
      </c>
      <c r="M144" s="7"/>
      <c r="N144" s="7">
        <v>-0.5</v>
      </c>
      <c r="O144" s="7"/>
      <c r="P144" s="7"/>
      <c r="Q144" s="7"/>
      <c r="R144" s="7"/>
      <c r="S144" s="7"/>
      <c r="T144" s="7"/>
    </row>
    <row r="145" spans="1:20" x14ac:dyDescent="0.25">
      <c r="A145" s="23">
        <v>45762</v>
      </c>
      <c r="B145" s="13" t="s">
        <v>33</v>
      </c>
      <c r="C145" s="13"/>
      <c r="D145" s="13"/>
      <c r="E145" s="13"/>
      <c r="F145" s="13"/>
      <c r="G145" s="13"/>
      <c r="H145" s="13"/>
      <c r="I145" s="7"/>
      <c r="J145" s="13"/>
      <c r="K145" s="13"/>
      <c r="L145" s="13"/>
      <c r="M145" s="13"/>
      <c r="N145" s="13"/>
      <c r="O145" s="13"/>
      <c r="P145" s="13"/>
      <c r="Q145" s="13"/>
      <c r="R145" s="13"/>
      <c r="S145" s="13">
        <v>-48</v>
      </c>
      <c r="T145" s="13">
        <v>-14</v>
      </c>
    </row>
    <row r="146" spans="1:20" x14ac:dyDescent="0.25">
      <c r="A146" s="23">
        <v>45762</v>
      </c>
      <c r="B146" s="7" t="s">
        <v>4</v>
      </c>
      <c r="C146" s="7">
        <v>-800</v>
      </c>
      <c r="D146" s="7">
        <v>-250</v>
      </c>
      <c r="E146" s="7"/>
      <c r="F146" s="7">
        <v>-50</v>
      </c>
      <c r="G146" s="7">
        <v>-180</v>
      </c>
      <c r="H146" s="7">
        <v>-340</v>
      </c>
      <c r="I146" s="7">
        <v>-220</v>
      </c>
      <c r="J146" s="7">
        <v>-160</v>
      </c>
      <c r="K146" s="7">
        <v>-2</v>
      </c>
      <c r="L146" s="7">
        <v>-6</v>
      </c>
      <c r="M146" s="7"/>
      <c r="N146" s="7">
        <v>-1</v>
      </c>
      <c r="O146" s="7"/>
      <c r="P146" s="7"/>
      <c r="Q146" s="7"/>
      <c r="R146" s="7"/>
      <c r="S146" s="7"/>
      <c r="T146" s="7"/>
    </row>
    <row r="147" spans="1:20" x14ac:dyDescent="0.25">
      <c r="A147" s="23">
        <v>45762</v>
      </c>
      <c r="B147" s="7" t="s">
        <v>2</v>
      </c>
      <c r="C147" s="7">
        <v>-1600</v>
      </c>
      <c r="D147" s="7">
        <v>-500</v>
      </c>
      <c r="E147" s="7"/>
      <c r="F147" s="7">
        <v>-100</v>
      </c>
      <c r="G147" s="7">
        <v>-360</v>
      </c>
      <c r="H147" s="7">
        <v>-680</v>
      </c>
      <c r="I147" s="7">
        <v>-440</v>
      </c>
      <c r="J147" s="7">
        <v>-320</v>
      </c>
      <c r="K147" s="7">
        <v>-4</v>
      </c>
      <c r="L147" s="7">
        <v>-12</v>
      </c>
      <c r="M147" s="7"/>
      <c r="N147" s="7">
        <v>-2</v>
      </c>
      <c r="O147" s="7"/>
      <c r="P147" s="7"/>
      <c r="Q147" s="7"/>
      <c r="R147" s="7"/>
      <c r="S147" s="7">
        <v>80</v>
      </c>
      <c r="T147" s="7"/>
    </row>
    <row r="148" spans="1:20" x14ac:dyDescent="0.25">
      <c r="A148" s="23">
        <v>45762</v>
      </c>
      <c r="B148" s="7" t="s">
        <v>12</v>
      </c>
      <c r="C148" s="7"/>
      <c r="D148" s="7"/>
      <c r="E148" s="7"/>
      <c r="F148" s="7"/>
      <c r="G148" s="7"/>
      <c r="H148" s="7"/>
      <c r="I148" s="7"/>
      <c r="J148" s="7"/>
      <c r="K148" s="7"/>
      <c r="L148" s="7">
        <v>75</v>
      </c>
      <c r="M148" s="7"/>
      <c r="N148" s="7"/>
      <c r="O148" s="7"/>
      <c r="P148" s="7"/>
      <c r="Q148" s="7"/>
      <c r="R148" s="7"/>
      <c r="S148" s="7"/>
      <c r="T148" s="7"/>
    </row>
    <row r="149" spans="1:20" x14ac:dyDescent="0.25">
      <c r="A149" s="23">
        <v>45763</v>
      </c>
      <c r="B149" s="7" t="s">
        <v>56</v>
      </c>
      <c r="C149" s="7">
        <v>-1200</v>
      </c>
      <c r="D149" s="7">
        <v>-375</v>
      </c>
      <c r="E149" s="7"/>
      <c r="F149" s="7">
        <v>-75</v>
      </c>
      <c r="G149" s="7">
        <v>-270</v>
      </c>
      <c r="H149" s="7">
        <v>-510</v>
      </c>
      <c r="I149" s="7">
        <v>-330</v>
      </c>
      <c r="J149" s="7">
        <v>-240</v>
      </c>
      <c r="K149" s="7">
        <v>-3</v>
      </c>
      <c r="L149" s="7">
        <v>-9</v>
      </c>
      <c r="M149" s="7"/>
      <c r="N149" s="7">
        <v>-1.5</v>
      </c>
      <c r="O149" s="7"/>
      <c r="P149" s="7"/>
      <c r="Q149" s="7"/>
      <c r="R149" s="7"/>
      <c r="S149" s="7">
        <v>60</v>
      </c>
      <c r="T149" s="7"/>
    </row>
    <row r="150" spans="1:20" x14ac:dyDescent="0.25">
      <c r="A150" s="23">
        <v>45763</v>
      </c>
      <c r="B150" s="7" t="s">
        <v>4</v>
      </c>
      <c r="C150" s="7">
        <v>-800</v>
      </c>
      <c r="D150" s="7">
        <v>-250</v>
      </c>
      <c r="E150" s="7">
        <v>-100</v>
      </c>
      <c r="F150" s="7">
        <v>-50</v>
      </c>
      <c r="G150" s="7">
        <v>-200</v>
      </c>
      <c r="H150" s="7">
        <v>-310</v>
      </c>
      <c r="I150" s="7">
        <v>-130</v>
      </c>
      <c r="J150" s="7">
        <v>-160</v>
      </c>
      <c r="K150" s="7">
        <v>-2</v>
      </c>
      <c r="L150" s="7">
        <v>-6</v>
      </c>
      <c r="M150" s="7"/>
      <c r="N150" s="7">
        <v>-1</v>
      </c>
      <c r="O150" s="7"/>
      <c r="P150" s="7"/>
      <c r="Q150" s="7"/>
      <c r="R150" s="7"/>
      <c r="S150" s="7"/>
      <c r="T150" s="7"/>
    </row>
    <row r="151" spans="1:20" x14ac:dyDescent="0.25">
      <c r="A151" s="23">
        <v>45763</v>
      </c>
      <c r="B151" s="7" t="s">
        <v>67</v>
      </c>
      <c r="C151" s="13">
        <v>-610</v>
      </c>
      <c r="D151" s="13">
        <v>-400</v>
      </c>
      <c r="E151" s="13">
        <v>-280</v>
      </c>
      <c r="F151" s="13"/>
      <c r="G151" s="13">
        <v>-20</v>
      </c>
      <c r="H151" s="13">
        <v>-340</v>
      </c>
      <c r="I151" s="7">
        <v>-120</v>
      </c>
      <c r="J151" s="13">
        <v>-180</v>
      </c>
      <c r="K151" s="13"/>
      <c r="L151" s="13"/>
      <c r="M151" s="13">
        <v>-0.6</v>
      </c>
      <c r="N151" s="13"/>
      <c r="O151" s="13">
        <v>-50</v>
      </c>
      <c r="P151" s="13">
        <v>-2</v>
      </c>
      <c r="Q151" s="13"/>
      <c r="R151" s="13"/>
      <c r="S151" s="13"/>
      <c r="T151" s="13">
        <v>40</v>
      </c>
    </row>
    <row r="152" spans="1:20" x14ac:dyDescent="0.25">
      <c r="A152" s="23">
        <v>45763</v>
      </c>
      <c r="B152" s="13" t="s">
        <v>33</v>
      </c>
      <c r="C152" s="13"/>
      <c r="D152" s="13"/>
      <c r="E152" s="13"/>
      <c r="F152" s="13"/>
      <c r="G152" s="13"/>
      <c r="H152" s="13"/>
      <c r="I152" s="7"/>
      <c r="J152" s="13"/>
      <c r="K152" s="13"/>
      <c r="L152" s="13"/>
      <c r="M152" s="13"/>
      <c r="N152" s="13"/>
      <c r="O152" s="13"/>
      <c r="P152" s="13"/>
      <c r="Q152" s="13"/>
      <c r="R152" s="13"/>
      <c r="S152" s="13">
        <v>-48</v>
      </c>
      <c r="T152" s="13">
        <v>-14</v>
      </c>
    </row>
    <row r="153" spans="1:20" x14ac:dyDescent="0.25">
      <c r="A153" s="23">
        <v>45764</v>
      </c>
      <c r="B153" s="13" t="s">
        <v>18</v>
      </c>
      <c r="C153" s="13"/>
      <c r="D153" s="13"/>
      <c r="E153" s="13"/>
      <c r="F153" s="13"/>
      <c r="G153" s="13"/>
      <c r="H153" s="13">
        <v>4600</v>
      </c>
      <c r="I153" s="7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x14ac:dyDescent="0.25">
      <c r="A154" s="23">
        <v>45764</v>
      </c>
      <c r="B154" s="13" t="s">
        <v>55</v>
      </c>
      <c r="C154" s="13"/>
      <c r="D154" s="13"/>
      <c r="E154" s="13"/>
      <c r="F154" s="13"/>
      <c r="G154" s="13"/>
      <c r="H154" s="13"/>
      <c r="I154" s="7"/>
      <c r="J154" s="13">
        <v>2160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x14ac:dyDescent="0.25">
      <c r="A155" s="23">
        <v>45764</v>
      </c>
      <c r="B155" s="13" t="s">
        <v>65</v>
      </c>
      <c r="C155" s="13"/>
      <c r="D155" s="13">
        <v>5000</v>
      </c>
      <c r="E155" s="13"/>
      <c r="F155" s="13"/>
      <c r="G155" s="13"/>
      <c r="H155" s="13"/>
      <c r="I155" s="7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x14ac:dyDescent="0.25">
      <c r="A156" s="23">
        <v>45764</v>
      </c>
      <c r="B156" s="13" t="s">
        <v>66</v>
      </c>
      <c r="C156" s="13"/>
      <c r="D156" s="13"/>
      <c r="E156" s="13"/>
      <c r="F156" s="13">
        <v>750</v>
      </c>
      <c r="G156" s="13"/>
      <c r="H156" s="13"/>
      <c r="I156" s="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x14ac:dyDescent="0.25">
      <c r="A157" s="23">
        <v>45764</v>
      </c>
      <c r="B157" s="13" t="s">
        <v>33</v>
      </c>
      <c r="C157" s="13"/>
      <c r="D157" s="13"/>
      <c r="E157" s="13"/>
      <c r="F157" s="13"/>
      <c r="G157" s="13"/>
      <c r="H157" s="13"/>
      <c r="I157" s="7"/>
      <c r="J157" s="13"/>
      <c r="K157" s="13"/>
      <c r="L157" s="13"/>
      <c r="M157" s="13"/>
      <c r="N157" s="13"/>
      <c r="O157" s="13"/>
      <c r="P157" s="13"/>
      <c r="Q157" s="13"/>
      <c r="R157" s="13"/>
      <c r="S157" s="13">
        <v>-48</v>
      </c>
      <c r="T157" s="13">
        <v>-14</v>
      </c>
    </row>
    <row r="158" spans="1:20" x14ac:dyDescent="0.25">
      <c r="A158" s="23">
        <v>45764</v>
      </c>
      <c r="B158" s="7" t="s">
        <v>16</v>
      </c>
      <c r="C158" s="7">
        <v>-1600</v>
      </c>
      <c r="D158" s="7">
        <v>-500</v>
      </c>
      <c r="E158" s="7">
        <v>-200</v>
      </c>
      <c r="F158" s="7">
        <v>-100</v>
      </c>
      <c r="G158" s="7">
        <v>-400</v>
      </c>
      <c r="H158" s="7">
        <v>-620</v>
      </c>
      <c r="I158" s="7">
        <v>-260</v>
      </c>
      <c r="J158" s="7">
        <v>-320</v>
      </c>
      <c r="K158" s="7">
        <v>-4</v>
      </c>
      <c r="L158" s="7">
        <v>-12</v>
      </c>
      <c r="M158" s="7"/>
      <c r="N158" s="7">
        <v>-2</v>
      </c>
      <c r="O158" s="7"/>
      <c r="P158" s="7"/>
      <c r="T158" s="7"/>
    </row>
    <row r="159" spans="1:20" x14ac:dyDescent="0.25">
      <c r="A159" s="23">
        <v>45765</v>
      </c>
      <c r="B159" s="13" t="s">
        <v>33</v>
      </c>
      <c r="C159" s="13"/>
      <c r="D159" s="13"/>
      <c r="E159" s="13"/>
      <c r="F159" s="13"/>
      <c r="G159" s="13"/>
      <c r="H159" s="13"/>
      <c r="I159" s="7"/>
      <c r="J159" s="13"/>
      <c r="K159" s="13"/>
      <c r="L159" s="13"/>
      <c r="M159" s="13"/>
      <c r="N159" s="13"/>
      <c r="O159" s="13"/>
      <c r="P159" s="13"/>
      <c r="Q159" s="13"/>
      <c r="R159" s="13"/>
      <c r="S159" s="13">
        <v>-48</v>
      </c>
      <c r="T159" s="13">
        <v>-14</v>
      </c>
    </row>
    <row r="160" spans="1:20" x14ac:dyDescent="0.25">
      <c r="A160" s="23">
        <v>45766</v>
      </c>
      <c r="B160" s="13" t="s">
        <v>33</v>
      </c>
      <c r="C160" s="13"/>
      <c r="D160" s="13"/>
      <c r="E160" s="13"/>
      <c r="F160" s="13"/>
      <c r="G160" s="13"/>
      <c r="H160" s="13"/>
      <c r="I160" s="7"/>
      <c r="J160" s="13"/>
      <c r="K160" s="13"/>
      <c r="L160" s="13"/>
      <c r="M160" s="13"/>
      <c r="N160" s="13"/>
      <c r="O160" s="13"/>
      <c r="P160" s="13"/>
      <c r="Q160" s="13"/>
      <c r="R160" s="13"/>
      <c r="S160" s="13">
        <v>-48</v>
      </c>
      <c r="T160" s="13">
        <v>-16</v>
      </c>
    </row>
    <row r="161" spans="1:20" x14ac:dyDescent="0.25">
      <c r="A161" s="23">
        <v>45766</v>
      </c>
      <c r="B161" s="7" t="s">
        <v>68</v>
      </c>
      <c r="C161" s="7">
        <v>-800</v>
      </c>
      <c r="D161" s="7">
        <v>-250</v>
      </c>
      <c r="E161" s="7">
        <v>-100</v>
      </c>
      <c r="F161" s="7">
        <v>-50</v>
      </c>
      <c r="G161" s="7">
        <v>-200</v>
      </c>
      <c r="H161" s="7">
        <v>-310</v>
      </c>
      <c r="I161" s="7">
        <v>-130</v>
      </c>
      <c r="J161" s="7">
        <v>-160</v>
      </c>
      <c r="K161" s="7">
        <v>-2</v>
      </c>
      <c r="L161" s="7">
        <v>-6</v>
      </c>
      <c r="M161" s="7"/>
      <c r="N161" s="7">
        <v>-1</v>
      </c>
      <c r="O161" s="7"/>
      <c r="P161" s="7"/>
      <c r="Q161" s="7"/>
      <c r="R161" s="7"/>
      <c r="S161" s="7"/>
      <c r="T161" s="7"/>
    </row>
    <row r="162" spans="1:20" x14ac:dyDescent="0.25">
      <c r="A162" s="23">
        <v>45766</v>
      </c>
      <c r="B162" s="7" t="s">
        <v>2</v>
      </c>
      <c r="C162" s="7">
        <v>-1600</v>
      </c>
      <c r="D162" s="7">
        <v>-500</v>
      </c>
      <c r="E162" s="7"/>
      <c r="F162" s="7">
        <v>-100</v>
      </c>
      <c r="G162" s="7">
        <v>-360</v>
      </c>
      <c r="H162" s="7">
        <v>-680</v>
      </c>
      <c r="I162" s="7">
        <v>-440</v>
      </c>
      <c r="J162" s="7">
        <v>-320</v>
      </c>
      <c r="K162" s="7">
        <v>-4</v>
      </c>
      <c r="L162" s="7">
        <v>-12</v>
      </c>
      <c r="M162" s="7"/>
      <c r="N162" s="7">
        <v>-2</v>
      </c>
      <c r="O162" s="7"/>
      <c r="P162" s="7"/>
      <c r="Q162" s="7"/>
      <c r="R162" s="7"/>
      <c r="S162" s="7">
        <v>80</v>
      </c>
      <c r="T162" s="7"/>
    </row>
    <row r="163" spans="1:20" x14ac:dyDescent="0.25">
      <c r="A163" s="23">
        <v>45766</v>
      </c>
      <c r="B163" s="7" t="s">
        <v>70</v>
      </c>
      <c r="C163" s="13">
        <v>-1525</v>
      </c>
      <c r="D163" s="13">
        <v>-750</v>
      </c>
      <c r="E163" s="13">
        <v>-710</v>
      </c>
      <c r="F163" s="13"/>
      <c r="G163" s="13">
        <v>-50</v>
      </c>
      <c r="H163" s="13">
        <v>-850</v>
      </c>
      <c r="I163" s="7">
        <v>-300</v>
      </c>
      <c r="J163" s="13">
        <v>-450</v>
      </c>
      <c r="K163" s="13"/>
      <c r="L163" s="13"/>
      <c r="M163" s="13">
        <v>-1.5</v>
      </c>
      <c r="N163" s="13"/>
      <c r="O163" s="13">
        <v>-125</v>
      </c>
      <c r="P163" s="13">
        <v>-5</v>
      </c>
      <c r="Q163" s="13"/>
      <c r="R163" s="13"/>
      <c r="S163" s="13"/>
      <c r="T163" s="13">
        <v>100</v>
      </c>
    </row>
    <row r="164" spans="1:20" x14ac:dyDescent="0.25">
      <c r="A164" s="23">
        <v>45766</v>
      </c>
      <c r="B164" s="7" t="s">
        <v>54</v>
      </c>
      <c r="C164" s="13"/>
      <c r="D164" s="13"/>
      <c r="E164" s="13"/>
      <c r="F164" s="13"/>
      <c r="G164" s="13"/>
      <c r="H164" s="13"/>
      <c r="I164" s="7">
        <v>11250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x14ac:dyDescent="0.25">
      <c r="A165" s="23">
        <v>45767</v>
      </c>
      <c r="B165" s="13" t="s">
        <v>33</v>
      </c>
      <c r="C165" s="13"/>
      <c r="D165" s="13"/>
      <c r="E165" s="13"/>
      <c r="F165" s="13"/>
      <c r="G165" s="13"/>
      <c r="H165" s="13"/>
      <c r="I165" s="7"/>
      <c r="J165" s="13"/>
      <c r="K165" s="13"/>
      <c r="L165" s="13"/>
      <c r="M165" s="13"/>
      <c r="N165" s="13"/>
      <c r="O165" s="13"/>
      <c r="P165" s="13"/>
      <c r="Q165" s="13"/>
      <c r="R165" s="13"/>
      <c r="S165" s="13">
        <v>-48</v>
      </c>
      <c r="T165" s="13">
        <v>-16</v>
      </c>
    </row>
    <row r="166" spans="1:20" x14ac:dyDescent="0.25">
      <c r="A166" s="23">
        <v>45767</v>
      </c>
      <c r="B166" s="7" t="s">
        <v>69</v>
      </c>
      <c r="C166" s="7">
        <v>-2400</v>
      </c>
      <c r="D166" s="7">
        <v>-775</v>
      </c>
      <c r="E166" s="7"/>
      <c r="F166" s="7">
        <v>-150</v>
      </c>
      <c r="G166" s="7">
        <v>-540</v>
      </c>
      <c r="H166" s="7">
        <v>-1020</v>
      </c>
      <c r="I166" s="7">
        <v>-660</v>
      </c>
      <c r="J166" s="7">
        <v>-240</v>
      </c>
      <c r="K166" s="7">
        <v>-6</v>
      </c>
      <c r="L166" s="7">
        <v>-18</v>
      </c>
      <c r="M166" s="7"/>
      <c r="N166" s="7">
        <v>-3</v>
      </c>
      <c r="O166" s="7"/>
      <c r="P166" s="7"/>
      <c r="Q166" s="7"/>
      <c r="R166" s="7"/>
      <c r="S166" s="7">
        <v>120</v>
      </c>
      <c r="T166" s="7"/>
    </row>
    <row r="167" spans="1:20" x14ac:dyDescent="0.25">
      <c r="A167" s="23">
        <v>45767</v>
      </c>
      <c r="B167" s="7" t="s">
        <v>71</v>
      </c>
      <c r="C167" s="7">
        <v>-400</v>
      </c>
      <c r="D167" s="7">
        <v>-125</v>
      </c>
      <c r="E167" s="7">
        <v>-50</v>
      </c>
      <c r="F167" s="7">
        <v>-25</v>
      </c>
      <c r="G167" s="7">
        <v>-100</v>
      </c>
      <c r="H167" s="7">
        <v>-155</v>
      </c>
      <c r="I167" s="7">
        <v>-65</v>
      </c>
      <c r="J167" s="7">
        <v>-80</v>
      </c>
      <c r="K167" s="7">
        <v>-1</v>
      </c>
      <c r="L167" s="7">
        <v>-3</v>
      </c>
      <c r="M167" s="7"/>
      <c r="N167" s="7">
        <v>-0.5</v>
      </c>
      <c r="O167" s="7"/>
      <c r="P167" s="7"/>
      <c r="Q167" s="7"/>
      <c r="R167" s="7"/>
      <c r="S167" s="7"/>
      <c r="T167" s="7"/>
    </row>
    <row r="168" spans="1:20" x14ac:dyDescent="0.25">
      <c r="A168" s="23">
        <v>45767</v>
      </c>
      <c r="B168" s="7" t="s">
        <v>37</v>
      </c>
      <c r="C168" s="13">
        <v>12000</v>
      </c>
      <c r="D168" s="13"/>
      <c r="E168" s="13"/>
      <c r="F168" s="13"/>
      <c r="G168" s="13"/>
      <c r="H168" s="13"/>
      <c r="I168" s="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x14ac:dyDescent="0.25">
      <c r="A169" s="23">
        <v>45768</v>
      </c>
      <c r="B169" s="13" t="s">
        <v>33</v>
      </c>
      <c r="C169" s="13"/>
      <c r="D169" s="13"/>
      <c r="E169" s="13"/>
      <c r="F169" s="13"/>
      <c r="G169" s="13"/>
      <c r="H169" s="13"/>
      <c r="I169" s="7"/>
      <c r="J169" s="13"/>
      <c r="K169" s="13"/>
      <c r="L169" s="13"/>
      <c r="M169" s="13"/>
      <c r="N169" s="13"/>
      <c r="O169" s="13"/>
      <c r="P169" s="13"/>
      <c r="Q169" s="13"/>
      <c r="R169" s="13"/>
      <c r="S169" s="13">
        <v>-48</v>
      </c>
      <c r="T169" s="13">
        <v>-16</v>
      </c>
    </row>
    <row r="170" spans="1:20" x14ac:dyDescent="0.25">
      <c r="A170" s="23">
        <v>45768</v>
      </c>
      <c r="B170" s="7" t="s">
        <v>72</v>
      </c>
      <c r="C170" s="7">
        <v>-2000</v>
      </c>
      <c r="D170" s="7">
        <v>-625</v>
      </c>
      <c r="E170" s="7">
        <v>-250</v>
      </c>
      <c r="F170" s="7">
        <v>-125</v>
      </c>
      <c r="G170" s="7">
        <v>-500</v>
      </c>
      <c r="H170" s="7">
        <v>-775</v>
      </c>
      <c r="I170" s="7">
        <v>-325</v>
      </c>
      <c r="J170" s="7">
        <v>-400</v>
      </c>
      <c r="K170" s="7">
        <v>-5</v>
      </c>
      <c r="L170" s="7">
        <v>-15</v>
      </c>
      <c r="M170" s="7"/>
      <c r="N170" s="7">
        <v>-2.5</v>
      </c>
      <c r="O170" s="7"/>
      <c r="P170" s="7"/>
      <c r="Q170" s="7"/>
      <c r="R170" s="7"/>
      <c r="S170" s="7"/>
      <c r="T170" s="7"/>
    </row>
    <row r="171" spans="1:20" x14ac:dyDescent="0.25">
      <c r="A171" s="23">
        <v>45769</v>
      </c>
      <c r="B171" s="13" t="s">
        <v>33</v>
      </c>
      <c r="C171" s="13"/>
      <c r="D171" s="13"/>
      <c r="E171" s="13"/>
      <c r="F171" s="13"/>
      <c r="G171" s="13"/>
      <c r="H171" s="13"/>
      <c r="I171" s="7"/>
      <c r="J171" s="13"/>
      <c r="K171" s="13"/>
      <c r="L171" s="13"/>
      <c r="M171" s="13"/>
      <c r="N171" s="13"/>
      <c r="O171" s="13"/>
      <c r="P171" s="13"/>
      <c r="Q171" s="13"/>
      <c r="R171" s="13"/>
      <c r="S171" s="13">
        <v>-48</v>
      </c>
      <c r="T171" s="13">
        <v>-16</v>
      </c>
    </row>
    <row r="172" spans="1:20" x14ac:dyDescent="0.25">
      <c r="A172" s="23">
        <v>45769</v>
      </c>
      <c r="B172" s="7" t="s">
        <v>1</v>
      </c>
      <c r="C172" s="7">
        <v>-2000</v>
      </c>
      <c r="D172" s="7">
        <v>-625</v>
      </c>
      <c r="E172" s="7"/>
      <c r="F172" s="7">
        <v>-125</v>
      </c>
      <c r="G172" s="7">
        <v>-450</v>
      </c>
      <c r="H172" s="7">
        <v>-850</v>
      </c>
      <c r="I172" s="7">
        <v>-550</v>
      </c>
      <c r="J172" s="7">
        <v>-400</v>
      </c>
      <c r="K172" s="7">
        <v>-5</v>
      </c>
      <c r="L172" s="7">
        <v>-15</v>
      </c>
      <c r="M172" s="7"/>
      <c r="N172" s="7">
        <v>-2.5</v>
      </c>
      <c r="O172" s="7"/>
      <c r="P172" s="7"/>
      <c r="Q172" s="7"/>
      <c r="R172" s="7"/>
      <c r="S172" s="7">
        <v>100</v>
      </c>
      <c r="T172" s="13"/>
    </row>
    <row r="173" spans="1:20" x14ac:dyDescent="0.25">
      <c r="A173" s="23">
        <v>45769</v>
      </c>
      <c r="B173" s="7" t="s">
        <v>10</v>
      </c>
      <c r="C173" s="7"/>
      <c r="D173" s="7"/>
      <c r="E173" s="7"/>
      <c r="F173" s="7">
        <v>850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13"/>
    </row>
    <row r="174" spans="1:20" x14ac:dyDescent="0.25">
      <c r="A174" s="23">
        <v>45770</v>
      </c>
      <c r="B174" s="13" t="s">
        <v>33</v>
      </c>
      <c r="C174" s="13"/>
      <c r="D174" s="13"/>
      <c r="E174" s="13"/>
      <c r="F174" s="13"/>
      <c r="G174" s="13"/>
      <c r="H174" s="13"/>
      <c r="I174" s="7"/>
      <c r="J174" s="13"/>
      <c r="K174" s="13"/>
      <c r="L174" s="13"/>
      <c r="M174" s="13"/>
      <c r="N174" s="13"/>
      <c r="O174" s="13"/>
      <c r="P174" s="13"/>
      <c r="Q174" s="13"/>
      <c r="R174" s="13"/>
      <c r="S174" s="13">
        <v>-48</v>
      </c>
      <c r="T174" s="13">
        <v>-16</v>
      </c>
    </row>
    <row r="175" spans="1:20" x14ac:dyDescent="0.25">
      <c r="A175" s="23">
        <v>45771</v>
      </c>
      <c r="B175" s="13" t="s">
        <v>33</v>
      </c>
      <c r="C175" s="13"/>
      <c r="D175" s="13"/>
      <c r="E175" s="13"/>
      <c r="F175" s="13"/>
      <c r="G175" s="13"/>
      <c r="H175" s="13"/>
      <c r="I175" s="7"/>
      <c r="J175" s="13"/>
      <c r="K175" s="13"/>
      <c r="L175" s="13"/>
      <c r="M175" s="13"/>
      <c r="N175" s="13"/>
      <c r="O175" s="13"/>
      <c r="P175" s="13"/>
      <c r="Q175" s="13"/>
      <c r="R175" s="13"/>
      <c r="S175" s="13">
        <v>-48</v>
      </c>
      <c r="T175" s="13">
        <v>-16</v>
      </c>
    </row>
    <row r="176" spans="1:20" x14ac:dyDescent="0.25">
      <c r="A176" s="23">
        <v>45771</v>
      </c>
      <c r="B176" s="13" t="s">
        <v>18</v>
      </c>
      <c r="C176" s="13"/>
      <c r="D176" s="13"/>
      <c r="E176" s="13"/>
      <c r="F176" s="13"/>
      <c r="G176" s="13"/>
      <c r="H176" s="13">
        <v>5000</v>
      </c>
      <c r="I176" s="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x14ac:dyDescent="0.25">
      <c r="A177" s="23">
        <v>45771</v>
      </c>
      <c r="B177" s="13" t="s">
        <v>73</v>
      </c>
      <c r="C177" s="13"/>
      <c r="D177" s="13"/>
      <c r="E177" s="13"/>
      <c r="F177" s="13"/>
      <c r="G177" s="13"/>
      <c r="H177" s="13"/>
      <c r="I177" s="7"/>
      <c r="J177" s="13">
        <v>3440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x14ac:dyDescent="0.25">
      <c r="A178" s="23">
        <v>45771</v>
      </c>
      <c r="B178" s="13" t="s">
        <v>74</v>
      </c>
      <c r="C178" s="13"/>
      <c r="D178" s="13">
        <v>3825</v>
      </c>
      <c r="E178" s="13"/>
      <c r="F178" s="13"/>
      <c r="G178" s="13"/>
      <c r="H178" s="13"/>
      <c r="I178" s="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x14ac:dyDescent="0.25">
      <c r="A179" s="23">
        <v>45771</v>
      </c>
      <c r="B179" s="13" t="s">
        <v>34</v>
      </c>
      <c r="C179" s="13"/>
      <c r="D179" s="13"/>
      <c r="E179" s="13"/>
      <c r="F179" s="13"/>
      <c r="G179" s="13"/>
      <c r="H179" s="13"/>
      <c r="I179" s="7"/>
      <c r="J179" s="13"/>
      <c r="K179" s="13"/>
      <c r="L179" s="13"/>
      <c r="M179" s="13"/>
      <c r="N179" s="13"/>
      <c r="O179" s="13">
        <v>250</v>
      </c>
      <c r="P179" s="13"/>
      <c r="Q179" s="13"/>
      <c r="R179" s="13"/>
      <c r="S179" s="13"/>
      <c r="T179" s="13"/>
    </row>
    <row r="180" spans="1:20" x14ac:dyDescent="0.25">
      <c r="A180" s="23">
        <v>45772</v>
      </c>
      <c r="B180" s="13" t="s">
        <v>33</v>
      </c>
      <c r="C180" s="13"/>
      <c r="D180" s="13"/>
      <c r="E180" s="13"/>
      <c r="F180" s="13"/>
      <c r="G180" s="13"/>
      <c r="H180" s="13"/>
      <c r="I180" s="7"/>
      <c r="J180" s="13"/>
      <c r="K180" s="13"/>
      <c r="L180" s="13"/>
      <c r="M180" s="13"/>
      <c r="N180" s="13"/>
      <c r="O180" s="13"/>
      <c r="P180" s="13"/>
      <c r="Q180" s="13"/>
      <c r="R180" s="13"/>
      <c r="S180" s="13">
        <v>-48</v>
      </c>
      <c r="T180" s="13">
        <v>-16</v>
      </c>
    </row>
    <row r="181" spans="1:20" x14ac:dyDescent="0.25">
      <c r="A181" s="23">
        <v>45772</v>
      </c>
      <c r="B181" s="7" t="s">
        <v>70</v>
      </c>
      <c r="C181" s="13">
        <v>-1525</v>
      </c>
      <c r="D181" s="13">
        <v>-750</v>
      </c>
      <c r="E181" s="13">
        <v>-710</v>
      </c>
      <c r="F181" s="13"/>
      <c r="G181" s="13">
        <v>-50</v>
      </c>
      <c r="H181" s="13">
        <v>-850</v>
      </c>
      <c r="I181" s="7">
        <v>-300</v>
      </c>
      <c r="J181" s="13">
        <v>-450</v>
      </c>
      <c r="K181" s="13"/>
      <c r="L181" s="13"/>
      <c r="M181" s="13">
        <v>-1.5</v>
      </c>
      <c r="N181" s="13"/>
      <c r="O181" s="13">
        <v>-125</v>
      </c>
      <c r="P181" s="13">
        <v>-5</v>
      </c>
      <c r="Q181" s="13"/>
      <c r="R181" s="13"/>
      <c r="S181" s="13"/>
      <c r="T181" s="13">
        <v>100</v>
      </c>
    </row>
    <row r="182" spans="1:20" x14ac:dyDescent="0.25">
      <c r="A182" s="23">
        <v>45772</v>
      </c>
      <c r="B182" s="7" t="s">
        <v>72</v>
      </c>
      <c r="C182" s="7">
        <v>-2000</v>
      </c>
      <c r="D182" s="7">
        <v>-625</v>
      </c>
      <c r="E182" s="7">
        <v>-250</v>
      </c>
      <c r="F182" s="7">
        <v>-125</v>
      </c>
      <c r="G182" s="7">
        <v>-500</v>
      </c>
      <c r="H182" s="7">
        <v>-775</v>
      </c>
      <c r="I182" s="7">
        <v>-325</v>
      </c>
      <c r="J182" s="7">
        <v>-400</v>
      </c>
      <c r="K182" s="7">
        <v>-5</v>
      </c>
      <c r="L182" s="7">
        <v>-15</v>
      </c>
      <c r="M182" s="7"/>
      <c r="N182" s="7">
        <v>-2.5</v>
      </c>
      <c r="O182" s="7"/>
      <c r="P182" s="7"/>
      <c r="Q182" s="7"/>
      <c r="R182" s="7"/>
      <c r="S182" s="7"/>
      <c r="T182" s="7"/>
    </row>
    <row r="183" spans="1:20" x14ac:dyDescent="0.25">
      <c r="A183" s="23">
        <v>45773</v>
      </c>
      <c r="B183" s="13" t="s">
        <v>33</v>
      </c>
      <c r="C183" s="13"/>
      <c r="D183" s="13"/>
      <c r="E183" s="13"/>
      <c r="F183" s="13"/>
      <c r="G183" s="13"/>
      <c r="H183" s="13"/>
      <c r="I183" s="7"/>
      <c r="J183" s="13"/>
      <c r="K183" s="13"/>
      <c r="L183" s="13"/>
      <c r="M183" s="13"/>
      <c r="N183" s="13"/>
      <c r="O183" s="13"/>
      <c r="P183" s="13"/>
      <c r="Q183" s="13"/>
      <c r="R183" s="13"/>
      <c r="S183" s="13">
        <v>-48</v>
      </c>
      <c r="T183" s="13">
        <v>-16</v>
      </c>
    </row>
    <row r="184" spans="1:20" x14ac:dyDescent="0.25">
      <c r="A184" s="23">
        <v>45773</v>
      </c>
      <c r="B184" s="7" t="s">
        <v>52</v>
      </c>
      <c r="C184" s="7">
        <v>-4000</v>
      </c>
      <c r="D184" s="7">
        <v>-1250</v>
      </c>
      <c r="E184" s="7"/>
      <c r="F184" s="7">
        <v>-250</v>
      </c>
      <c r="G184" s="7">
        <v>-900</v>
      </c>
      <c r="H184" s="7">
        <v>-1700</v>
      </c>
      <c r="I184" s="7">
        <v>-1100</v>
      </c>
      <c r="J184" s="7">
        <v>-800</v>
      </c>
      <c r="K184" s="7">
        <v>-10</v>
      </c>
      <c r="L184" s="7">
        <v>-30</v>
      </c>
      <c r="M184" s="7"/>
      <c r="N184" s="7">
        <v>-5</v>
      </c>
      <c r="O184" s="7"/>
      <c r="P184" s="7"/>
      <c r="Q184" s="7"/>
      <c r="R184" s="7"/>
      <c r="S184" s="7">
        <v>200</v>
      </c>
      <c r="T184" s="13"/>
    </row>
    <row r="185" spans="1:20" x14ac:dyDescent="0.25">
      <c r="A185" s="23">
        <v>45773</v>
      </c>
      <c r="B185" s="7" t="s">
        <v>68</v>
      </c>
      <c r="C185" s="7">
        <v>-800</v>
      </c>
      <c r="D185" s="7">
        <v>-250</v>
      </c>
      <c r="E185" s="7">
        <v>-100</v>
      </c>
      <c r="F185" s="7">
        <v>-50</v>
      </c>
      <c r="G185" s="7">
        <v>-200</v>
      </c>
      <c r="H185" s="7">
        <v>-310</v>
      </c>
      <c r="I185" s="7">
        <v>-130</v>
      </c>
      <c r="J185" s="7">
        <v>-160</v>
      </c>
      <c r="K185" s="7">
        <v>-2</v>
      </c>
      <c r="L185" s="7">
        <v>-6</v>
      </c>
      <c r="M185" s="7"/>
      <c r="N185" s="7">
        <v>-1</v>
      </c>
      <c r="O185" s="7"/>
      <c r="P185" s="7"/>
      <c r="Q185" s="7"/>
      <c r="R185" s="7"/>
      <c r="S185" s="7"/>
      <c r="T185" s="7"/>
    </row>
    <row r="186" spans="1:20" x14ac:dyDescent="0.25">
      <c r="A186" s="23">
        <v>45774</v>
      </c>
      <c r="B186" s="13" t="s">
        <v>33</v>
      </c>
      <c r="C186" s="13"/>
      <c r="D186" s="13"/>
      <c r="E186" s="13"/>
      <c r="F186" s="13"/>
      <c r="G186" s="13"/>
      <c r="H186" s="13"/>
      <c r="I186" s="7"/>
      <c r="J186" s="13"/>
      <c r="K186" s="13"/>
      <c r="L186" s="13"/>
      <c r="M186" s="13"/>
      <c r="N186" s="13"/>
      <c r="O186" s="13"/>
      <c r="P186" s="13"/>
      <c r="Q186" s="13"/>
      <c r="R186" s="13"/>
      <c r="S186" s="13">
        <v>-48</v>
      </c>
      <c r="T186" s="13">
        <v>-16</v>
      </c>
    </row>
    <row r="187" spans="1:20" x14ac:dyDescent="0.25">
      <c r="A187" s="23">
        <v>45774</v>
      </c>
      <c r="B187" s="13" t="s">
        <v>37</v>
      </c>
      <c r="C187" s="13">
        <v>37200</v>
      </c>
      <c r="D187" s="13"/>
      <c r="E187" s="13"/>
      <c r="F187" s="13"/>
      <c r="G187" s="13"/>
      <c r="H187" s="13"/>
      <c r="I187" s="7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x14ac:dyDescent="0.25">
      <c r="A188" s="23">
        <v>45775</v>
      </c>
      <c r="B188" s="13" t="s">
        <v>33</v>
      </c>
      <c r="C188" s="13"/>
      <c r="D188" s="13"/>
      <c r="E188" s="13"/>
      <c r="F188" s="13"/>
      <c r="G188" s="13"/>
      <c r="H188" s="13"/>
      <c r="I188" s="7"/>
      <c r="J188" s="13"/>
      <c r="K188" s="13"/>
      <c r="L188" s="13"/>
      <c r="M188" s="13"/>
      <c r="N188" s="13"/>
      <c r="O188" s="13"/>
      <c r="P188" s="13"/>
      <c r="Q188" s="13"/>
      <c r="R188" s="13"/>
      <c r="S188" s="13">
        <v>-48</v>
      </c>
      <c r="T188" s="13">
        <v>-18</v>
      </c>
    </row>
    <row r="189" spans="1:20" x14ac:dyDescent="0.25">
      <c r="A189" s="23">
        <v>45776</v>
      </c>
      <c r="B189" s="13" t="s">
        <v>33</v>
      </c>
      <c r="C189" s="13"/>
      <c r="D189" s="13"/>
      <c r="E189" s="13"/>
      <c r="F189" s="13"/>
      <c r="G189" s="13"/>
      <c r="H189" s="13"/>
      <c r="I189" s="7"/>
      <c r="J189" s="13"/>
      <c r="K189" s="13"/>
      <c r="L189" s="13"/>
      <c r="M189" s="13"/>
      <c r="N189" s="13"/>
      <c r="O189" s="13"/>
      <c r="P189" s="13"/>
      <c r="Q189" s="13"/>
      <c r="R189" s="13"/>
      <c r="S189" s="13">
        <v>-48</v>
      </c>
      <c r="T189" s="13">
        <v>-18</v>
      </c>
    </row>
    <row r="190" spans="1:20" x14ac:dyDescent="0.25">
      <c r="A190" s="23">
        <v>45776</v>
      </c>
      <c r="B190" s="13" t="s">
        <v>75</v>
      </c>
      <c r="C190" s="13">
        <v>568</v>
      </c>
      <c r="D190" s="13"/>
      <c r="E190" s="13"/>
      <c r="F190" s="13"/>
      <c r="G190" s="13"/>
      <c r="H190" s="13"/>
      <c r="I190" s="7"/>
      <c r="J190" s="13"/>
      <c r="K190" s="13"/>
      <c r="L190" s="13"/>
      <c r="M190" s="13"/>
      <c r="N190" s="13"/>
      <c r="O190" s="13"/>
      <c r="P190" s="13"/>
      <c r="T190" s="13"/>
    </row>
    <row r="191" spans="1:20" x14ac:dyDescent="0.25">
      <c r="A191" s="23">
        <v>45776</v>
      </c>
      <c r="B191" s="7" t="s">
        <v>16</v>
      </c>
      <c r="C191" s="7">
        <v>-1600</v>
      </c>
      <c r="D191" s="7">
        <v>-500</v>
      </c>
      <c r="E191" s="7">
        <v>-200</v>
      </c>
      <c r="F191" s="7">
        <v>-100</v>
      </c>
      <c r="G191" s="7">
        <v>-400</v>
      </c>
      <c r="H191" s="7">
        <v>-620</v>
      </c>
      <c r="I191" s="7">
        <v>-260</v>
      </c>
      <c r="J191" s="7">
        <v>-320</v>
      </c>
      <c r="K191" s="7">
        <v>-4</v>
      </c>
      <c r="L191" s="7">
        <v>-12</v>
      </c>
      <c r="M191" s="7"/>
      <c r="N191" s="7">
        <v>-2</v>
      </c>
      <c r="O191" s="7"/>
      <c r="P191" s="7"/>
      <c r="T191" s="7"/>
    </row>
    <row r="192" spans="1:20" x14ac:dyDescent="0.25">
      <c r="A192" s="23">
        <v>45776</v>
      </c>
      <c r="B192" s="7" t="s">
        <v>67</v>
      </c>
      <c r="C192" s="13">
        <v>-610</v>
      </c>
      <c r="D192" s="13">
        <v>-400</v>
      </c>
      <c r="E192" s="13">
        <v>-280</v>
      </c>
      <c r="F192" s="13"/>
      <c r="G192" s="13">
        <v>-20</v>
      </c>
      <c r="H192" s="13">
        <v>-340</v>
      </c>
      <c r="I192" s="7">
        <v>-120</v>
      </c>
      <c r="J192" s="13">
        <v>-180</v>
      </c>
      <c r="K192" s="13"/>
      <c r="L192" s="13"/>
      <c r="M192" s="13">
        <v>-0.6</v>
      </c>
      <c r="N192" s="13"/>
      <c r="O192" s="13">
        <v>-50</v>
      </c>
      <c r="P192" s="13">
        <v>-2</v>
      </c>
      <c r="Q192" s="13"/>
      <c r="R192" s="13"/>
      <c r="S192" s="13"/>
      <c r="T192" s="13">
        <v>40</v>
      </c>
    </row>
    <row r="193" spans="1:20" x14ac:dyDescent="0.25">
      <c r="A193" s="23">
        <v>45777</v>
      </c>
      <c r="B193" s="13" t="s">
        <v>33</v>
      </c>
      <c r="C193" s="13"/>
      <c r="D193" s="13"/>
      <c r="E193" s="13"/>
      <c r="F193" s="13"/>
      <c r="G193" s="13"/>
      <c r="H193" s="13"/>
      <c r="I193" s="7"/>
      <c r="J193" s="13"/>
      <c r="K193" s="13"/>
      <c r="L193" s="13"/>
      <c r="M193" s="13"/>
      <c r="N193" s="13"/>
      <c r="O193" s="13"/>
      <c r="P193" s="13"/>
      <c r="Q193" s="13"/>
      <c r="R193" s="13"/>
      <c r="S193" s="13">
        <v>-48</v>
      </c>
      <c r="T193" s="13">
        <v>-18</v>
      </c>
    </row>
    <row r="194" spans="1:20" x14ac:dyDescent="0.25">
      <c r="A194" s="23">
        <v>45777</v>
      </c>
      <c r="B194" s="7" t="s">
        <v>59</v>
      </c>
      <c r="C194" s="7">
        <v>-800</v>
      </c>
      <c r="D194" s="7">
        <v>-250</v>
      </c>
      <c r="E194" s="7"/>
      <c r="F194" s="7">
        <v>-50</v>
      </c>
      <c r="G194" s="7">
        <v>-180</v>
      </c>
      <c r="H194" s="7">
        <v>-340</v>
      </c>
      <c r="I194" s="7">
        <v>-220</v>
      </c>
      <c r="J194" s="7">
        <v>-160</v>
      </c>
      <c r="K194" s="7">
        <v>-2</v>
      </c>
      <c r="L194" s="7">
        <v>-6</v>
      </c>
      <c r="M194" s="7"/>
      <c r="N194" s="7">
        <v>-1</v>
      </c>
      <c r="O194" s="7"/>
      <c r="P194" s="7"/>
      <c r="Q194" s="7"/>
      <c r="R194" s="7"/>
      <c r="S194" s="7">
        <v>40</v>
      </c>
      <c r="T194" s="7"/>
    </row>
    <row r="195" spans="1:20" x14ac:dyDescent="0.25">
      <c r="A195" s="23">
        <v>45777</v>
      </c>
      <c r="B195" s="7" t="s">
        <v>64</v>
      </c>
      <c r="C195" s="13">
        <v>-305</v>
      </c>
      <c r="D195" s="13">
        <v>-200</v>
      </c>
      <c r="E195" s="13">
        <v>-140</v>
      </c>
      <c r="F195" s="13"/>
      <c r="G195" s="13">
        <v>-10</v>
      </c>
      <c r="H195" s="13">
        <v>-170</v>
      </c>
      <c r="I195" s="7">
        <v>-60</v>
      </c>
      <c r="J195" s="13">
        <v>-90</v>
      </c>
      <c r="K195" s="13"/>
      <c r="L195" s="13"/>
      <c r="M195" s="13">
        <v>-0.3</v>
      </c>
      <c r="N195" s="13"/>
      <c r="O195" s="13">
        <v>-25</v>
      </c>
      <c r="P195" s="13">
        <v>-1</v>
      </c>
      <c r="Q195" s="13"/>
      <c r="R195" s="13"/>
      <c r="S195" s="13"/>
      <c r="T195" s="13">
        <v>20</v>
      </c>
    </row>
    <row r="196" spans="1:20" x14ac:dyDescent="0.25">
      <c r="A196" s="23"/>
      <c r="B196" s="13"/>
      <c r="C196" s="13"/>
      <c r="D196" s="13"/>
      <c r="E196" s="13"/>
      <c r="F196" s="13"/>
      <c r="G196" s="13"/>
      <c r="H196" s="13"/>
      <c r="I196" s="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x14ac:dyDescent="0.25">
      <c r="A197" s="23"/>
      <c r="B197" s="13"/>
      <c r="C197" s="13"/>
      <c r="D197" s="13"/>
      <c r="E197" s="13"/>
      <c r="F197" s="13"/>
      <c r="G197" s="13"/>
      <c r="H197" s="13"/>
      <c r="I197" s="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x14ac:dyDescent="0.25">
      <c r="A198" s="23"/>
      <c r="B198" s="13"/>
      <c r="C198" s="13"/>
      <c r="D198" s="13"/>
      <c r="E198" s="13"/>
      <c r="F198" s="13"/>
      <c r="G198" s="13"/>
      <c r="H198" s="13"/>
      <c r="I198" s="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x14ac:dyDescent="0.25">
      <c r="A199" s="2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5">
      <c r="A201" s="20"/>
      <c r="B201" s="21" t="s">
        <v>25</v>
      </c>
      <c r="C201" s="22">
        <f t="shared" ref="C201:T201" si="2">SUM(C87:C200)</f>
        <v>36603</v>
      </c>
      <c r="D201" s="22">
        <f t="shared" si="2"/>
        <v>860</v>
      </c>
      <c r="E201" s="22">
        <f t="shared" si="2"/>
        <v>840</v>
      </c>
      <c r="F201" s="22">
        <f t="shared" si="2"/>
        <v>700</v>
      </c>
      <c r="G201" s="22">
        <f t="shared" si="2"/>
        <v>3560</v>
      </c>
      <c r="H201" s="22">
        <f t="shared" si="2"/>
        <v>895</v>
      </c>
      <c r="I201" s="22">
        <f t="shared" si="2"/>
        <v>6585</v>
      </c>
      <c r="J201" s="22">
        <f t="shared" si="2"/>
        <v>840</v>
      </c>
      <c r="K201" s="22">
        <f t="shared" si="2"/>
        <v>1.5999999999999943</v>
      </c>
      <c r="L201" s="22">
        <f t="shared" si="2"/>
        <v>88</v>
      </c>
      <c r="M201" s="22">
        <f t="shared" si="2"/>
        <v>13.099999999999993</v>
      </c>
      <c r="N201" s="22">
        <f t="shared" si="2"/>
        <v>13</v>
      </c>
      <c r="O201" s="22">
        <f t="shared" si="2"/>
        <v>55</v>
      </c>
      <c r="P201" s="22">
        <f t="shared" si="2"/>
        <v>10</v>
      </c>
      <c r="Q201" s="22"/>
      <c r="R201" s="22"/>
      <c r="S201" s="22">
        <f t="shared" si="2"/>
        <v>50</v>
      </c>
      <c r="T201" s="22">
        <f t="shared" si="2"/>
        <v>86</v>
      </c>
    </row>
    <row r="202" spans="1:20" x14ac:dyDescent="0.25">
      <c r="A202" s="17"/>
      <c r="B202" s="17" t="s">
        <v>28</v>
      </c>
      <c r="C202" s="17">
        <v>1808</v>
      </c>
      <c r="D202" s="17">
        <v>640</v>
      </c>
      <c r="E202" s="17">
        <v>140</v>
      </c>
      <c r="F202" s="17">
        <v>100</v>
      </c>
      <c r="G202" s="17">
        <v>544</v>
      </c>
      <c r="H202" s="17">
        <v>804</v>
      </c>
      <c r="I202" s="17">
        <v>440</v>
      </c>
      <c r="J202" s="17">
        <v>332</v>
      </c>
      <c r="K202" s="17">
        <v>4</v>
      </c>
      <c r="L202" s="17">
        <v>12</v>
      </c>
      <c r="M202" s="17">
        <v>0.12</v>
      </c>
      <c r="N202" s="17">
        <v>2</v>
      </c>
      <c r="O202" s="17">
        <v>11</v>
      </c>
      <c r="P202" s="17">
        <v>0.8</v>
      </c>
      <c r="Q202" s="17"/>
      <c r="R202" s="17"/>
      <c r="S202" s="17">
        <v>48</v>
      </c>
      <c r="T202" s="17">
        <v>18</v>
      </c>
    </row>
    <row r="203" spans="1:20" x14ac:dyDescent="0.25">
      <c r="A203" s="24"/>
      <c r="B203" s="24" t="s">
        <v>26</v>
      </c>
      <c r="C203" s="25">
        <f>C201/C202</f>
        <v>20.245022123893804</v>
      </c>
      <c r="D203" s="25">
        <f t="shared" ref="D203:T203" si="3">D201/D202</f>
        <v>1.34375</v>
      </c>
      <c r="E203" s="25">
        <f t="shared" si="3"/>
        <v>6</v>
      </c>
      <c r="F203" s="25">
        <f t="shared" si="3"/>
        <v>7</v>
      </c>
      <c r="G203" s="25">
        <f t="shared" si="3"/>
        <v>6.5441176470588234</v>
      </c>
      <c r="H203" s="25">
        <f t="shared" si="3"/>
        <v>1.1131840796019901</v>
      </c>
      <c r="I203" s="25">
        <f t="shared" si="3"/>
        <v>14.965909090909092</v>
      </c>
      <c r="J203" s="25">
        <f t="shared" si="3"/>
        <v>2.5301204819277108</v>
      </c>
      <c r="K203" s="25">
        <f t="shared" si="3"/>
        <v>0.39999999999999858</v>
      </c>
      <c r="L203" s="25">
        <f t="shared" si="3"/>
        <v>7.333333333333333</v>
      </c>
      <c r="M203" s="25">
        <f t="shared" si="3"/>
        <v>109.16666666666661</v>
      </c>
      <c r="N203" s="25">
        <f t="shared" si="3"/>
        <v>6.5</v>
      </c>
      <c r="O203" s="25">
        <f t="shared" si="3"/>
        <v>5</v>
      </c>
      <c r="P203" s="25">
        <f t="shared" si="3"/>
        <v>12.5</v>
      </c>
      <c r="Q203" s="25"/>
      <c r="R203" s="25"/>
      <c r="S203" s="25">
        <f t="shared" si="3"/>
        <v>1.0416666666666667</v>
      </c>
      <c r="T203" s="25">
        <f t="shared" si="3"/>
        <v>4.7777777777777777</v>
      </c>
    </row>
    <row r="204" spans="1:20" s="28" customFormat="1" x14ac:dyDescent="0.25">
      <c r="A204" s="9"/>
      <c r="B204" s="9"/>
      <c r="C204" s="27"/>
      <c r="D204" s="27"/>
      <c r="E204" s="27"/>
      <c r="F204" s="47">
        <v>45778</v>
      </c>
      <c r="G204" s="48"/>
      <c r="H204" s="48"/>
      <c r="I204" s="48"/>
      <c r="J204" s="48"/>
      <c r="K204" s="48"/>
      <c r="L204" s="48"/>
      <c r="M204" s="48"/>
      <c r="N204" s="49"/>
      <c r="O204" s="27"/>
      <c r="P204" s="27"/>
      <c r="Q204" s="27"/>
      <c r="R204" s="27"/>
      <c r="S204" s="27"/>
      <c r="T204" s="27"/>
    </row>
    <row r="205" spans="1:20" s="28" customFormat="1" x14ac:dyDescent="0.25">
      <c r="A205" s="9"/>
      <c r="B205" s="9"/>
      <c r="C205" s="27"/>
      <c r="D205" s="27"/>
      <c r="E205" s="27"/>
      <c r="F205" s="50"/>
      <c r="G205" s="51"/>
      <c r="H205" s="51"/>
      <c r="I205" s="51"/>
      <c r="J205" s="51"/>
      <c r="K205" s="51"/>
      <c r="L205" s="51"/>
      <c r="M205" s="51"/>
      <c r="N205" s="52"/>
      <c r="O205" s="27"/>
      <c r="P205" s="27"/>
      <c r="Q205" s="27"/>
      <c r="R205" s="27"/>
      <c r="S205" s="27"/>
      <c r="T205" s="27"/>
    </row>
    <row r="206" spans="1:20" s="28" customFormat="1" x14ac:dyDescent="0.25">
      <c r="F206" s="50"/>
      <c r="G206" s="51"/>
      <c r="H206" s="51"/>
      <c r="I206" s="51"/>
      <c r="J206" s="51"/>
      <c r="K206" s="51"/>
      <c r="L206" s="51"/>
      <c r="M206" s="51"/>
      <c r="N206" s="52"/>
    </row>
    <row r="207" spans="1:20" s="28" customFormat="1" x14ac:dyDescent="0.25">
      <c r="F207" s="53"/>
      <c r="G207" s="54"/>
      <c r="H207" s="54"/>
      <c r="I207" s="54"/>
      <c r="J207" s="54"/>
      <c r="K207" s="54"/>
      <c r="L207" s="54"/>
      <c r="M207" s="54"/>
      <c r="N207" s="55"/>
    </row>
    <row r="208" spans="1:20" x14ac:dyDescent="0.25">
      <c r="A208" s="19">
        <v>45778</v>
      </c>
      <c r="B208" s="11" t="s">
        <v>0</v>
      </c>
      <c r="C208" s="26">
        <v>36600</v>
      </c>
      <c r="D208" s="11">
        <v>765</v>
      </c>
      <c r="E208" s="13">
        <v>1485</v>
      </c>
      <c r="F208" s="11">
        <v>700</v>
      </c>
      <c r="G208" s="11">
        <v>3530</v>
      </c>
      <c r="H208" s="11">
        <v>1050</v>
      </c>
      <c r="I208" s="11">
        <v>6350</v>
      </c>
      <c r="J208" s="11">
        <v>760</v>
      </c>
      <c r="K208" s="11">
        <v>2</v>
      </c>
      <c r="L208" s="11">
        <v>93</v>
      </c>
      <c r="M208" s="11">
        <v>12</v>
      </c>
      <c r="N208" s="11">
        <v>13</v>
      </c>
      <c r="O208" s="11">
        <v>50</v>
      </c>
      <c r="P208" s="11">
        <v>10</v>
      </c>
      <c r="Q208" s="11"/>
      <c r="R208" s="11"/>
      <c r="S208" s="11">
        <v>56</v>
      </c>
      <c r="T208" s="11">
        <v>62</v>
      </c>
    </row>
    <row r="209" spans="1:20" x14ac:dyDescent="0.25">
      <c r="A209" s="19">
        <v>45778</v>
      </c>
      <c r="B209" s="7" t="s">
        <v>71</v>
      </c>
      <c r="C209" s="7">
        <v>-400</v>
      </c>
      <c r="D209" s="7">
        <v>-125</v>
      </c>
      <c r="E209" s="7">
        <v>-50</v>
      </c>
      <c r="F209" s="7">
        <v>-25</v>
      </c>
      <c r="G209" s="7">
        <v>-100</v>
      </c>
      <c r="H209" s="7">
        <v>-155</v>
      </c>
      <c r="I209" s="7">
        <v>-65</v>
      </c>
      <c r="J209" s="7">
        <v>-80</v>
      </c>
      <c r="K209" s="7">
        <v>-1</v>
      </c>
      <c r="L209" s="7">
        <v>-3</v>
      </c>
      <c r="M209" s="7"/>
      <c r="N209" s="7">
        <v>-0.5</v>
      </c>
      <c r="O209" s="7"/>
      <c r="P209" s="7"/>
      <c r="Q209" s="7"/>
      <c r="R209" s="7"/>
      <c r="S209" s="7"/>
      <c r="T209" s="7"/>
    </row>
    <row r="210" spans="1:20" x14ac:dyDescent="0.25">
      <c r="A210" s="19">
        <v>45778</v>
      </c>
      <c r="B210" s="7" t="s">
        <v>2</v>
      </c>
      <c r="C210" s="7">
        <v>-1600</v>
      </c>
      <c r="D210" s="7">
        <v>-500</v>
      </c>
      <c r="E210" s="7"/>
      <c r="F210" s="7">
        <v>-100</v>
      </c>
      <c r="G210" s="7">
        <v>-360</v>
      </c>
      <c r="H210" s="7">
        <v>-680</v>
      </c>
      <c r="I210" s="7">
        <v>-440</v>
      </c>
      <c r="J210" s="7">
        <v>-320</v>
      </c>
      <c r="K210" s="7">
        <v>-4</v>
      </c>
      <c r="L210" s="7">
        <v>-12</v>
      </c>
      <c r="M210" s="7"/>
      <c r="N210" s="7">
        <v>-2</v>
      </c>
      <c r="O210" s="7"/>
      <c r="P210" s="7"/>
      <c r="Q210" s="7"/>
      <c r="R210" s="7"/>
      <c r="S210" s="7">
        <v>80</v>
      </c>
      <c r="T210" s="7"/>
    </row>
    <row r="211" spans="1:20" x14ac:dyDescent="0.25">
      <c r="A211" s="19">
        <v>45778</v>
      </c>
      <c r="B211" s="13" t="s">
        <v>33</v>
      </c>
      <c r="C211" s="13"/>
      <c r="D211" s="13"/>
      <c r="E211" s="13"/>
      <c r="F211" s="13"/>
      <c r="G211" s="13"/>
      <c r="H211" s="13"/>
      <c r="I211" s="7"/>
      <c r="J211" s="13"/>
      <c r="K211" s="13"/>
      <c r="L211" s="13"/>
      <c r="M211" s="13"/>
      <c r="N211" s="13"/>
      <c r="O211" s="13"/>
      <c r="P211" s="13"/>
      <c r="Q211" s="13"/>
      <c r="R211" s="13"/>
      <c r="S211" s="13">
        <v>-48</v>
      </c>
      <c r="T211" s="13">
        <v>-18</v>
      </c>
    </row>
    <row r="212" spans="1:20" x14ac:dyDescent="0.25">
      <c r="A212" s="19">
        <v>45779</v>
      </c>
      <c r="B212" s="13" t="s">
        <v>33</v>
      </c>
      <c r="C212" s="13"/>
      <c r="D212" s="13"/>
      <c r="E212" s="13"/>
      <c r="F212" s="13"/>
      <c r="G212" s="13"/>
      <c r="H212" s="13"/>
      <c r="I212" s="7"/>
      <c r="J212" s="13"/>
      <c r="K212" s="13"/>
      <c r="L212" s="13"/>
      <c r="M212" s="13"/>
      <c r="N212" s="13"/>
      <c r="O212" s="13"/>
      <c r="P212" s="13"/>
      <c r="Q212" s="13"/>
      <c r="R212" s="13"/>
      <c r="S212" s="13">
        <v>-48</v>
      </c>
      <c r="T212" s="13">
        <v>-18</v>
      </c>
    </row>
    <row r="213" spans="1:20" x14ac:dyDescent="0.25">
      <c r="A213" s="19">
        <v>45779</v>
      </c>
      <c r="B213" s="7" t="s">
        <v>16</v>
      </c>
      <c r="C213" s="7">
        <v>-1600</v>
      </c>
      <c r="D213" s="7">
        <v>-500</v>
      </c>
      <c r="E213" s="7">
        <v>-200</v>
      </c>
      <c r="F213" s="7">
        <v>-100</v>
      </c>
      <c r="G213" s="7">
        <v>-400</v>
      </c>
      <c r="H213" s="7">
        <v>-620</v>
      </c>
      <c r="I213" s="7">
        <v>-260</v>
      </c>
      <c r="J213" s="7">
        <v>-320</v>
      </c>
      <c r="K213" s="7">
        <v>-4</v>
      </c>
      <c r="L213" s="7">
        <v>-12</v>
      </c>
      <c r="M213" s="7"/>
      <c r="N213" s="7">
        <v>-2</v>
      </c>
      <c r="O213" s="7"/>
      <c r="P213" s="7"/>
      <c r="T213" s="7"/>
    </row>
    <row r="214" spans="1:20" x14ac:dyDescent="0.25">
      <c r="A214" s="19">
        <v>45779</v>
      </c>
      <c r="B214" s="13" t="s">
        <v>6</v>
      </c>
      <c r="C214" s="13"/>
      <c r="D214" s="13"/>
      <c r="E214" s="13"/>
      <c r="F214" s="13"/>
      <c r="G214" s="13"/>
      <c r="H214" s="13">
        <v>5000</v>
      </c>
      <c r="I214" s="7"/>
      <c r="J214" s="13"/>
      <c r="K214" s="13"/>
      <c r="L214" s="13"/>
      <c r="M214" s="13"/>
      <c r="N214" s="13"/>
      <c r="O214" s="13"/>
      <c r="P214" s="13"/>
      <c r="T214" s="13"/>
    </row>
    <row r="215" spans="1:20" x14ac:dyDescent="0.25">
      <c r="A215" s="19">
        <v>45779</v>
      </c>
      <c r="B215" s="13" t="s">
        <v>77</v>
      </c>
      <c r="C215" s="13"/>
      <c r="D215" s="13"/>
      <c r="E215" s="13"/>
      <c r="F215" s="13"/>
      <c r="G215" s="13"/>
      <c r="H215" s="13"/>
      <c r="I215" s="7"/>
      <c r="J215" s="13">
        <v>2640</v>
      </c>
      <c r="K215" s="13"/>
      <c r="L215" s="13"/>
      <c r="M215" s="13"/>
      <c r="N215" s="13"/>
      <c r="O215" s="13"/>
      <c r="P215" s="13"/>
      <c r="T215" s="13"/>
    </row>
    <row r="216" spans="1:20" x14ac:dyDescent="0.25">
      <c r="A216" s="19">
        <v>45779</v>
      </c>
      <c r="B216" s="13" t="s">
        <v>17</v>
      </c>
      <c r="C216" s="13"/>
      <c r="D216" s="13">
        <v>4600</v>
      </c>
      <c r="E216" s="13"/>
      <c r="F216" s="13"/>
      <c r="G216" s="13"/>
      <c r="H216" s="13"/>
      <c r="I216" s="7"/>
      <c r="J216" s="13"/>
      <c r="K216" s="13"/>
      <c r="L216" s="13"/>
      <c r="M216" s="13"/>
      <c r="N216" s="13"/>
      <c r="O216" s="13"/>
      <c r="P216" s="13"/>
      <c r="T216" s="13"/>
    </row>
    <row r="217" spans="1:20" x14ac:dyDescent="0.25">
      <c r="A217" s="19">
        <v>45779</v>
      </c>
      <c r="B217" s="13" t="s">
        <v>78</v>
      </c>
      <c r="C217" s="13"/>
      <c r="D217" s="13"/>
      <c r="E217" s="13"/>
      <c r="F217" s="13"/>
      <c r="G217" s="13"/>
      <c r="H217" s="13"/>
      <c r="I217" s="7"/>
      <c r="J217" s="13"/>
      <c r="K217" s="13">
        <v>200</v>
      </c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x14ac:dyDescent="0.25">
      <c r="A218" s="19">
        <v>45779</v>
      </c>
      <c r="B218" s="13" t="s">
        <v>79</v>
      </c>
      <c r="C218" s="13">
        <v>900</v>
      </c>
      <c r="D218" s="13"/>
      <c r="E218" s="13"/>
      <c r="F218" s="13"/>
      <c r="G218" s="13"/>
      <c r="H218" s="13"/>
      <c r="I218" s="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x14ac:dyDescent="0.25">
      <c r="A219" s="19">
        <v>45780</v>
      </c>
      <c r="B219" s="7" t="s">
        <v>68</v>
      </c>
      <c r="C219" s="7">
        <v>-800</v>
      </c>
      <c r="D219" s="7">
        <v>-250</v>
      </c>
      <c r="E219" s="7">
        <v>-100</v>
      </c>
      <c r="F219" s="7">
        <v>-50</v>
      </c>
      <c r="G219" s="7">
        <v>-200</v>
      </c>
      <c r="H219" s="7">
        <v>-310</v>
      </c>
      <c r="I219" s="7">
        <v>-130</v>
      </c>
      <c r="J219" s="7">
        <v>-160</v>
      </c>
      <c r="K219" s="7">
        <v>-2</v>
      </c>
      <c r="L219" s="7">
        <v>-6</v>
      </c>
      <c r="M219" s="7"/>
      <c r="N219" s="7">
        <v>-1</v>
      </c>
      <c r="O219" s="7"/>
      <c r="P219" s="7"/>
      <c r="Q219" s="7"/>
      <c r="R219" s="7"/>
      <c r="S219" s="7"/>
      <c r="T219" s="7"/>
    </row>
    <row r="220" spans="1:20" x14ac:dyDescent="0.25">
      <c r="A220" s="19">
        <v>45780</v>
      </c>
      <c r="B220" s="7" t="s">
        <v>56</v>
      </c>
      <c r="C220" s="7">
        <v>-1200</v>
      </c>
      <c r="D220" s="7">
        <v>-375</v>
      </c>
      <c r="E220" s="7"/>
      <c r="F220" s="7">
        <v>-75</v>
      </c>
      <c r="G220" s="7">
        <v>-270</v>
      </c>
      <c r="H220" s="7">
        <v>-510</v>
      </c>
      <c r="I220" s="7">
        <v>-330</v>
      </c>
      <c r="J220" s="7">
        <v>-240</v>
      </c>
      <c r="K220" s="7">
        <v>-3</v>
      </c>
      <c r="L220" s="7">
        <v>-9</v>
      </c>
      <c r="M220" s="7"/>
      <c r="N220" s="7">
        <v>-1.5</v>
      </c>
      <c r="O220" s="7"/>
      <c r="P220" s="7"/>
      <c r="Q220" s="7"/>
      <c r="R220" s="7"/>
      <c r="S220" s="7">
        <v>60</v>
      </c>
      <c r="T220" s="7"/>
    </row>
    <row r="221" spans="1:20" x14ac:dyDescent="0.25">
      <c r="A221" s="19">
        <v>45780</v>
      </c>
      <c r="B221" s="7" t="s">
        <v>67</v>
      </c>
      <c r="C221" s="13">
        <v>-610</v>
      </c>
      <c r="D221" s="13">
        <v>-400</v>
      </c>
      <c r="E221" s="13">
        <v>-280</v>
      </c>
      <c r="F221" s="13"/>
      <c r="G221" s="13">
        <v>-20</v>
      </c>
      <c r="H221" s="13">
        <v>-340</v>
      </c>
      <c r="I221" s="7">
        <v>-120</v>
      </c>
      <c r="J221" s="13">
        <v>-180</v>
      </c>
      <c r="K221" s="13"/>
      <c r="L221" s="13"/>
      <c r="M221" s="13">
        <v>-0.6</v>
      </c>
      <c r="N221" s="13"/>
      <c r="O221" s="13">
        <v>-50</v>
      </c>
      <c r="P221" s="13">
        <v>-2</v>
      </c>
      <c r="Q221" s="13"/>
      <c r="R221" s="13"/>
      <c r="S221" s="13"/>
      <c r="T221" s="13">
        <v>40</v>
      </c>
    </row>
    <row r="222" spans="1:20" x14ac:dyDescent="0.25">
      <c r="A222" s="19">
        <v>45780</v>
      </c>
      <c r="B222" s="13" t="s">
        <v>33</v>
      </c>
      <c r="C222" s="13"/>
      <c r="D222" s="13"/>
      <c r="E222" s="13"/>
      <c r="F222" s="13"/>
      <c r="G222" s="13"/>
      <c r="H222" s="13"/>
      <c r="I222" s="7"/>
      <c r="J222" s="13"/>
      <c r="K222" s="13"/>
      <c r="L222" s="13"/>
      <c r="M222" s="13"/>
      <c r="N222" s="13"/>
      <c r="O222" s="13"/>
      <c r="P222" s="13"/>
      <c r="Q222" s="13"/>
      <c r="R222" s="13"/>
      <c r="S222" s="13">
        <v>-48</v>
      </c>
      <c r="T222" s="13">
        <v>-18</v>
      </c>
    </row>
    <row r="223" spans="1:20" x14ac:dyDescent="0.25">
      <c r="A223" s="19">
        <v>45781</v>
      </c>
      <c r="B223" s="13" t="s">
        <v>37</v>
      </c>
      <c r="C223" s="13">
        <v>12400</v>
      </c>
      <c r="D223" s="13"/>
      <c r="E223" s="13"/>
      <c r="F223" s="13"/>
      <c r="G223" s="13"/>
      <c r="H223" s="13"/>
      <c r="I223" s="7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x14ac:dyDescent="0.25">
      <c r="A224" s="19">
        <v>45781</v>
      </c>
      <c r="B224" s="13" t="s">
        <v>33</v>
      </c>
      <c r="C224" s="13"/>
      <c r="D224" s="13"/>
      <c r="E224" s="13"/>
      <c r="F224" s="13"/>
      <c r="G224" s="13"/>
      <c r="H224" s="13"/>
      <c r="I224" s="7"/>
      <c r="J224" s="13"/>
      <c r="K224" s="13"/>
      <c r="L224" s="13"/>
      <c r="M224" s="13"/>
      <c r="N224" s="13"/>
      <c r="O224" s="13"/>
      <c r="P224" s="13"/>
      <c r="Q224" s="13"/>
      <c r="R224" s="13"/>
      <c r="S224" s="13">
        <v>-48</v>
      </c>
      <c r="T224" s="13">
        <v>-18</v>
      </c>
    </row>
    <row r="225" spans="1:20" x14ac:dyDescent="0.25">
      <c r="A225" s="19">
        <v>45781</v>
      </c>
      <c r="B225" s="7" t="s">
        <v>1</v>
      </c>
      <c r="C225" s="7">
        <v>-2000</v>
      </c>
      <c r="D225" s="7">
        <v>-625</v>
      </c>
      <c r="E225" s="7"/>
      <c r="F225" s="7">
        <v>-125</v>
      </c>
      <c r="G225" s="7">
        <v>-450</v>
      </c>
      <c r="H225" s="7">
        <v>-850</v>
      </c>
      <c r="I225" s="7">
        <v>-550</v>
      </c>
      <c r="J225" s="7">
        <v>-400</v>
      </c>
      <c r="K225" s="7">
        <v>-5</v>
      </c>
      <c r="L225" s="7">
        <v>-15</v>
      </c>
      <c r="M225" s="7"/>
      <c r="N225" s="7">
        <v>-2.5</v>
      </c>
      <c r="O225" s="7"/>
      <c r="P225" s="7"/>
      <c r="Q225" s="7"/>
      <c r="R225" s="7"/>
      <c r="S225" s="7">
        <v>100</v>
      </c>
      <c r="T225" s="13"/>
    </row>
    <row r="226" spans="1:20" x14ac:dyDescent="0.25">
      <c r="A226" s="19">
        <v>45782</v>
      </c>
      <c r="B226" s="13" t="s">
        <v>33</v>
      </c>
      <c r="C226" s="13"/>
      <c r="D226" s="13"/>
      <c r="E226" s="13"/>
      <c r="F226" s="13"/>
      <c r="G226" s="13"/>
      <c r="H226" s="13"/>
      <c r="I226" s="7"/>
      <c r="J226" s="13"/>
      <c r="K226" s="13"/>
      <c r="L226" s="13"/>
      <c r="M226" s="13"/>
      <c r="N226" s="13"/>
      <c r="O226" s="13"/>
      <c r="P226" s="13"/>
      <c r="Q226" s="13"/>
      <c r="R226" s="13"/>
      <c r="S226" s="13">
        <v>-48</v>
      </c>
      <c r="T226" s="13">
        <v>-18</v>
      </c>
    </row>
    <row r="227" spans="1:20" x14ac:dyDescent="0.25">
      <c r="A227" s="19">
        <v>45783</v>
      </c>
      <c r="B227" s="13" t="s">
        <v>33</v>
      </c>
      <c r="C227" s="13"/>
      <c r="D227" s="13"/>
      <c r="E227" s="13"/>
      <c r="F227" s="13"/>
      <c r="G227" s="13"/>
      <c r="H227" s="13"/>
      <c r="I227" s="7"/>
      <c r="J227" s="13"/>
      <c r="K227" s="13"/>
      <c r="L227" s="13"/>
      <c r="M227" s="13"/>
      <c r="N227" s="13"/>
      <c r="O227" s="13"/>
      <c r="P227" s="13"/>
      <c r="Q227" s="13"/>
      <c r="R227" s="13"/>
      <c r="S227" s="13">
        <v>-48</v>
      </c>
      <c r="T227" s="13">
        <v>-20</v>
      </c>
    </row>
    <row r="228" spans="1:20" x14ac:dyDescent="0.25">
      <c r="A228" s="19">
        <v>45783</v>
      </c>
      <c r="B228" s="7" t="s">
        <v>68</v>
      </c>
      <c r="C228" s="7">
        <v>-800</v>
      </c>
      <c r="D228" s="7">
        <v>-250</v>
      </c>
      <c r="E228" s="7">
        <v>-100</v>
      </c>
      <c r="F228" s="7">
        <v>-50</v>
      </c>
      <c r="G228" s="7">
        <v>-200</v>
      </c>
      <c r="H228" s="7">
        <v>-310</v>
      </c>
      <c r="I228" s="7">
        <v>-130</v>
      </c>
      <c r="J228" s="7">
        <v>-160</v>
      </c>
      <c r="K228" s="7">
        <v>-2</v>
      </c>
      <c r="L228" s="7">
        <v>-6</v>
      </c>
      <c r="M228" s="7"/>
      <c r="N228" s="7">
        <v>-1</v>
      </c>
      <c r="O228" s="7"/>
      <c r="P228" s="7"/>
      <c r="Q228" s="7"/>
      <c r="R228" s="7"/>
      <c r="S228" s="7"/>
      <c r="T228" s="7"/>
    </row>
    <row r="229" spans="1:20" x14ac:dyDescent="0.25">
      <c r="A229" s="19">
        <v>45783</v>
      </c>
      <c r="B229" s="7" t="s">
        <v>80</v>
      </c>
      <c r="C229" s="13">
        <v>-305</v>
      </c>
      <c r="D229" s="13">
        <v>-220</v>
      </c>
      <c r="E229" s="13">
        <v>-140</v>
      </c>
      <c r="F229" s="13">
        <v>-25</v>
      </c>
      <c r="G229" s="13">
        <v>-10</v>
      </c>
      <c r="H229" s="13">
        <v>-150</v>
      </c>
      <c r="I229" s="7">
        <v>-70</v>
      </c>
      <c r="J229" s="13">
        <v>-80</v>
      </c>
      <c r="K229" s="13">
        <v>-1</v>
      </c>
      <c r="L229" s="13"/>
      <c r="M229" s="13">
        <v>-0.3</v>
      </c>
      <c r="N229" s="13"/>
      <c r="O229" s="13"/>
      <c r="P229" s="13"/>
      <c r="Q229" s="13"/>
      <c r="R229" s="13"/>
      <c r="S229" s="13"/>
      <c r="T229" s="13">
        <v>20</v>
      </c>
    </row>
    <row r="230" spans="1:20" x14ac:dyDescent="0.25">
      <c r="A230" s="19">
        <v>45784</v>
      </c>
      <c r="B230" s="7" t="s">
        <v>68</v>
      </c>
      <c r="C230" s="7">
        <v>-800</v>
      </c>
      <c r="D230" s="7">
        <v>-250</v>
      </c>
      <c r="E230" s="7">
        <v>-100</v>
      </c>
      <c r="F230" s="7">
        <v>-50</v>
      </c>
      <c r="G230" s="7">
        <v>-200</v>
      </c>
      <c r="H230" s="7">
        <v>-310</v>
      </c>
      <c r="I230" s="7">
        <v>-130</v>
      </c>
      <c r="J230" s="7">
        <v>-160</v>
      </c>
      <c r="K230" s="7">
        <v>-2</v>
      </c>
      <c r="L230" s="7">
        <v>-6</v>
      </c>
      <c r="M230" s="7"/>
      <c r="N230" s="7">
        <v>-1</v>
      </c>
      <c r="O230" s="7"/>
      <c r="P230" s="7"/>
      <c r="Q230" s="7"/>
      <c r="R230" s="7"/>
      <c r="S230" s="7"/>
      <c r="T230" s="7"/>
    </row>
    <row r="231" spans="1:20" x14ac:dyDescent="0.25">
      <c r="A231" s="19">
        <v>45784</v>
      </c>
      <c r="B231" s="7" t="s">
        <v>80</v>
      </c>
      <c r="C231" s="13">
        <v>-305</v>
      </c>
      <c r="D231" s="13">
        <v>-220</v>
      </c>
      <c r="E231" s="13">
        <v>-140</v>
      </c>
      <c r="F231" s="13">
        <v>-25</v>
      </c>
      <c r="G231" s="13">
        <v>-10</v>
      </c>
      <c r="H231" s="13">
        <v>-150</v>
      </c>
      <c r="I231" s="7">
        <v>-70</v>
      </c>
      <c r="J231" s="13">
        <v>-80</v>
      </c>
      <c r="L231" s="13"/>
      <c r="M231" s="13">
        <v>-0.3</v>
      </c>
      <c r="N231" s="13"/>
      <c r="O231" s="13"/>
      <c r="P231" s="13">
        <v>-1</v>
      </c>
      <c r="Q231" s="13"/>
      <c r="R231" s="13"/>
      <c r="S231" s="13"/>
      <c r="T231" s="13">
        <v>20</v>
      </c>
    </row>
    <row r="232" spans="1:20" x14ac:dyDescent="0.25">
      <c r="A232" s="19">
        <v>45784</v>
      </c>
      <c r="B232" s="7" t="s">
        <v>31</v>
      </c>
      <c r="C232" s="7">
        <v>-400</v>
      </c>
      <c r="D232" s="7">
        <v>-125</v>
      </c>
      <c r="E232" s="7"/>
      <c r="F232" s="7">
        <v>-25</v>
      </c>
      <c r="G232" s="7">
        <v>-90</v>
      </c>
      <c r="H232" s="7">
        <v>-170</v>
      </c>
      <c r="I232" s="7">
        <v>-110</v>
      </c>
      <c r="J232" s="7">
        <v>-80</v>
      </c>
      <c r="K232" s="7">
        <v>-1</v>
      </c>
      <c r="L232" s="7">
        <v>-3</v>
      </c>
      <c r="M232" s="7"/>
      <c r="N232" s="7">
        <v>-0.5</v>
      </c>
      <c r="O232" s="7"/>
      <c r="P232" s="7"/>
      <c r="T232" s="13"/>
    </row>
    <row r="233" spans="1:20" x14ac:dyDescent="0.25">
      <c r="A233" s="19">
        <v>45784</v>
      </c>
      <c r="B233" s="7" t="s">
        <v>8</v>
      </c>
      <c r="C233" s="13"/>
      <c r="D233" s="13"/>
      <c r="E233" s="13"/>
      <c r="F233" s="13"/>
      <c r="G233" s="13">
        <v>11000</v>
      </c>
      <c r="H233" s="13"/>
      <c r="I233" s="7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x14ac:dyDescent="0.25">
      <c r="A234" s="19">
        <v>45784</v>
      </c>
      <c r="B234" s="7" t="s">
        <v>6</v>
      </c>
      <c r="C234" s="13"/>
      <c r="D234" s="13"/>
      <c r="E234" s="13"/>
      <c r="F234" s="13"/>
      <c r="G234" s="13"/>
      <c r="H234" s="13">
        <v>4250</v>
      </c>
      <c r="I234" s="7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x14ac:dyDescent="0.25">
      <c r="A235" s="19">
        <v>45784</v>
      </c>
      <c r="B235" s="7" t="s">
        <v>17</v>
      </c>
      <c r="C235" s="13"/>
      <c r="D235" s="13">
        <v>4000</v>
      </c>
      <c r="E235" s="13"/>
      <c r="F235" s="13"/>
      <c r="G235" s="13"/>
      <c r="H235" s="13"/>
      <c r="I235" s="7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x14ac:dyDescent="0.25">
      <c r="A236" s="19">
        <v>45784</v>
      </c>
      <c r="B236" s="7" t="s">
        <v>77</v>
      </c>
      <c r="C236" s="13"/>
      <c r="D236" s="13"/>
      <c r="E236" s="13"/>
      <c r="F236" s="13"/>
      <c r="G236" s="13"/>
      <c r="H236" s="13"/>
      <c r="I236" s="7"/>
      <c r="J236" s="13">
        <v>2320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x14ac:dyDescent="0.25">
      <c r="A237" s="19">
        <v>45784</v>
      </c>
      <c r="B237" s="7" t="s">
        <v>10</v>
      </c>
      <c r="C237" s="13"/>
      <c r="D237" s="13"/>
      <c r="E237" s="13"/>
      <c r="F237" s="13">
        <v>1750</v>
      </c>
      <c r="G237" s="13"/>
      <c r="H237" s="13"/>
      <c r="I237" s="7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x14ac:dyDescent="0.25">
      <c r="A238" s="19">
        <v>45784</v>
      </c>
      <c r="B238" s="7" t="s">
        <v>34</v>
      </c>
      <c r="C238" s="13"/>
      <c r="D238" s="13"/>
      <c r="E238" s="13"/>
      <c r="F238" s="13"/>
      <c r="G238" s="13"/>
      <c r="H238" s="13"/>
      <c r="I238" s="7"/>
      <c r="J238" s="13"/>
      <c r="K238" s="13"/>
      <c r="L238" s="13"/>
      <c r="M238" s="13"/>
      <c r="N238" s="13"/>
      <c r="O238" s="13">
        <v>125</v>
      </c>
      <c r="P238" s="13"/>
      <c r="Q238" s="13"/>
      <c r="R238" s="13"/>
      <c r="S238" s="13"/>
      <c r="T238" s="13"/>
    </row>
    <row r="239" spans="1:20" x14ac:dyDescent="0.25">
      <c r="A239" s="19">
        <v>45784</v>
      </c>
      <c r="B239" s="13" t="s">
        <v>33</v>
      </c>
      <c r="C239" s="13"/>
      <c r="D239" s="13"/>
      <c r="E239" s="13"/>
      <c r="F239" s="13"/>
      <c r="G239" s="13"/>
      <c r="H239" s="13"/>
      <c r="I239" s="7"/>
      <c r="J239" s="13"/>
      <c r="K239" s="13"/>
      <c r="L239" s="13"/>
      <c r="M239" s="13"/>
      <c r="N239" s="13"/>
      <c r="O239" s="13"/>
      <c r="P239" s="13"/>
      <c r="Q239" s="13"/>
      <c r="R239" s="13"/>
      <c r="S239" s="13">
        <v>-48</v>
      </c>
      <c r="T239" s="13">
        <v>-20</v>
      </c>
    </row>
    <row r="240" spans="1:20" x14ac:dyDescent="0.25">
      <c r="A240" s="19">
        <v>45785</v>
      </c>
      <c r="B240" s="13" t="s">
        <v>33</v>
      </c>
      <c r="C240" s="13"/>
      <c r="D240" s="13"/>
      <c r="E240" s="13"/>
      <c r="F240" s="13"/>
      <c r="G240" s="13"/>
      <c r="H240" s="13"/>
      <c r="I240" s="7"/>
      <c r="J240" s="13"/>
      <c r="K240" s="13"/>
      <c r="L240" s="13"/>
      <c r="M240" s="13"/>
      <c r="N240" s="13"/>
      <c r="O240" s="13"/>
      <c r="P240" s="13"/>
      <c r="Q240" s="13"/>
      <c r="R240" s="13"/>
      <c r="S240" s="13">
        <v>-48</v>
      </c>
      <c r="T240" s="13">
        <v>-20</v>
      </c>
    </row>
    <row r="241" spans="1:20" x14ac:dyDescent="0.25">
      <c r="A241" s="19">
        <v>45785</v>
      </c>
      <c r="B241" s="13" t="s">
        <v>13</v>
      </c>
      <c r="C241" s="13"/>
      <c r="D241" s="13"/>
      <c r="E241" s="13"/>
      <c r="F241" s="13"/>
      <c r="G241" s="13"/>
      <c r="H241" s="13"/>
      <c r="I241" s="7"/>
      <c r="J241" s="13"/>
      <c r="K241" s="13"/>
      <c r="L241" s="13"/>
      <c r="M241" s="13"/>
      <c r="N241" s="13">
        <v>50</v>
      </c>
      <c r="O241" s="13"/>
      <c r="P241" s="13"/>
      <c r="Q241" s="13"/>
      <c r="R241" s="13"/>
      <c r="S241" s="13"/>
      <c r="T241" s="13"/>
    </row>
    <row r="242" spans="1:20" x14ac:dyDescent="0.25">
      <c r="A242" s="19">
        <v>45785</v>
      </c>
      <c r="B242" s="13" t="s">
        <v>12</v>
      </c>
      <c r="C242" s="13"/>
      <c r="D242" s="13"/>
      <c r="E242" s="13"/>
      <c r="F242" s="13"/>
      <c r="G242" s="13"/>
      <c r="H242" s="13"/>
      <c r="I242" s="7"/>
      <c r="J242" s="13"/>
      <c r="K242" s="13"/>
      <c r="L242" s="13">
        <v>250</v>
      </c>
      <c r="M242" s="13"/>
      <c r="N242" s="13"/>
      <c r="O242" s="13"/>
      <c r="P242" s="13"/>
      <c r="Q242" s="13"/>
      <c r="R242" s="13"/>
      <c r="S242" s="13"/>
      <c r="T242" s="13"/>
    </row>
    <row r="243" spans="1:20" x14ac:dyDescent="0.25">
      <c r="A243" s="19">
        <v>45785</v>
      </c>
      <c r="B243" s="7" t="s">
        <v>80</v>
      </c>
      <c r="C243" s="13">
        <v>-305</v>
      </c>
      <c r="D243" s="13">
        <v>-220</v>
      </c>
      <c r="E243" s="13">
        <v>-140</v>
      </c>
      <c r="F243" s="13">
        <v>-25</v>
      </c>
      <c r="G243" s="13">
        <v>-10</v>
      </c>
      <c r="H243" s="13">
        <v>-150</v>
      </c>
      <c r="I243" s="7">
        <v>-70</v>
      </c>
      <c r="J243" s="13">
        <v>-80</v>
      </c>
      <c r="L243" s="13"/>
      <c r="M243" s="13">
        <v>-0.3</v>
      </c>
      <c r="N243" s="13"/>
      <c r="O243" s="13"/>
      <c r="P243" s="13">
        <v>-1</v>
      </c>
      <c r="Q243" s="13"/>
      <c r="R243" s="13"/>
      <c r="S243" s="13"/>
      <c r="T243" s="13">
        <v>20</v>
      </c>
    </row>
    <row r="244" spans="1:20" x14ac:dyDescent="0.25">
      <c r="A244" s="19">
        <v>45785</v>
      </c>
      <c r="B244" s="7" t="s">
        <v>68</v>
      </c>
      <c r="C244" s="7">
        <v>-800</v>
      </c>
      <c r="D244" s="7">
        <v>-250</v>
      </c>
      <c r="E244" s="7">
        <v>-100</v>
      </c>
      <c r="F244" s="7">
        <v>-50</v>
      </c>
      <c r="G244" s="7">
        <v>-200</v>
      </c>
      <c r="H244" s="7">
        <v>-310</v>
      </c>
      <c r="I244" s="7">
        <v>-130</v>
      </c>
      <c r="J244" s="7">
        <v>-160</v>
      </c>
      <c r="K244" s="7">
        <v>-2</v>
      </c>
      <c r="L244" s="7">
        <v>-6</v>
      </c>
      <c r="M244" s="7"/>
      <c r="N244" s="7">
        <v>-1</v>
      </c>
      <c r="O244" s="7"/>
      <c r="P244" s="7"/>
      <c r="Q244" s="7"/>
      <c r="R244" s="7"/>
      <c r="S244" s="7"/>
      <c r="T244" s="13"/>
    </row>
    <row r="245" spans="1:20" x14ac:dyDescent="0.25">
      <c r="A245" s="19">
        <v>45785</v>
      </c>
      <c r="B245" s="7" t="s">
        <v>81</v>
      </c>
      <c r="C245" s="7">
        <v>-1200</v>
      </c>
      <c r="D245" s="7">
        <v>-375</v>
      </c>
      <c r="E245" s="7"/>
      <c r="F245" s="7">
        <v>-75</v>
      </c>
      <c r="G245" s="7">
        <v>-270</v>
      </c>
      <c r="H245" s="7">
        <v>-510</v>
      </c>
      <c r="I245" s="7">
        <v>-330</v>
      </c>
      <c r="J245" s="7">
        <v>-240</v>
      </c>
      <c r="K245" s="7">
        <v>-3</v>
      </c>
      <c r="L245" s="7">
        <v>-9</v>
      </c>
      <c r="M245" s="7"/>
      <c r="N245" s="7">
        <v>-1.5</v>
      </c>
      <c r="O245" s="7"/>
      <c r="P245" s="7"/>
      <c r="Q245" s="7"/>
      <c r="R245" s="7"/>
      <c r="S245" s="7">
        <v>60</v>
      </c>
      <c r="T245" s="13"/>
    </row>
    <row r="246" spans="1:20" x14ac:dyDescent="0.25">
      <c r="A246" s="19">
        <v>45786</v>
      </c>
      <c r="B246" s="7" t="s">
        <v>68</v>
      </c>
      <c r="C246" s="7">
        <v>-800</v>
      </c>
      <c r="D246" s="7">
        <v>-250</v>
      </c>
      <c r="E246" s="7">
        <v>-100</v>
      </c>
      <c r="F246" s="7">
        <v>-50</v>
      </c>
      <c r="G246" s="7">
        <v>-200</v>
      </c>
      <c r="H246" s="7">
        <v>-310</v>
      </c>
      <c r="I246" s="7">
        <v>-130</v>
      </c>
      <c r="J246" s="7">
        <v>-160</v>
      </c>
      <c r="K246" s="7">
        <v>-2</v>
      </c>
      <c r="L246" s="7">
        <v>-6</v>
      </c>
      <c r="M246" s="7"/>
      <c r="N246" s="7">
        <v>-1</v>
      </c>
      <c r="O246" s="7"/>
      <c r="P246" s="7"/>
      <c r="Q246" s="7"/>
      <c r="R246" s="7"/>
      <c r="S246" s="7"/>
      <c r="T246" s="13"/>
    </row>
    <row r="247" spans="1:20" x14ac:dyDescent="0.25">
      <c r="A247" s="19">
        <v>45786</v>
      </c>
      <c r="B247" s="7" t="s">
        <v>81</v>
      </c>
      <c r="C247" s="7">
        <v>-1200</v>
      </c>
      <c r="D247" s="7">
        <v>-375</v>
      </c>
      <c r="E247" s="7"/>
      <c r="F247" s="7">
        <v>-75</v>
      </c>
      <c r="G247" s="7">
        <v>-270</v>
      </c>
      <c r="H247" s="7">
        <v>-510</v>
      </c>
      <c r="I247" s="7">
        <v>-330</v>
      </c>
      <c r="J247" s="7">
        <v>-240</v>
      </c>
      <c r="L247" s="7">
        <v>-9</v>
      </c>
      <c r="M247" s="7"/>
      <c r="N247" s="7">
        <v>-1.5</v>
      </c>
      <c r="O247" s="7"/>
      <c r="P247" s="7">
        <v>-3</v>
      </c>
      <c r="Q247" s="7"/>
      <c r="R247" s="7"/>
      <c r="S247" s="7">
        <v>60</v>
      </c>
      <c r="T247" s="13"/>
    </row>
    <row r="248" spans="1:20" x14ac:dyDescent="0.25">
      <c r="A248" s="19">
        <v>45786</v>
      </c>
      <c r="B248" s="7" t="s">
        <v>80</v>
      </c>
      <c r="C248" s="13">
        <v>-305</v>
      </c>
      <c r="D248" s="13">
        <v>-220</v>
      </c>
      <c r="E248" s="13">
        <v>-140</v>
      </c>
      <c r="F248" s="13">
        <v>-25</v>
      </c>
      <c r="G248" s="13">
        <v>-10</v>
      </c>
      <c r="H248" s="13">
        <v>-150</v>
      </c>
      <c r="I248" s="7">
        <v>-70</v>
      </c>
      <c r="J248" s="13">
        <v>-80</v>
      </c>
      <c r="K248" s="13"/>
      <c r="L248" s="13"/>
      <c r="M248" s="13">
        <v>-0.3</v>
      </c>
      <c r="N248" s="13"/>
      <c r="O248" s="13">
        <v>-1</v>
      </c>
      <c r="P248" s="13"/>
      <c r="Q248" s="13"/>
      <c r="R248" s="13"/>
      <c r="S248" s="13"/>
      <c r="T248" s="13">
        <v>20</v>
      </c>
    </row>
    <row r="249" spans="1:20" x14ac:dyDescent="0.25">
      <c r="A249" s="19">
        <v>45786</v>
      </c>
      <c r="B249" s="13" t="s">
        <v>33</v>
      </c>
      <c r="C249" s="13"/>
      <c r="D249" s="13"/>
      <c r="E249" s="13"/>
      <c r="F249" s="13"/>
      <c r="G249" s="13"/>
      <c r="H249" s="13"/>
      <c r="I249" s="7"/>
      <c r="J249" s="13"/>
      <c r="K249" s="13"/>
      <c r="L249" s="13"/>
      <c r="M249" s="13"/>
      <c r="N249" s="13"/>
      <c r="O249" s="13"/>
      <c r="P249" s="13"/>
      <c r="Q249" s="13"/>
      <c r="R249" s="13"/>
      <c r="S249" s="13">
        <v>-48</v>
      </c>
      <c r="T249" s="13">
        <v>-18</v>
      </c>
    </row>
    <row r="250" spans="1:20" x14ac:dyDescent="0.25">
      <c r="A250" s="19">
        <v>45787</v>
      </c>
      <c r="B250" s="13" t="s">
        <v>82</v>
      </c>
      <c r="C250" s="13"/>
      <c r="D250" s="13"/>
      <c r="E250" s="13"/>
      <c r="F250" s="13"/>
      <c r="G250" s="13"/>
      <c r="H250" s="13"/>
      <c r="I250" s="7">
        <v>2500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x14ac:dyDescent="0.25">
      <c r="A251" s="19">
        <v>45787</v>
      </c>
      <c r="B251" s="13" t="s">
        <v>83</v>
      </c>
      <c r="C251" s="13"/>
      <c r="D251" s="13"/>
      <c r="E251" s="13">
        <v>2250</v>
      </c>
      <c r="F251" s="13"/>
      <c r="G251" s="13"/>
      <c r="H251" s="13"/>
      <c r="I251" s="7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x14ac:dyDescent="0.25">
      <c r="A252" s="19">
        <v>45787</v>
      </c>
      <c r="B252" s="7" t="s">
        <v>80</v>
      </c>
      <c r="C252" s="13">
        <v>-305</v>
      </c>
      <c r="D252" s="13">
        <v>-220</v>
      </c>
      <c r="E252" s="13">
        <v>-140</v>
      </c>
      <c r="F252" s="13">
        <v>-25</v>
      </c>
      <c r="G252" s="13">
        <v>-10</v>
      </c>
      <c r="H252" s="13">
        <v>-150</v>
      </c>
      <c r="I252" s="7">
        <v>-70</v>
      </c>
      <c r="J252" s="13">
        <v>-80</v>
      </c>
      <c r="K252" s="13"/>
      <c r="L252" s="13"/>
      <c r="M252" s="13">
        <v>-0.3</v>
      </c>
      <c r="N252" s="13"/>
      <c r="O252" s="13"/>
      <c r="P252" s="13">
        <v>-1</v>
      </c>
      <c r="Q252" s="13"/>
      <c r="R252" s="13"/>
      <c r="S252" s="13"/>
      <c r="T252" s="13">
        <v>20</v>
      </c>
    </row>
    <row r="253" spans="1:20" x14ac:dyDescent="0.25">
      <c r="A253" s="19">
        <v>45787</v>
      </c>
      <c r="B253" s="7" t="s">
        <v>64</v>
      </c>
      <c r="C253" s="13">
        <v>-305</v>
      </c>
      <c r="D253" s="13">
        <v>-200</v>
      </c>
      <c r="E253" s="13">
        <v>-140</v>
      </c>
      <c r="F253" s="13"/>
      <c r="G253" s="13">
        <v>-10</v>
      </c>
      <c r="H253" s="13">
        <v>-170</v>
      </c>
      <c r="I253" s="7">
        <v>-60</v>
      </c>
      <c r="J253" s="13">
        <v>-90</v>
      </c>
      <c r="K253" s="13"/>
      <c r="L253" s="13"/>
      <c r="M253" s="13">
        <v>-0.3</v>
      </c>
      <c r="N253" s="13"/>
      <c r="O253" s="13">
        <v>-25</v>
      </c>
      <c r="P253" s="13">
        <v>-1</v>
      </c>
      <c r="Q253" s="13"/>
      <c r="R253" s="13"/>
      <c r="S253" s="13"/>
      <c r="T253" s="13">
        <v>20</v>
      </c>
    </row>
    <row r="254" spans="1:20" x14ac:dyDescent="0.25">
      <c r="A254" s="19">
        <v>45787</v>
      </c>
      <c r="B254" s="7" t="s">
        <v>71</v>
      </c>
      <c r="C254" s="7">
        <v>-400</v>
      </c>
      <c r="D254" s="7">
        <v>-125</v>
      </c>
      <c r="E254" s="7">
        <v>-50</v>
      </c>
      <c r="F254" s="7">
        <v>-25</v>
      </c>
      <c r="G254" s="7">
        <v>-100</v>
      </c>
      <c r="H254" s="7">
        <v>-155</v>
      </c>
      <c r="I254" s="7">
        <v>-65</v>
      </c>
      <c r="J254" s="7">
        <v>-80</v>
      </c>
      <c r="K254" s="7">
        <v>-1</v>
      </c>
      <c r="L254" s="7">
        <v>-3</v>
      </c>
      <c r="M254" s="7"/>
      <c r="N254" s="7">
        <v>-0.5</v>
      </c>
      <c r="O254" s="7"/>
      <c r="P254" s="7"/>
      <c r="Q254" s="7"/>
      <c r="R254" s="7"/>
      <c r="S254" s="7"/>
      <c r="T254" s="7"/>
    </row>
    <row r="255" spans="1:20" x14ac:dyDescent="0.25">
      <c r="A255" s="19">
        <v>45787</v>
      </c>
      <c r="B255" s="7" t="s">
        <v>59</v>
      </c>
      <c r="C255" s="7">
        <v>-800</v>
      </c>
      <c r="D255" s="7">
        <v>-250</v>
      </c>
      <c r="E255" s="7"/>
      <c r="F255" s="7">
        <v>-50</v>
      </c>
      <c r="G255" s="7">
        <v>-180</v>
      </c>
      <c r="H255" s="7">
        <v>-340</v>
      </c>
      <c r="I255" s="7">
        <v>-220</v>
      </c>
      <c r="J255" s="7">
        <v>-160</v>
      </c>
      <c r="K255" s="7">
        <v>-2</v>
      </c>
      <c r="L255" s="7">
        <v>-6</v>
      </c>
      <c r="M255" s="7"/>
      <c r="N255" s="7">
        <v>-1</v>
      </c>
      <c r="O255" s="7"/>
      <c r="P255" s="7"/>
      <c r="Q255" s="7"/>
      <c r="R255" s="7"/>
      <c r="S255" s="7">
        <v>40</v>
      </c>
      <c r="T255" s="7"/>
    </row>
    <row r="256" spans="1:20" x14ac:dyDescent="0.25">
      <c r="A256" s="19">
        <v>45787</v>
      </c>
      <c r="B256" s="13" t="s">
        <v>33</v>
      </c>
      <c r="C256" s="13"/>
      <c r="D256" s="13"/>
      <c r="E256" s="13"/>
      <c r="F256" s="13"/>
      <c r="G256" s="13"/>
      <c r="H256" s="13"/>
      <c r="I256" s="7"/>
      <c r="J256" s="13"/>
      <c r="K256" s="13"/>
      <c r="L256" s="13"/>
      <c r="M256" s="13"/>
      <c r="N256" s="13"/>
      <c r="O256" s="13"/>
      <c r="P256" s="13"/>
      <c r="Q256" s="13"/>
      <c r="R256" s="13"/>
      <c r="S256" s="13">
        <v>-48</v>
      </c>
      <c r="T256" s="13">
        <v>-20</v>
      </c>
    </row>
    <row r="257" spans="1:20" x14ac:dyDescent="0.25">
      <c r="A257" s="19">
        <v>45788</v>
      </c>
      <c r="B257" s="7" t="s">
        <v>80</v>
      </c>
      <c r="C257" s="13">
        <v>-305</v>
      </c>
      <c r="D257" s="13">
        <v>-220</v>
      </c>
      <c r="E257" s="13">
        <v>-140</v>
      </c>
      <c r="F257" s="13">
        <v>-25</v>
      </c>
      <c r="G257" s="13">
        <v>-10</v>
      </c>
      <c r="H257" s="13">
        <v>-150</v>
      </c>
      <c r="I257" s="7">
        <v>-70</v>
      </c>
      <c r="J257" s="13">
        <v>-80</v>
      </c>
      <c r="K257" s="13"/>
      <c r="L257" s="13"/>
      <c r="M257" s="13">
        <v>-0.3</v>
      </c>
      <c r="N257" s="13"/>
      <c r="O257" s="13"/>
      <c r="P257" s="13">
        <v>-1</v>
      </c>
      <c r="Q257" s="13"/>
      <c r="R257" s="13"/>
      <c r="S257" s="13"/>
      <c r="T257" s="13">
        <v>20</v>
      </c>
    </row>
    <row r="258" spans="1:20" x14ac:dyDescent="0.25">
      <c r="A258" s="19">
        <v>45788</v>
      </c>
      <c r="B258" s="7" t="s">
        <v>68</v>
      </c>
      <c r="C258" s="7">
        <v>-800</v>
      </c>
      <c r="D258" s="7">
        <v>-250</v>
      </c>
      <c r="E258" s="7">
        <v>-100</v>
      </c>
      <c r="F258" s="7">
        <v>-50</v>
      </c>
      <c r="G258" s="7">
        <v>-200</v>
      </c>
      <c r="H258" s="7">
        <v>-310</v>
      </c>
      <c r="I258" s="7">
        <v>-130</v>
      </c>
      <c r="J258" s="7">
        <v>-160</v>
      </c>
      <c r="K258" s="7">
        <v>-2</v>
      </c>
      <c r="L258" s="7">
        <v>-6</v>
      </c>
      <c r="M258" s="7"/>
      <c r="N258" s="7">
        <v>-1</v>
      </c>
      <c r="O258" s="7"/>
      <c r="P258" s="7"/>
      <c r="Q258" s="7"/>
      <c r="R258" s="7"/>
      <c r="S258" s="7"/>
      <c r="T258" s="13"/>
    </row>
    <row r="259" spans="1:20" x14ac:dyDescent="0.25">
      <c r="A259" s="19">
        <v>45788</v>
      </c>
      <c r="B259" s="13" t="s">
        <v>33</v>
      </c>
      <c r="C259" s="13"/>
      <c r="D259" s="13"/>
      <c r="E259" s="13"/>
      <c r="F259" s="13"/>
      <c r="G259" s="13"/>
      <c r="H259" s="13"/>
      <c r="I259" s="7"/>
      <c r="J259" s="13"/>
      <c r="K259" s="13"/>
      <c r="L259" s="13"/>
      <c r="M259" s="13"/>
      <c r="N259" s="13"/>
      <c r="O259" s="13"/>
      <c r="P259" s="13"/>
      <c r="Q259" s="13"/>
      <c r="R259" s="13"/>
      <c r="S259" s="13">
        <v>-48</v>
      </c>
      <c r="T259" s="13">
        <v>-20</v>
      </c>
    </row>
    <row r="260" spans="1:20" x14ac:dyDescent="0.25">
      <c r="A260" s="19">
        <v>45788</v>
      </c>
      <c r="B260" s="13" t="s">
        <v>86</v>
      </c>
      <c r="C260" s="13"/>
      <c r="D260" s="13"/>
      <c r="E260" s="13"/>
      <c r="F260" s="13"/>
      <c r="G260" s="13"/>
      <c r="H260" s="13"/>
      <c r="I260" s="7"/>
      <c r="J260" s="13"/>
      <c r="K260" s="13"/>
      <c r="L260" s="13"/>
      <c r="M260" s="13"/>
      <c r="N260" s="13"/>
      <c r="O260" s="13"/>
      <c r="P260" s="13">
        <v>25</v>
      </c>
      <c r="Q260" s="13"/>
      <c r="R260" s="13"/>
      <c r="S260" s="13"/>
      <c r="T260" s="13"/>
    </row>
    <row r="261" spans="1:20" x14ac:dyDescent="0.25">
      <c r="A261" s="19">
        <v>45788</v>
      </c>
      <c r="B261" s="7" t="s">
        <v>81</v>
      </c>
      <c r="C261" s="7">
        <v>-1200</v>
      </c>
      <c r="D261" s="7">
        <v>-375</v>
      </c>
      <c r="E261" s="7"/>
      <c r="F261" s="7">
        <v>-75</v>
      </c>
      <c r="G261" s="7">
        <v>-270</v>
      </c>
      <c r="H261" s="7">
        <v>-510</v>
      </c>
      <c r="I261" s="7">
        <v>-330</v>
      </c>
      <c r="J261" s="7">
        <v>-240</v>
      </c>
      <c r="K261" s="7">
        <v>-3</v>
      </c>
      <c r="L261" s="7">
        <v>-9</v>
      </c>
      <c r="M261" s="7"/>
      <c r="N261" s="7">
        <v>-1.5</v>
      </c>
      <c r="O261" s="7"/>
      <c r="P261" s="7"/>
      <c r="Q261" s="7"/>
      <c r="R261" s="7"/>
      <c r="S261" s="7">
        <v>60</v>
      </c>
      <c r="T261" s="13"/>
    </row>
    <row r="262" spans="1:20" x14ac:dyDescent="0.25">
      <c r="A262" s="19">
        <v>45789</v>
      </c>
      <c r="B262" s="7" t="s">
        <v>68</v>
      </c>
      <c r="C262" s="7">
        <v>-800</v>
      </c>
      <c r="D262" s="7">
        <v>-250</v>
      </c>
      <c r="E262" s="7">
        <v>-100</v>
      </c>
      <c r="F262" s="7">
        <v>-50</v>
      </c>
      <c r="G262" s="7">
        <v>-200</v>
      </c>
      <c r="H262" s="7">
        <v>-310</v>
      </c>
      <c r="I262" s="7">
        <v>-130</v>
      </c>
      <c r="J262" s="7">
        <v>-160</v>
      </c>
      <c r="K262" s="7">
        <v>-2</v>
      </c>
      <c r="L262" s="7">
        <v>-6</v>
      </c>
      <c r="M262" s="7"/>
      <c r="N262" s="7">
        <v>-1</v>
      </c>
      <c r="O262" s="7"/>
      <c r="P262" s="7"/>
      <c r="Q262" s="7"/>
      <c r="R262" s="7"/>
      <c r="S262" s="7"/>
      <c r="T262" s="13"/>
    </row>
    <row r="263" spans="1:20" x14ac:dyDescent="0.25">
      <c r="A263" s="19">
        <v>45789</v>
      </c>
      <c r="B263" s="7" t="s">
        <v>80</v>
      </c>
      <c r="C263" s="13">
        <v>-305</v>
      </c>
      <c r="D263" s="13">
        <v>-220</v>
      </c>
      <c r="E263" s="13">
        <v>-140</v>
      </c>
      <c r="F263" s="13">
        <v>-25</v>
      </c>
      <c r="G263" s="13">
        <v>-10</v>
      </c>
      <c r="H263" s="13">
        <v>-150</v>
      </c>
      <c r="I263" s="7">
        <v>-70</v>
      </c>
      <c r="J263" s="13">
        <v>-80</v>
      </c>
      <c r="K263" s="13"/>
      <c r="L263" s="13"/>
      <c r="M263" s="13">
        <v>-0.3</v>
      </c>
      <c r="N263" s="13"/>
      <c r="O263" s="13"/>
      <c r="P263" s="13">
        <v>-1</v>
      </c>
      <c r="Q263" s="13"/>
      <c r="R263" s="13"/>
      <c r="S263" s="13"/>
      <c r="T263" s="13">
        <v>20</v>
      </c>
    </row>
    <row r="264" spans="1:20" x14ac:dyDescent="0.25">
      <c r="A264" s="19">
        <v>45789</v>
      </c>
      <c r="B264" s="7" t="s">
        <v>2</v>
      </c>
      <c r="C264" s="7">
        <v>-1600</v>
      </c>
      <c r="D264" s="7">
        <v>-500</v>
      </c>
      <c r="E264" s="7"/>
      <c r="F264" s="7">
        <v>-100</v>
      </c>
      <c r="G264" s="7">
        <v>-360</v>
      </c>
      <c r="H264" s="7">
        <v>-680</v>
      </c>
      <c r="I264" s="7">
        <v>-440</v>
      </c>
      <c r="J264" s="7">
        <v>-320</v>
      </c>
      <c r="K264" s="7">
        <v>-4</v>
      </c>
      <c r="L264" s="7">
        <v>-12</v>
      </c>
      <c r="M264" s="7"/>
      <c r="N264" s="7">
        <v>-2</v>
      </c>
      <c r="O264" s="7"/>
      <c r="P264" s="7"/>
      <c r="Q264" s="7"/>
      <c r="R264" s="7"/>
      <c r="S264" s="7">
        <v>80</v>
      </c>
      <c r="T264" s="7"/>
    </row>
    <row r="265" spans="1:20" x14ac:dyDescent="0.25">
      <c r="A265" s="19">
        <v>45789</v>
      </c>
      <c r="B265" s="13" t="s">
        <v>33</v>
      </c>
      <c r="C265" s="13"/>
      <c r="D265" s="13"/>
      <c r="E265" s="13"/>
      <c r="F265" s="13"/>
      <c r="G265" s="13"/>
      <c r="H265" s="13"/>
      <c r="I265" s="7"/>
      <c r="J265" s="13"/>
      <c r="K265" s="13"/>
      <c r="L265" s="13"/>
      <c r="M265" s="13"/>
      <c r="N265" s="13"/>
      <c r="O265" s="13"/>
      <c r="P265" s="13"/>
      <c r="Q265" s="13"/>
      <c r="R265" s="13"/>
      <c r="S265" s="13">
        <v>-48</v>
      </c>
      <c r="T265" s="13">
        <v>-20</v>
      </c>
    </row>
    <row r="266" spans="1:20" x14ac:dyDescent="0.25">
      <c r="A266" s="19">
        <v>45790</v>
      </c>
      <c r="B266" s="13" t="s">
        <v>33</v>
      </c>
      <c r="C266" s="13"/>
      <c r="D266" s="13"/>
      <c r="E266" s="13"/>
      <c r="F266" s="13"/>
      <c r="G266" s="13"/>
      <c r="H266" s="13"/>
      <c r="I266" s="7"/>
      <c r="J266" s="13"/>
      <c r="K266" s="13"/>
      <c r="L266" s="13"/>
      <c r="M266" s="13"/>
      <c r="N266" s="13"/>
      <c r="O266" s="13"/>
      <c r="P266" s="13"/>
      <c r="Q266" s="13"/>
      <c r="R266" s="13"/>
      <c r="S266" s="13">
        <v>-48</v>
      </c>
      <c r="T266" s="13">
        <v>-20</v>
      </c>
    </row>
    <row r="267" spans="1:20" x14ac:dyDescent="0.25">
      <c r="A267" s="19">
        <v>45790</v>
      </c>
      <c r="B267" s="7" t="s">
        <v>85</v>
      </c>
      <c r="C267" s="13">
        <v>-915</v>
      </c>
      <c r="D267" s="13">
        <v>-660</v>
      </c>
      <c r="E267" s="13">
        <v>-420</v>
      </c>
      <c r="F267" s="13">
        <v>-75</v>
      </c>
      <c r="G267" s="13">
        <v>-30</v>
      </c>
      <c r="H267" s="13">
        <v>-450</v>
      </c>
      <c r="I267" s="7">
        <v>-210</v>
      </c>
      <c r="J267" s="13">
        <v>-240</v>
      </c>
      <c r="K267" s="13"/>
      <c r="L267" s="13"/>
      <c r="M267" s="13">
        <v>-0.9</v>
      </c>
      <c r="N267" s="13"/>
      <c r="O267" s="13"/>
      <c r="P267" s="13">
        <v>-3</v>
      </c>
      <c r="Q267" s="13"/>
      <c r="R267" s="13"/>
      <c r="S267" s="13"/>
      <c r="T267" s="13">
        <v>60</v>
      </c>
    </row>
    <row r="268" spans="1:20" x14ac:dyDescent="0.25">
      <c r="A268" s="19">
        <v>45790</v>
      </c>
      <c r="B268" s="7" t="s">
        <v>31</v>
      </c>
      <c r="C268" s="7">
        <v>-400</v>
      </c>
      <c r="D268" s="7">
        <v>-125</v>
      </c>
      <c r="E268" s="7"/>
      <c r="F268" s="7">
        <v>-25</v>
      </c>
      <c r="G268" s="7">
        <v>-90</v>
      </c>
      <c r="H268" s="7">
        <v>-170</v>
      </c>
      <c r="I268" s="7">
        <v>-110</v>
      </c>
      <c r="J268" s="7">
        <v>-80</v>
      </c>
      <c r="K268" s="7">
        <v>-1</v>
      </c>
      <c r="L268" s="7">
        <v>-3</v>
      </c>
      <c r="M268" s="7"/>
      <c r="N268" s="7">
        <v>-0.5</v>
      </c>
      <c r="O268" s="7"/>
      <c r="P268" s="7"/>
      <c r="S268" s="4">
        <v>20</v>
      </c>
      <c r="T268" s="13"/>
    </row>
    <row r="269" spans="1:20" x14ac:dyDescent="0.25">
      <c r="A269" s="19">
        <v>45790</v>
      </c>
      <c r="B269" s="7" t="s">
        <v>71</v>
      </c>
      <c r="C269" s="7">
        <v>-400</v>
      </c>
      <c r="D269" s="7">
        <v>-125</v>
      </c>
      <c r="E269" s="7">
        <v>-50</v>
      </c>
      <c r="F269" s="7">
        <v>-25</v>
      </c>
      <c r="G269" s="7">
        <v>-100</v>
      </c>
      <c r="H269" s="7">
        <v>-155</v>
      </c>
      <c r="I269" s="7">
        <v>-65</v>
      </c>
      <c r="J269" s="7">
        <v>-80</v>
      </c>
      <c r="K269" s="7">
        <v>-1</v>
      </c>
      <c r="L269" s="7">
        <v>-3</v>
      </c>
      <c r="M269" s="7"/>
      <c r="N269" s="7">
        <v>-0.5</v>
      </c>
      <c r="O269" s="7"/>
      <c r="P269" s="7"/>
      <c r="Q269" s="7"/>
      <c r="R269" s="7"/>
      <c r="S269" s="7"/>
      <c r="T269" s="7"/>
    </row>
    <row r="270" spans="1:20" x14ac:dyDescent="0.25">
      <c r="A270" s="19">
        <v>45790</v>
      </c>
      <c r="B270" s="7" t="s">
        <v>6</v>
      </c>
      <c r="C270" s="13"/>
      <c r="D270" s="13"/>
      <c r="E270" s="13"/>
      <c r="F270" s="13"/>
      <c r="G270" s="13"/>
      <c r="H270" s="13">
        <v>5260</v>
      </c>
      <c r="I270" s="7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x14ac:dyDescent="0.25">
      <c r="A271" s="19">
        <v>45790</v>
      </c>
      <c r="B271" s="7" t="s">
        <v>22</v>
      </c>
      <c r="C271" s="13"/>
      <c r="D271" s="13">
        <v>2650</v>
      </c>
      <c r="E271" s="13"/>
      <c r="F271" s="13"/>
      <c r="G271" s="13"/>
      <c r="H271" s="13"/>
      <c r="I271" s="7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x14ac:dyDescent="0.25">
      <c r="A272" s="19">
        <v>45790</v>
      </c>
      <c r="B272" s="7" t="s">
        <v>80</v>
      </c>
      <c r="C272" s="13">
        <v>-305</v>
      </c>
      <c r="D272" s="13">
        <v>-220</v>
      </c>
      <c r="E272" s="13">
        <v>-140</v>
      </c>
      <c r="F272" s="13">
        <v>-25</v>
      </c>
      <c r="G272" s="13">
        <v>-10</v>
      </c>
      <c r="H272" s="13">
        <v>-150</v>
      </c>
      <c r="I272" s="7">
        <v>-70</v>
      </c>
      <c r="J272" s="13">
        <v>-80</v>
      </c>
      <c r="K272" s="13"/>
      <c r="L272" s="13"/>
      <c r="M272" s="13">
        <v>-0.3</v>
      </c>
      <c r="N272" s="13"/>
      <c r="O272" s="13"/>
      <c r="P272" s="13">
        <v>-1</v>
      </c>
      <c r="Q272" s="13"/>
      <c r="R272" s="13"/>
      <c r="S272" s="13"/>
      <c r="T272" s="13">
        <v>20</v>
      </c>
    </row>
    <row r="273" spans="1:20" x14ac:dyDescent="0.25">
      <c r="A273" s="19">
        <v>45790</v>
      </c>
      <c r="B273" s="7" t="s">
        <v>84</v>
      </c>
      <c r="C273" s="7"/>
      <c r="D273" s="7"/>
      <c r="E273" s="7"/>
      <c r="F273" s="7"/>
      <c r="G273" s="7"/>
      <c r="H273" s="7"/>
      <c r="I273" s="7"/>
      <c r="J273" s="7">
        <v>4600</v>
      </c>
      <c r="K273" s="7"/>
      <c r="L273" s="7"/>
      <c r="M273" s="7"/>
      <c r="N273" s="7"/>
      <c r="O273" s="7"/>
      <c r="P273" s="7"/>
      <c r="Q273" s="7"/>
      <c r="R273" s="7"/>
      <c r="S273" s="7"/>
      <c r="T273" s="13"/>
    </row>
    <row r="274" spans="1:20" x14ac:dyDescent="0.25">
      <c r="A274" s="19">
        <v>45791</v>
      </c>
      <c r="B274" s="13" t="s">
        <v>33</v>
      </c>
      <c r="C274" s="13"/>
      <c r="D274" s="13"/>
      <c r="E274" s="13"/>
      <c r="F274" s="13"/>
      <c r="G274" s="13"/>
      <c r="H274" s="13"/>
      <c r="I274" s="7"/>
      <c r="J274" s="13"/>
      <c r="K274" s="13"/>
      <c r="L274" s="13"/>
      <c r="M274" s="13"/>
      <c r="N274" s="13"/>
      <c r="O274" s="13"/>
      <c r="P274" s="13"/>
      <c r="Q274" s="13"/>
      <c r="R274" s="13"/>
      <c r="S274" s="13">
        <v>-48</v>
      </c>
      <c r="T274" s="13">
        <v>-21</v>
      </c>
    </row>
    <row r="275" spans="1:20" x14ac:dyDescent="0.25">
      <c r="A275" s="19">
        <v>45791</v>
      </c>
      <c r="B275" s="7" t="s">
        <v>1</v>
      </c>
      <c r="C275" s="7">
        <v>-2000</v>
      </c>
      <c r="D275" s="7">
        <v>-625</v>
      </c>
      <c r="E275" s="7"/>
      <c r="F275" s="7">
        <v>-125</v>
      </c>
      <c r="G275" s="7">
        <v>-450</v>
      </c>
      <c r="H275" s="7">
        <v>-850</v>
      </c>
      <c r="I275" s="7">
        <v>-550</v>
      </c>
      <c r="J275" s="7">
        <v>-400</v>
      </c>
      <c r="K275" s="7">
        <v>-5</v>
      </c>
      <c r="L275" s="7">
        <v>-15</v>
      </c>
      <c r="M275" s="7"/>
      <c r="N275" s="7">
        <v>-2.5</v>
      </c>
      <c r="O275" s="7"/>
      <c r="P275" s="7"/>
      <c r="Q275" s="7"/>
      <c r="R275" s="7"/>
      <c r="S275" s="7">
        <v>100</v>
      </c>
      <c r="T275" s="13"/>
    </row>
    <row r="276" spans="1:20" x14ac:dyDescent="0.25">
      <c r="A276" s="19">
        <v>45791</v>
      </c>
      <c r="B276" s="7" t="s">
        <v>68</v>
      </c>
      <c r="C276" s="7">
        <v>-800</v>
      </c>
      <c r="D276" s="7">
        <v>-250</v>
      </c>
      <c r="E276" s="7">
        <v>-100</v>
      </c>
      <c r="F276" s="7">
        <v>-50</v>
      </c>
      <c r="G276" s="7">
        <v>-200</v>
      </c>
      <c r="H276" s="7">
        <v>-310</v>
      </c>
      <c r="I276" s="7">
        <v>-130</v>
      </c>
      <c r="J276" s="7">
        <v>-160</v>
      </c>
      <c r="K276" s="7">
        <v>-2</v>
      </c>
      <c r="L276" s="7">
        <v>-6</v>
      </c>
      <c r="M276" s="7"/>
      <c r="N276" s="7">
        <v>-1</v>
      </c>
      <c r="O276" s="7"/>
      <c r="P276" s="7"/>
      <c r="Q276" s="7"/>
      <c r="R276" s="7"/>
      <c r="S276" s="7"/>
      <c r="T276" s="13"/>
    </row>
    <row r="277" spans="1:20" x14ac:dyDescent="0.25">
      <c r="A277" s="19">
        <v>45791</v>
      </c>
      <c r="B277" s="7" t="s">
        <v>80</v>
      </c>
      <c r="C277" s="13">
        <v>-305</v>
      </c>
      <c r="D277" s="13">
        <v>-220</v>
      </c>
      <c r="E277" s="13">
        <v>-140</v>
      </c>
      <c r="F277" s="13">
        <v>-25</v>
      </c>
      <c r="G277" s="13">
        <v>-10</v>
      </c>
      <c r="H277" s="13">
        <v>-150</v>
      </c>
      <c r="I277" s="7">
        <v>-70</v>
      </c>
      <c r="J277" s="13">
        <v>-80</v>
      </c>
      <c r="L277" s="13"/>
      <c r="M277" s="13">
        <v>-0.3</v>
      </c>
      <c r="N277" s="13"/>
      <c r="O277" s="13"/>
      <c r="P277" s="13">
        <v>-1</v>
      </c>
      <c r="Q277" s="13"/>
      <c r="R277" s="13"/>
      <c r="S277" s="13"/>
      <c r="T277" s="13">
        <v>20</v>
      </c>
    </row>
    <row r="278" spans="1:20" x14ac:dyDescent="0.25">
      <c r="A278" s="19">
        <v>45792</v>
      </c>
      <c r="B278" s="13" t="s">
        <v>33</v>
      </c>
      <c r="C278" s="13"/>
      <c r="D278" s="13"/>
      <c r="E278" s="13"/>
      <c r="F278" s="13"/>
      <c r="G278" s="13"/>
      <c r="H278" s="13"/>
      <c r="I278" s="7"/>
      <c r="J278" s="13"/>
      <c r="K278" s="13"/>
      <c r="L278" s="13"/>
      <c r="M278" s="13"/>
      <c r="N278" s="13"/>
      <c r="O278" s="13"/>
      <c r="P278" s="13"/>
      <c r="Q278" s="13"/>
      <c r="R278" s="13"/>
      <c r="S278" s="13">
        <v>-48</v>
      </c>
      <c r="T278" s="13">
        <v>-21</v>
      </c>
    </row>
    <row r="279" spans="1:20" x14ac:dyDescent="0.25">
      <c r="A279" s="19">
        <v>45792</v>
      </c>
      <c r="B279" s="7" t="s">
        <v>68</v>
      </c>
      <c r="C279" s="7">
        <v>-800</v>
      </c>
      <c r="D279" s="7">
        <v>-250</v>
      </c>
      <c r="E279" s="7">
        <v>-100</v>
      </c>
      <c r="F279" s="7">
        <v>-50</v>
      </c>
      <c r="G279" s="7">
        <v>-200</v>
      </c>
      <c r="H279" s="7">
        <v>-310</v>
      </c>
      <c r="I279" s="7">
        <v>-130</v>
      </c>
      <c r="J279" s="7">
        <v>-160</v>
      </c>
      <c r="K279" s="7">
        <v>-2</v>
      </c>
      <c r="L279" s="7">
        <v>-6</v>
      </c>
      <c r="M279" s="7"/>
      <c r="N279" s="7">
        <v>-1</v>
      </c>
      <c r="O279" s="7"/>
      <c r="P279" s="7"/>
      <c r="Q279" s="7"/>
      <c r="R279" s="7"/>
      <c r="S279" s="7"/>
      <c r="T279" s="13"/>
    </row>
    <row r="280" spans="1:20" x14ac:dyDescent="0.25">
      <c r="A280" s="19">
        <v>45793</v>
      </c>
      <c r="B280" s="13" t="s">
        <v>33</v>
      </c>
      <c r="C280" s="13"/>
      <c r="D280" s="13"/>
      <c r="E280" s="13"/>
      <c r="F280" s="13"/>
      <c r="G280" s="13"/>
      <c r="H280" s="13"/>
      <c r="I280" s="7"/>
      <c r="J280" s="13"/>
      <c r="K280" s="13"/>
      <c r="L280" s="13"/>
      <c r="M280" s="13"/>
      <c r="N280" s="13"/>
      <c r="O280" s="13"/>
      <c r="P280" s="13"/>
      <c r="Q280" s="13"/>
      <c r="R280" s="13"/>
      <c r="S280" s="13">
        <v>-48</v>
      </c>
      <c r="T280" s="13">
        <v>-21</v>
      </c>
    </row>
    <row r="281" spans="1:20" x14ac:dyDescent="0.25">
      <c r="A281" s="19">
        <v>45793</v>
      </c>
      <c r="B281" s="7" t="s">
        <v>81</v>
      </c>
      <c r="C281" s="7">
        <v>-1200</v>
      </c>
      <c r="D281" s="7">
        <v>-375</v>
      </c>
      <c r="E281" s="7"/>
      <c r="F281" s="7">
        <v>-75</v>
      </c>
      <c r="G281" s="7">
        <v>-270</v>
      </c>
      <c r="H281" s="7">
        <v>-510</v>
      </c>
      <c r="I281" s="7">
        <v>-330</v>
      </c>
      <c r="J281" s="7">
        <v>-240</v>
      </c>
      <c r="L281" s="7">
        <v>-9</v>
      </c>
      <c r="M281" s="7"/>
      <c r="N281" s="7">
        <v>-1.5</v>
      </c>
      <c r="O281" s="7"/>
      <c r="P281" s="7">
        <v>-3</v>
      </c>
      <c r="Q281" s="7"/>
      <c r="R281" s="7"/>
      <c r="S281" s="7">
        <v>60</v>
      </c>
      <c r="T281" s="13"/>
    </row>
    <row r="282" spans="1:20" x14ac:dyDescent="0.25">
      <c r="A282" s="19">
        <v>45793</v>
      </c>
      <c r="B282" s="7" t="s">
        <v>71</v>
      </c>
      <c r="C282" s="7">
        <v>-400</v>
      </c>
      <c r="D282" s="7">
        <v>-125</v>
      </c>
      <c r="E282" s="7">
        <v>-50</v>
      </c>
      <c r="F282" s="7">
        <v>-25</v>
      </c>
      <c r="G282" s="7">
        <v>-100</v>
      </c>
      <c r="H282" s="7">
        <v>-155</v>
      </c>
      <c r="I282" s="7">
        <v>-65</v>
      </c>
      <c r="J282" s="7">
        <v>-80</v>
      </c>
      <c r="K282" s="7">
        <v>-1</v>
      </c>
      <c r="L282" s="7">
        <v>-3</v>
      </c>
      <c r="M282" s="7"/>
      <c r="N282" s="7">
        <v>-0.5</v>
      </c>
      <c r="O282" s="7"/>
      <c r="P282" s="7"/>
      <c r="Q282" s="7"/>
      <c r="R282" s="7"/>
      <c r="S282" s="7"/>
      <c r="T282" s="7"/>
    </row>
    <row r="283" spans="1:20" x14ac:dyDescent="0.25">
      <c r="A283" s="19">
        <v>45794</v>
      </c>
      <c r="B283" s="13" t="s">
        <v>33</v>
      </c>
      <c r="C283" s="13"/>
      <c r="D283" s="13"/>
      <c r="E283" s="13"/>
      <c r="F283" s="13"/>
      <c r="G283" s="13"/>
      <c r="H283" s="13"/>
      <c r="I283" s="7"/>
      <c r="J283" s="13"/>
      <c r="K283" s="13"/>
      <c r="L283" s="13"/>
      <c r="M283" s="13"/>
      <c r="N283" s="13"/>
      <c r="O283" s="13"/>
      <c r="P283" s="13"/>
      <c r="Q283" s="13"/>
      <c r="R283" s="13"/>
      <c r="S283" s="13">
        <v>-48</v>
      </c>
      <c r="T283" s="13">
        <v>-21</v>
      </c>
    </row>
    <row r="284" spans="1:20" x14ac:dyDescent="0.25">
      <c r="A284" s="19">
        <v>45794</v>
      </c>
      <c r="B284" s="7" t="s">
        <v>6</v>
      </c>
      <c r="C284" s="7"/>
      <c r="D284" s="7"/>
      <c r="E284" s="7"/>
      <c r="F284" s="7"/>
      <c r="G284" s="7"/>
      <c r="H284" s="7">
        <v>5350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13"/>
    </row>
    <row r="285" spans="1:20" x14ac:dyDescent="0.25">
      <c r="A285" s="19">
        <v>45794</v>
      </c>
      <c r="B285" s="7" t="s">
        <v>77</v>
      </c>
      <c r="C285" s="7"/>
      <c r="D285" s="7"/>
      <c r="E285" s="7"/>
      <c r="F285" s="7"/>
      <c r="G285" s="7"/>
      <c r="H285" s="7"/>
      <c r="I285" s="7"/>
      <c r="J285" s="7">
        <v>2240</v>
      </c>
      <c r="K285" s="7"/>
      <c r="L285" s="7"/>
      <c r="M285" s="7"/>
      <c r="N285" s="7"/>
      <c r="O285" s="7"/>
      <c r="P285" s="7"/>
      <c r="Q285" s="7"/>
      <c r="R285" s="7"/>
      <c r="S285" s="7"/>
      <c r="T285" s="13"/>
    </row>
    <row r="286" spans="1:20" x14ac:dyDescent="0.25">
      <c r="A286" s="19">
        <v>45794</v>
      </c>
      <c r="B286" s="7" t="s">
        <v>17</v>
      </c>
      <c r="C286" s="7"/>
      <c r="D286" s="7">
        <v>4600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13"/>
    </row>
    <row r="287" spans="1:20" x14ac:dyDescent="0.25">
      <c r="A287" s="19">
        <v>45795</v>
      </c>
      <c r="B287" s="13" t="s">
        <v>33</v>
      </c>
      <c r="C287" s="13"/>
      <c r="D287" s="13"/>
      <c r="E287" s="13"/>
      <c r="F287" s="13"/>
      <c r="G287" s="13"/>
      <c r="H287" s="13"/>
      <c r="I287" s="7"/>
      <c r="J287" s="13"/>
      <c r="K287" s="13"/>
      <c r="L287" s="13"/>
      <c r="M287" s="13"/>
      <c r="N287" s="13"/>
      <c r="O287" s="13"/>
      <c r="P287" s="13"/>
      <c r="Q287" s="13"/>
      <c r="R287" s="13"/>
      <c r="S287" s="13">
        <v>-48</v>
      </c>
      <c r="T287" s="13">
        <v>-21</v>
      </c>
    </row>
    <row r="288" spans="1:20" x14ac:dyDescent="0.25">
      <c r="A288" s="19">
        <v>45795</v>
      </c>
      <c r="B288" s="7" t="s">
        <v>80</v>
      </c>
      <c r="C288" s="13">
        <v>-305</v>
      </c>
      <c r="D288" s="13">
        <v>-220</v>
      </c>
      <c r="E288" s="13">
        <v>-140</v>
      </c>
      <c r="F288" s="13">
        <v>-25</v>
      </c>
      <c r="G288" s="13">
        <v>-10</v>
      </c>
      <c r="H288" s="13">
        <v>-150</v>
      </c>
      <c r="I288" s="7">
        <v>-70</v>
      </c>
      <c r="J288" s="13">
        <v>-80</v>
      </c>
      <c r="L288" s="13"/>
      <c r="M288" s="13">
        <v>-0.3</v>
      </c>
      <c r="N288" s="13"/>
      <c r="O288" s="13"/>
      <c r="P288" s="13">
        <v>-1</v>
      </c>
      <c r="Q288" s="13"/>
      <c r="R288" s="13"/>
      <c r="S288" s="13"/>
      <c r="T288" s="13">
        <v>20</v>
      </c>
    </row>
    <row r="289" spans="1:20" x14ac:dyDescent="0.25">
      <c r="A289" s="19">
        <v>45795</v>
      </c>
      <c r="B289" s="7" t="s">
        <v>1</v>
      </c>
      <c r="C289" s="7">
        <v>-2000</v>
      </c>
      <c r="D289" s="7">
        <v>-625</v>
      </c>
      <c r="E289" s="7"/>
      <c r="F289" s="7">
        <v>-125</v>
      </c>
      <c r="G289" s="7">
        <v>-450</v>
      </c>
      <c r="H289" s="7">
        <v>-850</v>
      </c>
      <c r="I289" s="7">
        <v>-550</v>
      </c>
      <c r="J289" s="7">
        <v>-400</v>
      </c>
      <c r="K289" s="7">
        <v>-5</v>
      </c>
      <c r="L289" s="7">
        <v>-15</v>
      </c>
      <c r="M289" s="7"/>
      <c r="N289" s="7">
        <v>-2.5</v>
      </c>
      <c r="O289" s="7"/>
      <c r="P289" s="7"/>
      <c r="Q289" s="7"/>
      <c r="R289" s="7"/>
      <c r="S289" s="7">
        <v>100</v>
      </c>
      <c r="T289" s="13"/>
    </row>
    <row r="290" spans="1:20" x14ac:dyDescent="0.25">
      <c r="A290" s="19">
        <v>45795</v>
      </c>
      <c r="B290" s="7" t="s">
        <v>72</v>
      </c>
      <c r="C290" s="7">
        <v>-2000</v>
      </c>
      <c r="D290" s="7">
        <v>-625</v>
      </c>
      <c r="E290" s="7">
        <v>-250</v>
      </c>
      <c r="F290" s="7">
        <v>-125</v>
      </c>
      <c r="G290" s="7">
        <v>-500</v>
      </c>
      <c r="H290" s="7">
        <v>-775</v>
      </c>
      <c r="I290" s="7">
        <v>-325</v>
      </c>
      <c r="J290" s="7">
        <v>-400</v>
      </c>
      <c r="K290" s="7">
        <v>-5</v>
      </c>
      <c r="L290" s="7">
        <v>-15</v>
      </c>
      <c r="M290" s="7"/>
      <c r="N290" s="7">
        <v>-2.5</v>
      </c>
      <c r="O290" s="7"/>
      <c r="P290" s="7"/>
      <c r="Q290" s="7"/>
      <c r="R290" s="7"/>
      <c r="S290" s="7"/>
      <c r="T290" s="7"/>
    </row>
    <row r="291" spans="1:20" x14ac:dyDescent="0.25">
      <c r="A291" s="19">
        <v>45795</v>
      </c>
      <c r="B291" s="7" t="s">
        <v>85</v>
      </c>
      <c r="C291" s="13">
        <v>-915</v>
      </c>
      <c r="D291" s="13">
        <v>-660</v>
      </c>
      <c r="E291" s="13">
        <v>-420</v>
      </c>
      <c r="F291" s="13">
        <v>-75</v>
      </c>
      <c r="G291" s="13">
        <v>-30</v>
      </c>
      <c r="H291" s="13">
        <v>-450</v>
      </c>
      <c r="I291" s="7">
        <v>-210</v>
      </c>
      <c r="J291" s="13">
        <v>-240</v>
      </c>
      <c r="K291" s="13"/>
      <c r="L291" s="13"/>
      <c r="M291" s="13">
        <v>-0.9</v>
      </c>
      <c r="N291" s="13"/>
      <c r="O291" s="13"/>
      <c r="P291" s="13">
        <v>-3</v>
      </c>
      <c r="Q291" s="13"/>
      <c r="R291" s="13"/>
      <c r="S291" s="13"/>
      <c r="T291" s="13">
        <v>60</v>
      </c>
    </row>
    <row r="292" spans="1:20" x14ac:dyDescent="0.25">
      <c r="A292" s="19">
        <v>45796</v>
      </c>
      <c r="B292" s="7" t="s">
        <v>71</v>
      </c>
      <c r="C292" s="7">
        <v>-400</v>
      </c>
      <c r="D292" s="7">
        <v>-125</v>
      </c>
      <c r="E292" s="7">
        <v>-150</v>
      </c>
      <c r="F292" s="7">
        <v>-25</v>
      </c>
      <c r="G292" s="7">
        <v>-100</v>
      </c>
      <c r="H292" s="7">
        <v>-155</v>
      </c>
      <c r="I292" s="7">
        <v>-65</v>
      </c>
      <c r="J292" s="7">
        <v>-80</v>
      </c>
      <c r="K292" s="7">
        <v>-1</v>
      </c>
      <c r="L292" s="7">
        <v>-3</v>
      </c>
      <c r="M292" s="7"/>
      <c r="N292" s="7">
        <v>-0.5</v>
      </c>
      <c r="O292" s="7"/>
      <c r="P292" s="7"/>
      <c r="Q292" s="7"/>
      <c r="R292" s="7"/>
      <c r="S292" s="7"/>
      <c r="T292" s="7"/>
    </row>
    <row r="293" spans="1:20" x14ac:dyDescent="0.25">
      <c r="A293" s="19">
        <v>45796</v>
      </c>
      <c r="B293" s="13" t="s">
        <v>33</v>
      </c>
      <c r="C293" s="13"/>
      <c r="D293" s="13"/>
      <c r="E293" s="13"/>
      <c r="F293" s="13"/>
      <c r="G293" s="13"/>
      <c r="H293" s="13"/>
      <c r="I293" s="7"/>
      <c r="J293" s="13"/>
      <c r="K293" s="13"/>
      <c r="L293" s="13"/>
      <c r="M293" s="13"/>
      <c r="N293" s="13"/>
      <c r="O293" s="13"/>
      <c r="P293" s="13"/>
      <c r="Q293" s="13"/>
      <c r="R293" s="13"/>
      <c r="S293" s="13">
        <v>-48</v>
      </c>
      <c r="T293" s="13">
        <v>-21</v>
      </c>
    </row>
    <row r="294" spans="1:20" x14ac:dyDescent="0.25">
      <c r="A294" s="19">
        <v>45796</v>
      </c>
      <c r="B294" s="7" t="s">
        <v>31</v>
      </c>
      <c r="C294" s="7">
        <v>-2800</v>
      </c>
      <c r="D294" s="7">
        <v>-875</v>
      </c>
      <c r="E294" s="7"/>
      <c r="F294" s="7">
        <v>-175</v>
      </c>
      <c r="G294" s="7">
        <v>-630</v>
      </c>
      <c r="H294" s="7">
        <v>-1190</v>
      </c>
      <c r="I294" s="7">
        <v>-770</v>
      </c>
      <c r="J294" s="7">
        <v>-560</v>
      </c>
      <c r="K294" s="7">
        <v>-7</v>
      </c>
      <c r="L294" s="7">
        <v>-21</v>
      </c>
      <c r="M294" s="7"/>
      <c r="N294" s="7">
        <v>-3.5</v>
      </c>
      <c r="O294" s="7"/>
      <c r="P294" s="7"/>
      <c r="S294" s="4">
        <v>140</v>
      </c>
      <c r="T294" s="13"/>
    </row>
    <row r="295" spans="1:20" x14ac:dyDescent="0.25">
      <c r="A295" s="19">
        <v>45797</v>
      </c>
      <c r="B295" s="7" t="s">
        <v>83</v>
      </c>
      <c r="C295" s="13"/>
      <c r="D295" s="13"/>
      <c r="E295" s="13">
        <v>2700</v>
      </c>
      <c r="F295" s="13"/>
      <c r="G295" s="13"/>
      <c r="H295" s="13"/>
      <c r="I295" s="7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x14ac:dyDescent="0.25">
      <c r="A296" s="19">
        <v>45797</v>
      </c>
      <c r="B296" s="7" t="s">
        <v>54</v>
      </c>
      <c r="C296" s="13"/>
      <c r="D296" s="13"/>
      <c r="E296" s="13"/>
      <c r="F296" s="13"/>
      <c r="G296" s="13"/>
      <c r="H296" s="13"/>
      <c r="I296" s="7">
        <v>3950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x14ac:dyDescent="0.25">
      <c r="A297" s="19">
        <v>45797</v>
      </c>
      <c r="B297" s="13" t="s">
        <v>33</v>
      </c>
      <c r="C297" s="13"/>
      <c r="D297" s="13"/>
      <c r="E297" s="13"/>
      <c r="F297" s="13"/>
      <c r="G297" s="13"/>
      <c r="H297" s="13"/>
      <c r="I297" s="7"/>
      <c r="J297" s="13"/>
      <c r="K297" s="13"/>
      <c r="L297" s="13"/>
      <c r="M297" s="13"/>
      <c r="N297" s="13"/>
      <c r="O297" s="13"/>
      <c r="P297" s="13"/>
      <c r="Q297" s="13"/>
      <c r="R297" s="13"/>
      <c r="S297" s="13">
        <v>-48</v>
      </c>
      <c r="T297" s="13">
        <v>-21</v>
      </c>
    </row>
    <row r="298" spans="1:20" x14ac:dyDescent="0.25">
      <c r="A298" s="19">
        <v>45797</v>
      </c>
      <c r="B298" s="7" t="s">
        <v>87</v>
      </c>
      <c r="C298" s="13">
        <v>-610</v>
      </c>
      <c r="D298" s="13">
        <v>-440</v>
      </c>
      <c r="E298" s="13">
        <v>-280</v>
      </c>
      <c r="F298" s="13">
        <v>-50</v>
      </c>
      <c r="G298" s="13">
        <v>-20</v>
      </c>
      <c r="H298" s="13">
        <v>-300</v>
      </c>
      <c r="I298" s="7">
        <v>-140</v>
      </c>
      <c r="J298" s="13">
        <v>-160</v>
      </c>
      <c r="L298" s="13"/>
      <c r="M298" s="13">
        <v>-0.6</v>
      </c>
      <c r="N298" s="13"/>
      <c r="O298" s="13"/>
      <c r="P298" s="13">
        <v>-2</v>
      </c>
      <c r="Q298" s="13"/>
      <c r="R298" s="13"/>
      <c r="S298" s="13"/>
      <c r="T298" s="13">
        <v>40</v>
      </c>
    </row>
    <row r="299" spans="1:20" x14ac:dyDescent="0.25">
      <c r="A299" s="19">
        <v>45798</v>
      </c>
      <c r="B299" s="7" t="s">
        <v>6</v>
      </c>
      <c r="C299" s="13"/>
      <c r="D299" s="13"/>
      <c r="E299" s="13"/>
      <c r="F299" s="13"/>
      <c r="G299" s="13"/>
      <c r="H299" s="13">
        <v>4650</v>
      </c>
      <c r="I299" s="7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x14ac:dyDescent="0.25">
      <c r="A300" s="19">
        <v>45798</v>
      </c>
      <c r="B300" s="7" t="s">
        <v>77</v>
      </c>
      <c r="C300" s="13"/>
      <c r="D300" s="13"/>
      <c r="E300" s="13"/>
      <c r="F300" s="13"/>
      <c r="G300" s="13"/>
      <c r="H300" s="13"/>
      <c r="I300" s="7"/>
      <c r="J300" s="13">
        <v>600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x14ac:dyDescent="0.25">
      <c r="A301" s="19">
        <v>45798</v>
      </c>
      <c r="B301" s="7" t="s">
        <v>17</v>
      </c>
      <c r="C301" s="13"/>
      <c r="D301" s="13">
        <v>5000</v>
      </c>
      <c r="E301" s="13"/>
      <c r="F301" s="13"/>
      <c r="G301" s="13"/>
      <c r="H301" s="13"/>
      <c r="I301" s="7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x14ac:dyDescent="0.25">
      <c r="A302" s="19">
        <v>45798</v>
      </c>
      <c r="B302" s="7" t="s">
        <v>88</v>
      </c>
      <c r="C302" s="13"/>
      <c r="D302" s="13"/>
      <c r="E302" s="13"/>
      <c r="F302" s="13">
        <v>2075</v>
      </c>
      <c r="G302" s="13"/>
      <c r="H302" s="13"/>
      <c r="I302" s="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x14ac:dyDescent="0.25">
      <c r="A303" s="19">
        <v>45798</v>
      </c>
      <c r="B303" s="7" t="s">
        <v>34</v>
      </c>
      <c r="C303" s="13"/>
      <c r="D303" s="13"/>
      <c r="E303" s="13"/>
      <c r="F303" s="13"/>
      <c r="G303" s="13"/>
      <c r="H303" s="13"/>
      <c r="I303" s="7"/>
      <c r="J303" s="13"/>
      <c r="K303" s="13"/>
      <c r="L303" s="13"/>
      <c r="M303" s="13"/>
      <c r="N303" s="13"/>
      <c r="O303" s="13">
        <v>75</v>
      </c>
      <c r="P303" s="13"/>
      <c r="Q303" s="13"/>
      <c r="R303" s="13"/>
      <c r="S303" s="13"/>
      <c r="T303" s="13"/>
    </row>
    <row r="304" spans="1:20" x14ac:dyDescent="0.25">
      <c r="A304" s="19">
        <v>45798</v>
      </c>
      <c r="B304" s="13" t="s">
        <v>33</v>
      </c>
      <c r="C304" s="13"/>
      <c r="D304" s="13"/>
      <c r="E304" s="13"/>
      <c r="F304" s="13"/>
      <c r="G304" s="13"/>
      <c r="H304" s="13"/>
      <c r="I304" s="7"/>
      <c r="J304" s="13"/>
      <c r="K304" s="13"/>
      <c r="L304" s="13"/>
      <c r="M304" s="13"/>
      <c r="N304" s="13"/>
      <c r="O304" s="13"/>
      <c r="P304" s="13"/>
      <c r="Q304" s="13"/>
      <c r="R304" s="13"/>
      <c r="S304" s="13">
        <v>-48</v>
      </c>
      <c r="T304" s="13">
        <v>-21</v>
      </c>
    </row>
    <row r="305" spans="1:20" x14ac:dyDescent="0.25">
      <c r="A305" s="19">
        <v>45798</v>
      </c>
      <c r="B305" s="7" t="s">
        <v>72</v>
      </c>
      <c r="C305" s="7">
        <v>-2000</v>
      </c>
      <c r="D305" s="7">
        <v>-625</v>
      </c>
      <c r="E305" s="7">
        <v>-250</v>
      </c>
      <c r="F305" s="7">
        <v>-125</v>
      </c>
      <c r="G305" s="7">
        <v>-500</v>
      </c>
      <c r="H305" s="7">
        <v>-775</v>
      </c>
      <c r="I305" s="7">
        <v>-325</v>
      </c>
      <c r="J305" s="7">
        <v>-400</v>
      </c>
      <c r="K305" s="7">
        <v>-5</v>
      </c>
      <c r="L305" s="7">
        <v>-15</v>
      </c>
      <c r="M305" s="7"/>
      <c r="N305" s="7">
        <v>-2.5</v>
      </c>
      <c r="O305" s="7"/>
      <c r="P305" s="7"/>
      <c r="Q305" s="7"/>
      <c r="R305" s="7"/>
      <c r="S305" s="7"/>
      <c r="T305" s="7"/>
    </row>
    <row r="306" spans="1:20" x14ac:dyDescent="0.25">
      <c r="A306" s="19">
        <v>45799</v>
      </c>
      <c r="B306" s="13" t="s">
        <v>89</v>
      </c>
      <c r="C306" s="13">
        <v>12820</v>
      </c>
      <c r="D306" s="13"/>
      <c r="E306" s="13"/>
      <c r="F306" s="13"/>
      <c r="G306" s="13"/>
      <c r="H306" s="13"/>
      <c r="I306" s="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x14ac:dyDescent="0.25">
      <c r="A307" s="19">
        <v>45799</v>
      </c>
      <c r="B307" s="13" t="s">
        <v>75</v>
      </c>
      <c r="C307" s="4">
        <v>181.6</v>
      </c>
      <c r="D307" s="13"/>
      <c r="E307" s="13"/>
      <c r="F307" s="13"/>
      <c r="G307" s="13"/>
      <c r="H307" s="13"/>
      <c r="I307" s="7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x14ac:dyDescent="0.25">
      <c r="A308" s="19">
        <v>45799</v>
      </c>
      <c r="B308" s="13" t="s">
        <v>33</v>
      </c>
      <c r="C308" s="13"/>
      <c r="D308" s="13"/>
      <c r="E308" s="13"/>
      <c r="F308" s="13"/>
      <c r="G308" s="13"/>
      <c r="H308" s="13"/>
      <c r="I308" s="7"/>
      <c r="J308" s="13"/>
      <c r="K308" s="13"/>
      <c r="L308" s="13"/>
      <c r="M308" s="13"/>
      <c r="N308" s="13"/>
      <c r="O308" s="13"/>
      <c r="P308" s="13"/>
      <c r="Q308" s="13"/>
      <c r="R308" s="13"/>
      <c r="S308" s="13">
        <v>-48</v>
      </c>
      <c r="T308" s="13">
        <v>-21</v>
      </c>
    </row>
    <row r="309" spans="1:20" x14ac:dyDescent="0.25">
      <c r="A309" s="19">
        <v>45799</v>
      </c>
      <c r="B309" s="7" t="s">
        <v>87</v>
      </c>
      <c r="C309" s="13">
        <v>-610</v>
      </c>
      <c r="D309" s="13">
        <v>-440</v>
      </c>
      <c r="E309" s="13">
        <v>-280</v>
      </c>
      <c r="F309" s="13">
        <v>-50</v>
      </c>
      <c r="G309" s="13">
        <v>-20</v>
      </c>
      <c r="H309" s="13">
        <v>-300</v>
      </c>
      <c r="I309" s="7">
        <v>-140</v>
      </c>
      <c r="J309" s="13">
        <v>-160</v>
      </c>
      <c r="L309" s="13"/>
      <c r="M309" s="13">
        <v>-0.6</v>
      </c>
      <c r="N309" s="13"/>
      <c r="O309" s="13"/>
      <c r="P309" s="13">
        <v>-2</v>
      </c>
      <c r="Q309" s="13"/>
      <c r="R309" s="13"/>
      <c r="S309" s="13"/>
      <c r="T309" s="13">
        <v>40</v>
      </c>
    </row>
    <row r="310" spans="1:20" x14ac:dyDescent="0.25">
      <c r="A310" s="19">
        <v>45799</v>
      </c>
      <c r="B310" s="7" t="s">
        <v>2</v>
      </c>
      <c r="C310" s="7">
        <v>-1600</v>
      </c>
      <c r="D310" s="7">
        <v>-500</v>
      </c>
      <c r="E310" s="7"/>
      <c r="F310" s="7">
        <v>-100</v>
      </c>
      <c r="G310" s="7">
        <v>-360</v>
      </c>
      <c r="H310" s="7">
        <v>-680</v>
      </c>
      <c r="I310" s="7">
        <v>-440</v>
      </c>
      <c r="J310" s="7">
        <v>-320</v>
      </c>
      <c r="K310" s="7">
        <v>-4</v>
      </c>
      <c r="L310" s="7">
        <v>-12</v>
      </c>
      <c r="M310" s="7"/>
      <c r="N310" s="7">
        <v>-2</v>
      </c>
      <c r="O310" s="7"/>
      <c r="P310" s="7"/>
      <c r="Q310" s="7"/>
      <c r="R310" s="7"/>
      <c r="S310" s="7">
        <v>80</v>
      </c>
      <c r="T310" s="7"/>
    </row>
    <row r="311" spans="1:20" x14ac:dyDescent="0.25">
      <c r="A311" s="19">
        <v>45800</v>
      </c>
      <c r="B311" s="13" t="s">
        <v>33</v>
      </c>
      <c r="C311" s="13"/>
      <c r="D311" s="13"/>
      <c r="E311" s="13"/>
      <c r="F311" s="13"/>
      <c r="G311" s="13"/>
      <c r="H311" s="13"/>
      <c r="I311" s="7"/>
      <c r="J311" s="13"/>
      <c r="K311" s="13"/>
      <c r="L311" s="13"/>
      <c r="M311" s="13"/>
      <c r="N311" s="13"/>
      <c r="O311" s="13"/>
      <c r="P311" s="13"/>
      <c r="Q311" s="13"/>
      <c r="R311" s="13"/>
      <c r="S311" s="13">
        <v>-48</v>
      </c>
      <c r="T311" s="13">
        <v>-23</v>
      </c>
    </row>
    <row r="312" spans="1:20" x14ac:dyDescent="0.25">
      <c r="A312" s="19">
        <v>45800</v>
      </c>
      <c r="B312" s="7" t="s">
        <v>1</v>
      </c>
      <c r="C312" s="7">
        <v>-2000</v>
      </c>
      <c r="D312" s="7">
        <v>-625</v>
      </c>
      <c r="E312" s="7"/>
      <c r="F312" s="7">
        <v>-125</v>
      </c>
      <c r="G312" s="7">
        <v>-450</v>
      </c>
      <c r="H312" s="7">
        <v>-850</v>
      </c>
      <c r="I312" s="7">
        <v>-550</v>
      </c>
      <c r="J312" s="7">
        <v>-400</v>
      </c>
      <c r="K312" s="7">
        <v>-5</v>
      </c>
      <c r="L312" s="7">
        <v>-15</v>
      </c>
      <c r="M312" s="7"/>
      <c r="N312" s="7">
        <v>-2.5</v>
      </c>
      <c r="O312" s="7"/>
      <c r="P312" s="7"/>
      <c r="Q312" s="7"/>
      <c r="R312" s="7"/>
      <c r="S312" s="7">
        <v>100</v>
      </c>
      <c r="T312" s="13"/>
    </row>
    <row r="313" spans="1:20" x14ac:dyDescent="0.25">
      <c r="A313" s="19">
        <v>45800</v>
      </c>
      <c r="B313" s="7" t="s">
        <v>64</v>
      </c>
      <c r="C313" s="13">
        <v>-305</v>
      </c>
      <c r="D313" s="13">
        <v>-200</v>
      </c>
      <c r="E313" s="13">
        <v>-140</v>
      </c>
      <c r="F313" s="13"/>
      <c r="G313" s="13">
        <v>-10</v>
      </c>
      <c r="H313" s="13">
        <v>-170</v>
      </c>
      <c r="I313" s="7">
        <v>-60</v>
      </c>
      <c r="J313" s="13">
        <v>-90</v>
      </c>
      <c r="K313" s="13"/>
      <c r="L313" s="13"/>
      <c r="M313" s="13">
        <v>-0.3</v>
      </c>
      <c r="N313" s="13"/>
      <c r="O313" s="13">
        <v>-25</v>
      </c>
      <c r="P313" s="13">
        <v>-1</v>
      </c>
      <c r="Q313" s="13"/>
      <c r="R313" s="13"/>
      <c r="S313" s="13"/>
      <c r="T313" s="13">
        <v>20</v>
      </c>
    </row>
    <row r="314" spans="1:20" x14ac:dyDescent="0.25">
      <c r="A314" s="19">
        <v>45800</v>
      </c>
      <c r="B314" s="7" t="s">
        <v>87</v>
      </c>
      <c r="C314" s="13">
        <v>-1220</v>
      </c>
      <c r="D314" s="13">
        <v>-880</v>
      </c>
      <c r="E314" s="13">
        <v>-560</v>
      </c>
      <c r="F314" s="13">
        <v>-100</v>
      </c>
      <c r="G314" s="13">
        <v>-40</v>
      </c>
      <c r="H314" s="13">
        <v>-600</v>
      </c>
      <c r="I314" s="7">
        <v>-280</v>
      </c>
      <c r="J314" s="13">
        <v>-320</v>
      </c>
      <c r="L314" s="13"/>
      <c r="M314" s="13">
        <v>-1.2</v>
      </c>
      <c r="N314" s="13"/>
      <c r="O314" s="13"/>
      <c r="P314" s="13">
        <v>-4</v>
      </c>
      <c r="Q314" s="13"/>
      <c r="R314" s="13"/>
      <c r="S314" s="13"/>
      <c r="T314" s="13">
        <v>80</v>
      </c>
    </row>
    <row r="315" spans="1:20" x14ac:dyDescent="0.25">
      <c r="A315" s="19">
        <v>45801</v>
      </c>
      <c r="B315" s="13" t="s">
        <v>33</v>
      </c>
      <c r="C315" s="13"/>
      <c r="D315" s="13"/>
      <c r="E315" s="13"/>
      <c r="F315" s="13"/>
      <c r="G315" s="13"/>
      <c r="H315" s="13"/>
      <c r="I315" s="7"/>
      <c r="J315" s="13"/>
      <c r="K315" s="13"/>
      <c r="L315" s="13"/>
      <c r="M315" s="13"/>
      <c r="N315" s="13"/>
      <c r="O315" s="13"/>
      <c r="P315" s="13"/>
      <c r="Q315" s="13"/>
      <c r="R315" s="13"/>
      <c r="S315" s="13">
        <v>-48</v>
      </c>
      <c r="T315" s="13">
        <v>-23</v>
      </c>
    </row>
    <row r="316" spans="1:20" x14ac:dyDescent="0.25">
      <c r="A316" s="19">
        <v>45801</v>
      </c>
      <c r="B316" s="7" t="s">
        <v>1</v>
      </c>
      <c r="C316" s="7">
        <v>-2000</v>
      </c>
      <c r="D316" s="7">
        <v>-625</v>
      </c>
      <c r="E316" s="7"/>
      <c r="F316" s="7">
        <v>-125</v>
      </c>
      <c r="G316" s="7">
        <v>-450</v>
      </c>
      <c r="H316" s="7">
        <v>-850</v>
      </c>
      <c r="I316" s="7">
        <v>-550</v>
      </c>
      <c r="J316" s="7">
        <v>-400</v>
      </c>
      <c r="K316" s="7">
        <v>-5</v>
      </c>
      <c r="L316" s="7">
        <v>-15</v>
      </c>
      <c r="M316" s="7"/>
      <c r="N316" s="7">
        <v>-2.5</v>
      </c>
      <c r="O316" s="7"/>
      <c r="P316" s="7"/>
      <c r="Q316" s="7"/>
      <c r="R316" s="7"/>
      <c r="S316" s="7">
        <v>100</v>
      </c>
      <c r="T316" s="13"/>
    </row>
    <row r="317" spans="1:20" x14ac:dyDescent="0.25">
      <c r="A317" s="19">
        <v>45801</v>
      </c>
      <c r="B317" s="7" t="s">
        <v>72</v>
      </c>
      <c r="C317" s="7">
        <v>-2000</v>
      </c>
      <c r="D317" s="7">
        <v>-625</v>
      </c>
      <c r="E317" s="7">
        <v>-250</v>
      </c>
      <c r="F317" s="7">
        <v>-125</v>
      </c>
      <c r="G317" s="7">
        <v>-500</v>
      </c>
      <c r="H317" s="7">
        <v>-775</v>
      </c>
      <c r="I317" s="7">
        <v>-325</v>
      </c>
      <c r="J317" s="7">
        <v>-400</v>
      </c>
      <c r="K317" s="7">
        <v>-5</v>
      </c>
      <c r="L317" s="7">
        <v>-15</v>
      </c>
      <c r="M317" s="7"/>
      <c r="N317" s="7">
        <v>-2.5</v>
      </c>
      <c r="O317" s="7"/>
      <c r="P317" s="7"/>
      <c r="Q317" s="7"/>
      <c r="R317" s="7"/>
      <c r="S317" s="7"/>
      <c r="T317" s="7"/>
    </row>
    <row r="318" spans="1:20" x14ac:dyDescent="0.25">
      <c r="A318" s="19">
        <v>45802</v>
      </c>
      <c r="B318" s="13" t="s">
        <v>33</v>
      </c>
      <c r="C318" s="13"/>
      <c r="D318" s="13"/>
      <c r="E318" s="13"/>
      <c r="F318" s="13"/>
      <c r="G318" s="13"/>
      <c r="H318" s="13"/>
      <c r="I318" s="7"/>
      <c r="J318" s="13"/>
      <c r="K318" s="13"/>
      <c r="L318" s="13"/>
      <c r="M318" s="13"/>
      <c r="N318" s="13"/>
      <c r="O318" s="13"/>
      <c r="P318" s="13"/>
      <c r="Q318" s="13"/>
      <c r="R318" s="13"/>
      <c r="S318" s="13">
        <v>-48</v>
      </c>
      <c r="T318" s="13">
        <v>-23</v>
      </c>
    </row>
    <row r="319" spans="1:20" x14ac:dyDescent="0.25">
      <c r="A319" s="19">
        <v>45803</v>
      </c>
      <c r="B319" s="13" t="s">
        <v>33</v>
      </c>
      <c r="C319" s="13"/>
      <c r="D319" s="13"/>
      <c r="E319" s="13"/>
      <c r="F319" s="13"/>
      <c r="G319" s="13"/>
      <c r="H319" s="13"/>
      <c r="I319" s="7"/>
      <c r="J319" s="13"/>
      <c r="K319" s="13"/>
      <c r="L319" s="13"/>
      <c r="M319" s="13"/>
      <c r="N319" s="13"/>
      <c r="O319" s="13"/>
      <c r="P319" s="13"/>
      <c r="Q319" s="13"/>
      <c r="R319" s="13"/>
      <c r="S319" s="13">
        <v>-48</v>
      </c>
      <c r="T319" s="13">
        <v>-24</v>
      </c>
    </row>
    <row r="320" spans="1:20" x14ac:dyDescent="0.25">
      <c r="A320" s="19">
        <v>45803</v>
      </c>
      <c r="B320" s="7" t="s">
        <v>68</v>
      </c>
      <c r="C320" s="7">
        <v>-800</v>
      </c>
      <c r="D320" s="7">
        <v>-250</v>
      </c>
      <c r="E320" s="7">
        <v>-100</v>
      </c>
      <c r="F320" s="7">
        <v>-50</v>
      </c>
      <c r="G320" s="7">
        <v>-200</v>
      </c>
      <c r="H320" s="7">
        <v>-310</v>
      </c>
      <c r="I320" s="7">
        <v>-130</v>
      </c>
      <c r="J320" s="7">
        <v>-160</v>
      </c>
      <c r="K320" s="7">
        <v>-2</v>
      </c>
      <c r="L320" s="7">
        <v>-6</v>
      </c>
      <c r="M320" s="7"/>
      <c r="N320" s="7">
        <v>-1</v>
      </c>
      <c r="O320" s="7"/>
      <c r="P320" s="7"/>
      <c r="Q320" s="7"/>
      <c r="R320" s="7"/>
      <c r="S320" s="7"/>
      <c r="T320" s="13"/>
    </row>
    <row r="321" spans="1:20" x14ac:dyDescent="0.25">
      <c r="A321" s="19">
        <v>45804</v>
      </c>
      <c r="B321" s="7" t="s">
        <v>2</v>
      </c>
      <c r="C321" s="7">
        <v>-1600</v>
      </c>
      <c r="D321" s="7">
        <v>-500</v>
      </c>
      <c r="E321" s="7"/>
      <c r="F321" s="7">
        <v>-100</v>
      </c>
      <c r="G321" s="7">
        <v>-360</v>
      </c>
      <c r="H321" s="7">
        <v>-680</v>
      </c>
      <c r="I321" s="7">
        <v>-440</v>
      </c>
      <c r="J321" s="7">
        <v>-320</v>
      </c>
      <c r="K321" s="7">
        <v>-4</v>
      </c>
      <c r="L321" s="7">
        <v>-12</v>
      </c>
      <c r="M321" s="7"/>
      <c r="N321" s="7">
        <v>-2</v>
      </c>
      <c r="O321" s="7"/>
      <c r="P321" s="7"/>
      <c r="Q321" s="7"/>
      <c r="R321" s="7"/>
      <c r="S321" s="7">
        <v>80</v>
      </c>
      <c r="T321" s="7"/>
    </row>
    <row r="322" spans="1:20" x14ac:dyDescent="0.25">
      <c r="A322" s="19">
        <v>45804</v>
      </c>
      <c r="B322" s="7" t="s">
        <v>64</v>
      </c>
      <c r="C322" s="13">
        <v>-305</v>
      </c>
      <c r="D322" s="13">
        <v>-200</v>
      </c>
      <c r="E322" s="13">
        <v>-140</v>
      </c>
      <c r="F322" s="13"/>
      <c r="G322" s="13">
        <v>-10</v>
      </c>
      <c r="H322" s="13">
        <v>-170</v>
      </c>
      <c r="I322" s="7">
        <v>-60</v>
      </c>
      <c r="J322" s="13">
        <v>-90</v>
      </c>
      <c r="K322" s="13"/>
      <c r="L322" s="13"/>
      <c r="M322" s="13">
        <v>-0.3</v>
      </c>
      <c r="N322" s="13"/>
      <c r="O322" s="13">
        <v>-25</v>
      </c>
      <c r="P322" s="13">
        <v>-1</v>
      </c>
      <c r="Q322" s="13"/>
      <c r="R322" s="13"/>
      <c r="S322" s="13"/>
      <c r="T322" s="13">
        <v>20</v>
      </c>
    </row>
    <row r="323" spans="1:20" x14ac:dyDescent="0.25">
      <c r="A323" s="19">
        <v>45804</v>
      </c>
      <c r="B323" s="7" t="s">
        <v>71</v>
      </c>
      <c r="C323" s="7">
        <v>-400</v>
      </c>
      <c r="D323" s="7">
        <v>-125</v>
      </c>
      <c r="E323" s="7">
        <v>-150</v>
      </c>
      <c r="F323" s="7">
        <v>-25</v>
      </c>
      <c r="G323" s="7">
        <v>-100</v>
      </c>
      <c r="H323" s="7">
        <v>-155</v>
      </c>
      <c r="I323" s="7">
        <v>-65</v>
      </c>
      <c r="J323" s="7">
        <v>-80</v>
      </c>
      <c r="K323" s="7">
        <v>-1</v>
      </c>
      <c r="L323" s="7">
        <v>-3</v>
      </c>
      <c r="M323" s="7"/>
      <c r="N323" s="7">
        <v>-0.5</v>
      </c>
      <c r="O323" s="7"/>
      <c r="P323" s="7"/>
      <c r="Q323" s="7"/>
      <c r="R323" s="7"/>
      <c r="S323" s="7"/>
      <c r="T323" s="7"/>
    </row>
    <row r="324" spans="1:20" x14ac:dyDescent="0.25">
      <c r="A324" s="19">
        <v>45804</v>
      </c>
      <c r="B324" s="7" t="s">
        <v>89</v>
      </c>
      <c r="C324" s="13">
        <v>12720</v>
      </c>
      <c r="D324" s="13"/>
      <c r="E324" s="13"/>
      <c r="F324" s="13"/>
      <c r="G324" s="13"/>
      <c r="H324" s="13"/>
      <c r="I324" s="7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x14ac:dyDescent="0.25">
      <c r="A325" s="19">
        <v>45804</v>
      </c>
      <c r="B325" s="13" t="s">
        <v>33</v>
      </c>
      <c r="C325" s="13"/>
      <c r="D325" s="13"/>
      <c r="E325" s="13"/>
      <c r="F325" s="13"/>
      <c r="G325" s="13"/>
      <c r="H325" s="13"/>
      <c r="I325" s="7"/>
      <c r="J325" s="13"/>
      <c r="K325" s="13"/>
      <c r="L325" s="13"/>
      <c r="M325" s="13"/>
      <c r="N325" s="13"/>
      <c r="O325" s="13"/>
      <c r="P325" s="13"/>
      <c r="Q325" s="13"/>
      <c r="R325" s="13"/>
      <c r="S325" s="13">
        <v>-48</v>
      </c>
      <c r="T325" s="13">
        <v>-24</v>
      </c>
    </row>
    <row r="326" spans="1:20" x14ac:dyDescent="0.25">
      <c r="A326" s="19">
        <v>45805</v>
      </c>
      <c r="B326" s="7" t="s">
        <v>85</v>
      </c>
      <c r="C326" s="13">
        <v>-915</v>
      </c>
      <c r="D326" s="13">
        <v>-660</v>
      </c>
      <c r="E326" s="13">
        <v>-420</v>
      </c>
      <c r="F326" s="13">
        <v>-75</v>
      </c>
      <c r="G326" s="13">
        <v>-30</v>
      </c>
      <c r="H326" s="13">
        <v>-450</v>
      </c>
      <c r="I326" s="7">
        <v>-210</v>
      </c>
      <c r="J326" s="13">
        <v>-240</v>
      </c>
      <c r="K326" s="13"/>
      <c r="L326" s="13"/>
      <c r="M326" s="13">
        <v>-0.9</v>
      </c>
      <c r="N326" s="13"/>
      <c r="O326" s="13"/>
      <c r="P326" s="13">
        <v>-3</v>
      </c>
      <c r="Q326" s="13"/>
      <c r="R326" s="13"/>
      <c r="S326" s="13"/>
      <c r="T326" s="13">
        <v>60</v>
      </c>
    </row>
    <row r="327" spans="1:20" x14ac:dyDescent="0.25">
      <c r="A327" s="19">
        <v>45805</v>
      </c>
      <c r="B327" s="7" t="s">
        <v>31</v>
      </c>
      <c r="C327" s="7">
        <v>-400</v>
      </c>
      <c r="D327" s="7">
        <v>-125</v>
      </c>
      <c r="E327" s="7"/>
      <c r="F327" s="7">
        <v>-25</v>
      </c>
      <c r="G327" s="7">
        <v>-90</v>
      </c>
      <c r="H327" s="7">
        <v>-170</v>
      </c>
      <c r="I327" s="7">
        <v>-110</v>
      </c>
      <c r="J327" s="7">
        <v>-80</v>
      </c>
      <c r="K327" s="7">
        <v>-1</v>
      </c>
      <c r="L327" s="7">
        <v>-3</v>
      </c>
      <c r="M327" s="7"/>
      <c r="N327" s="7">
        <v>-0.5</v>
      </c>
      <c r="O327" s="7"/>
      <c r="P327" s="7"/>
      <c r="S327" s="4">
        <v>20</v>
      </c>
      <c r="T327" s="13"/>
    </row>
    <row r="328" spans="1:20" x14ac:dyDescent="0.25">
      <c r="A328" s="19">
        <v>45805</v>
      </c>
      <c r="B328" s="13" t="s">
        <v>90</v>
      </c>
      <c r="C328" s="13"/>
      <c r="D328" s="13"/>
      <c r="E328" s="13">
        <v>3150</v>
      </c>
      <c r="F328" s="13"/>
      <c r="G328" s="13"/>
      <c r="H328" s="13"/>
      <c r="I328" s="7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x14ac:dyDescent="0.25">
      <c r="A329" s="19">
        <v>45805</v>
      </c>
      <c r="B329" s="13" t="s">
        <v>54</v>
      </c>
      <c r="C329" s="13"/>
      <c r="D329" s="13"/>
      <c r="E329" s="13"/>
      <c r="F329" s="13"/>
      <c r="G329" s="13"/>
      <c r="H329" s="13"/>
      <c r="I329" s="7">
        <v>5000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x14ac:dyDescent="0.25">
      <c r="A330" s="19">
        <v>45806</v>
      </c>
      <c r="B330" s="13" t="s">
        <v>33</v>
      </c>
      <c r="C330" s="13"/>
      <c r="D330" s="13"/>
      <c r="E330" s="13"/>
      <c r="F330" s="13"/>
      <c r="G330" s="13"/>
      <c r="H330" s="13"/>
      <c r="I330" s="7"/>
      <c r="J330" s="13"/>
      <c r="K330" s="13"/>
      <c r="L330" s="13"/>
      <c r="M330" s="13"/>
      <c r="N330" s="13"/>
      <c r="O330" s="13"/>
      <c r="P330" s="13"/>
      <c r="Q330" s="13"/>
      <c r="R330" s="13"/>
      <c r="S330" s="13">
        <v>-48</v>
      </c>
      <c r="T330" s="13">
        <v>-24</v>
      </c>
    </row>
    <row r="331" spans="1:20" x14ac:dyDescent="0.25">
      <c r="A331" s="19">
        <v>45806</v>
      </c>
      <c r="B331" s="7" t="s">
        <v>18</v>
      </c>
      <c r="C331" s="13"/>
      <c r="D331" s="13"/>
      <c r="E331" s="13"/>
      <c r="F331" s="13"/>
      <c r="G331" s="13"/>
      <c r="H331" s="13">
        <v>5000</v>
      </c>
      <c r="I331" s="7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x14ac:dyDescent="0.25">
      <c r="A332" s="19">
        <v>45806</v>
      </c>
      <c r="B332" s="7" t="s">
        <v>77</v>
      </c>
      <c r="C332" s="13"/>
      <c r="D332" s="13"/>
      <c r="E332" s="13"/>
      <c r="F332" s="13"/>
      <c r="G332" s="13"/>
      <c r="H332" s="13"/>
      <c r="I332" s="7"/>
      <c r="J332" s="13">
        <v>2960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x14ac:dyDescent="0.25">
      <c r="A333" s="19">
        <v>45806</v>
      </c>
      <c r="B333" s="7" t="s">
        <v>17</v>
      </c>
      <c r="C333" s="13"/>
      <c r="D333" s="13">
        <v>4300</v>
      </c>
      <c r="E333" s="13"/>
      <c r="F333" s="13"/>
      <c r="G333" s="13"/>
      <c r="H333" s="13"/>
      <c r="I333" s="7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x14ac:dyDescent="0.25">
      <c r="A334" s="19">
        <v>45806</v>
      </c>
      <c r="B334" s="7" t="s">
        <v>12</v>
      </c>
      <c r="C334" s="13"/>
      <c r="D334" s="13"/>
      <c r="E334" s="13"/>
      <c r="F334" s="13"/>
      <c r="G334" s="13"/>
      <c r="H334" s="13"/>
      <c r="I334" s="7"/>
      <c r="J334" s="13"/>
      <c r="K334" s="13"/>
      <c r="L334" s="13">
        <v>250</v>
      </c>
      <c r="M334" s="13"/>
      <c r="N334" s="13"/>
      <c r="O334" s="13"/>
      <c r="P334" s="13"/>
      <c r="Q334" s="13"/>
      <c r="R334" s="13"/>
      <c r="S334" s="13"/>
      <c r="T334" s="13"/>
    </row>
    <row r="335" spans="1:20" x14ac:dyDescent="0.25">
      <c r="A335" s="19">
        <v>45806</v>
      </c>
      <c r="B335" s="7" t="s">
        <v>13</v>
      </c>
      <c r="C335" s="13"/>
      <c r="D335" s="13"/>
      <c r="E335" s="13"/>
      <c r="F335" s="13"/>
      <c r="G335" s="13"/>
      <c r="H335" s="13"/>
      <c r="I335" s="7"/>
      <c r="J335" s="13"/>
      <c r="K335" s="13"/>
      <c r="L335" s="13"/>
      <c r="M335" s="13"/>
      <c r="N335" s="13">
        <v>50</v>
      </c>
      <c r="O335" s="13"/>
      <c r="P335" s="13"/>
      <c r="Q335" s="13"/>
      <c r="R335" s="13"/>
      <c r="S335" s="13"/>
      <c r="T335" s="13"/>
    </row>
    <row r="336" spans="1:20" x14ac:dyDescent="0.25">
      <c r="A336" s="19">
        <v>45806</v>
      </c>
      <c r="B336" s="7" t="s">
        <v>1</v>
      </c>
      <c r="C336" s="7">
        <v>-2000</v>
      </c>
      <c r="D336" s="7">
        <v>-625</v>
      </c>
      <c r="E336" s="7"/>
      <c r="F336" s="7">
        <v>-125</v>
      </c>
      <c r="G336" s="7">
        <v>-450</v>
      </c>
      <c r="H336" s="7">
        <v>-850</v>
      </c>
      <c r="I336" s="7">
        <v>-550</v>
      </c>
      <c r="J336" s="7">
        <v>-400</v>
      </c>
      <c r="K336" s="7">
        <v>-5</v>
      </c>
      <c r="L336" s="7">
        <v>-15</v>
      </c>
      <c r="M336" s="7"/>
      <c r="N336" s="7">
        <v>-2.5</v>
      </c>
      <c r="O336" s="7"/>
      <c r="P336" s="7"/>
      <c r="Q336" s="7"/>
      <c r="R336" s="7"/>
      <c r="S336" s="7">
        <v>100</v>
      </c>
      <c r="T336" s="13"/>
    </row>
    <row r="337" spans="1:20" x14ac:dyDescent="0.25">
      <c r="A337" s="19">
        <v>45806</v>
      </c>
      <c r="B337" s="7" t="s">
        <v>71</v>
      </c>
      <c r="C337" s="7">
        <v>-400</v>
      </c>
      <c r="D337" s="7">
        <v>-125</v>
      </c>
      <c r="E337" s="7">
        <v>-150</v>
      </c>
      <c r="F337" s="7">
        <v>-25</v>
      </c>
      <c r="G337" s="7">
        <v>-100</v>
      </c>
      <c r="H337" s="7">
        <v>-155</v>
      </c>
      <c r="I337" s="7">
        <v>-65</v>
      </c>
      <c r="J337" s="7">
        <v>-80</v>
      </c>
      <c r="K337" s="7">
        <v>-1</v>
      </c>
      <c r="L337" s="7">
        <v>-3</v>
      </c>
      <c r="M337" s="7"/>
      <c r="N337" s="7">
        <v>-0.5</v>
      </c>
      <c r="O337" s="7"/>
      <c r="P337" s="7"/>
      <c r="Q337" s="7"/>
      <c r="R337" s="7"/>
      <c r="S337" s="7"/>
      <c r="T337" s="7"/>
    </row>
    <row r="338" spans="1:20" x14ac:dyDescent="0.25">
      <c r="A338" s="19">
        <v>45807</v>
      </c>
      <c r="B338" s="13" t="s">
        <v>33</v>
      </c>
      <c r="C338" s="13"/>
      <c r="D338" s="13"/>
      <c r="E338" s="13"/>
      <c r="F338" s="13"/>
      <c r="G338" s="13"/>
      <c r="H338" s="13"/>
      <c r="I338" s="7"/>
      <c r="J338" s="13"/>
      <c r="K338" s="13"/>
      <c r="L338" s="13"/>
      <c r="M338" s="13"/>
      <c r="N338" s="13"/>
      <c r="O338" s="13"/>
      <c r="P338" s="13"/>
      <c r="Q338" s="13"/>
      <c r="R338" s="13"/>
      <c r="S338" s="13">
        <v>-48</v>
      </c>
      <c r="T338" s="13">
        <v>-24</v>
      </c>
    </row>
    <row r="339" spans="1:20" x14ac:dyDescent="0.25">
      <c r="A339" s="19">
        <v>45807</v>
      </c>
      <c r="B339" s="7" t="s">
        <v>86</v>
      </c>
      <c r="C339" s="13"/>
      <c r="D339" s="13"/>
      <c r="E339" s="13"/>
      <c r="F339" s="13"/>
      <c r="G339" s="13"/>
      <c r="H339" s="13"/>
      <c r="I339" s="7"/>
      <c r="J339" s="13"/>
      <c r="K339" s="13"/>
      <c r="L339" s="13"/>
      <c r="M339" s="13"/>
      <c r="N339" s="13"/>
      <c r="O339" s="13"/>
      <c r="P339" s="13">
        <v>25</v>
      </c>
      <c r="Q339" s="13"/>
      <c r="R339" s="13"/>
      <c r="S339" s="13"/>
      <c r="T339" s="13"/>
    </row>
    <row r="340" spans="1:20" x14ac:dyDescent="0.25">
      <c r="A340" s="19">
        <v>45807</v>
      </c>
      <c r="B340" s="7" t="s">
        <v>91</v>
      </c>
      <c r="C340" s="7">
        <v>-1200</v>
      </c>
      <c r="D340" s="7">
        <v>-375</v>
      </c>
      <c r="E340" s="7">
        <v>-450</v>
      </c>
      <c r="F340" s="7">
        <v>-75</v>
      </c>
      <c r="G340" s="7">
        <v>-300</v>
      </c>
      <c r="H340" s="7">
        <v>-465</v>
      </c>
      <c r="I340" s="7">
        <v>-195</v>
      </c>
      <c r="J340" s="7">
        <v>-240</v>
      </c>
      <c r="K340" s="7">
        <v>-3</v>
      </c>
      <c r="L340" s="7">
        <v>-9</v>
      </c>
      <c r="M340" s="7"/>
      <c r="N340" s="7">
        <v>-1.5</v>
      </c>
      <c r="O340" s="7"/>
      <c r="P340" s="7"/>
      <c r="Q340" s="7"/>
      <c r="R340" s="7"/>
      <c r="S340" s="7"/>
      <c r="T340" s="7"/>
    </row>
    <row r="341" spans="1:20" x14ac:dyDescent="0.25">
      <c r="A341" s="19">
        <v>45808</v>
      </c>
      <c r="B341" s="13" t="s">
        <v>33</v>
      </c>
      <c r="C341" s="13"/>
      <c r="D341" s="13"/>
      <c r="E341" s="13"/>
      <c r="F341" s="13"/>
      <c r="G341" s="13"/>
      <c r="H341" s="13"/>
      <c r="I341" s="7"/>
      <c r="J341" s="13"/>
      <c r="K341" s="13"/>
      <c r="L341" s="13"/>
      <c r="M341" s="13"/>
      <c r="N341" s="13"/>
      <c r="O341" s="13"/>
      <c r="P341" s="13"/>
      <c r="Q341" s="13"/>
      <c r="R341" s="13"/>
      <c r="S341" s="13">
        <v>-48</v>
      </c>
      <c r="T341" s="13">
        <v>-24</v>
      </c>
    </row>
    <row r="342" spans="1:20" x14ac:dyDescent="0.25">
      <c r="A342" s="19">
        <v>45808</v>
      </c>
      <c r="B342" s="7" t="s">
        <v>1</v>
      </c>
      <c r="C342" s="7">
        <v>-2000</v>
      </c>
      <c r="D342" s="7">
        <v>-625</v>
      </c>
      <c r="E342" s="7"/>
      <c r="F342" s="7">
        <v>-125</v>
      </c>
      <c r="G342" s="7">
        <v>-450</v>
      </c>
      <c r="H342" s="7">
        <v>-850</v>
      </c>
      <c r="I342" s="7">
        <v>-550</v>
      </c>
      <c r="J342" s="7">
        <v>-400</v>
      </c>
      <c r="K342" s="7">
        <v>-5</v>
      </c>
      <c r="L342" s="7">
        <v>-15</v>
      </c>
      <c r="M342" s="7"/>
      <c r="N342" s="7">
        <v>-2.5</v>
      </c>
      <c r="O342" s="7"/>
      <c r="P342" s="7"/>
      <c r="Q342" s="7"/>
      <c r="R342" s="7"/>
      <c r="S342" s="7">
        <v>100</v>
      </c>
      <c r="T342" s="13"/>
    </row>
    <row r="343" spans="1:20" x14ac:dyDescent="0.25">
      <c r="A343" s="19">
        <v>45808</v>
      </c>
      <c r="B343" s="7" t="s">
        <v>91</v>
      </c>
      <c r="C343" s="7">
        <v>-1200</v>
      </c>
      <c r="D343" s="7">
        <v>-375</v>
      </c>
      <c r="E343" s="7">
        <v>-450</v>
      </c>
      <c r="F343" s="7">
        <v>-75</v>
      </c>
      <c r="G343" s="7">
        <v>-300</v>
      </c>
      <c r="H343" s="7">
        <v>-465</v>
      </c>
      <c r="I343" s="7">
        <v>-195</v>
      </c>
      <c r="J343" s="7">
        <v>-240</v>
      </c>
      <c r="K343" s="7">
        <v>-3</v>
      </c>
      <c r="L343" s="7">
        <v>-9</v>
      </c>
      <c r="M343" s="7"/>
      <c r="N343" s="7">
        <v>-1.5</v>
      </c>
      <c r="O343" s="7"/>
      <c r="P343" s="7"/>
      <c r="Q343" s="7"/>
      <c r="R343" s="7"/>
      <c r="S343" s="7"/>
      <c r="T343" s="7"/>
    </row>
    <row r="344" spans="1:20" x14ac:dyDescent="0.25">
      <c r="A344" s="19">
        <v>45808</v>
      </c>
      <c r="B344" s="7" t="s">
        <v>22</v>
      </c>
      <c r="C344" s="13"/>
      <c r="D344" s="13">
        <v>12000</v>
      </c>
      <c r="E344" s="13"/>
      <c r="F344" s="13"/>
      <c r="G344" s="13"/>
      <c r="H344" s="13"/>
      <c r="I344" s="7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x14ac:dyDescent="0.25">
      <c r="A345" s="19">
        <v>45808</v>
      </c>
      <c r="B345" s="7" t="s">
        <v>22</v>
      </c>
      <c r="C345" s="13"/>
      <c r="D345" s="13">
        <v>11500</v>
      </c>
      <c r="E345" s="13"/>
      <c r="F345" s="13"/>
      <c r="G345" s="13"/>
      <c r="H345" s="13"/>
      <c r="I345" s="7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x14ac:dyDescent="0.25">
      <c r="A346" s="19"/>
      <c r="B346" s="7"/>
      <c r="C346" s="13"/>
      <c r="D346" s="13"/>
      <c r="E346" s="13"/>
      <c r="F346" s="13"/>
      <c r="G346" s="13"/>
      <c r="H346" s="13"/>
      <c r="I346" s="7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x14ac:dyDescent="0.25">
      <c r="A348" s="20"/>
      <c r="B348" s="21" t="s">
        <v>25</v>
      </c>
      <c r="C348" s="22">
        <f t="shared" ref="C348:T348" si="4">SUM(C208:C347)</f>
        <v>13861.599999999999</v>
      </c>
      <c r="D348" s="22">
        <f t="shared" si="4"/>
        <v>26225</v>
      </c>
      <c r="E348" s="22">
        <f t="shared" si="4"/>
        <v>1605</v>
      </c>
      <c r="F348" s="22">
        <f t="shared" si="4"/>
        <v>600</v>
      </c>
      <c r="G348" s="22">
        <f t="shared" si="4"/>
        <v>1990</v>
      </c>
      <c r="H348" s="22">
        <f t="shared" si="4"/>
        <v>4340</v>
      </c>
      <c r="I348" s="22">
        <f t="shared" si="4"/>
        <v>3650</v>
      </c>
      <c r="J348" s="22">
        <f t="shared" si="4"/>
        <v>3110</v>
      </c>
      <c r="K348" s="22">
        <f t="shared" si="4"/>
        <v>77</v>
      </c>
      <c r="L348" s="22">
        <f t="shared" si="4"/>
        <v>203</v>
      </c>
      <c r="M348" s="22">
        <f t="shared" si="4"/>
        <v>2.3999999999999955</v>
      </c>
      <c r="N348" s="22">
        <f t="shared" si="4"/>
        <v>48</v>
      </c>
      <c r="O348" s="22">
        <f t="shared" si="4"/>
        <v>124</v>
      </c>
      <c r="P348" s="22">
        <f t="shared" si="4"/>
        <v>24</v>
      </c>
      <c r="Q348" s="22"/>
      <c r="R348" s="22"/>
      <c r="S348" s="22">
        <f t="shared" si="4"/>
        <v>156</v>
      </c>
      <c r="T348" s="22">
        <f t="shared" si="4"/>
        <v>76</v>
      </c>
    </row>
    <row r="349" spans="1:20" x14ac:dyDescent="0.25">
      <c r="A349" s="17"/>
      <c r="B349" s="17" t="s">
        <v>28</v>
      </c>
      <c r="C349" s="17">
        <v>1905</v>
      </c>
      <c r="D349" s="17">
        <v>800</v>
      </c>
      <c r="E349" s="17">
        <v>222.5</v>
      </c>
      <c r="F349" s="17">
        <v>125</v>
      </c>
      <c r="G349" s="17">
        <v>544</v>
      </c>
      <c r="H349" s="17">
        <v>804</v>
      </c>
      <c r="I349" s="17">
        <v>510</v>
      </c>
      <c r="J349" s="17">
        <v>400</v>
      </c>
      <c r="K349" s="17">
        <v>5</v>
      </c>
      <c r="L349" s="17">
        <v>12</v>
      </c>
      <c r="M349" s="17">
        <v>0.3</v>
      </c>
      <c r="N349" s="17">
        <v>2</v>
      </c>
      <c r="O349" s="17">
        <v>25</v>
      </c>
      <c r="P349" s="17">
        <v>1</v>
      </c>
      <c r="Q349" s="17"/>
      <c r="R349" s="17"/>
      <c r="S349" s="17">
        <v>48</v>
      </c>
      <c r="T349" s="17">
        <v>21</v>
      </c>
    </row>
    <row r="350" spans="1:20" x14ac:dyDescent="0.25">
      <c r="A350" s="17"/>
      <c r="B350" s="17" t="s">
        <v>26</v>
      </c>
      <c r="C350" s="18">
        <f>C348/C349</f>
        <v>7.2764304461942251</v>
      </c>
      <c r="D350" s="18">
        <f t="shared" ref="D350:T350" si="5">D348/D349</f>
        <v>32.78125</v>
      </c>
      <c r="E350" s="18">
        <f t="shared" si="5"/>
        <v>7.213483146067416</v>
      </c>
      <c r="F350" s="18">
        <f t="shared" si="5"/>
        <v>4.8</v>
      </c>
      <c r="G350" s="18">
        <f t="shared" si="5"/>
        <v>3.6580882352941178</v>
      </c>
      <c r="H350" s="18">
        <f t="shared" si="5"/>
        <v>5.3980099502487562</v>
      </c>
      <c r="I350" s="18">
        <f t="shared" si="5"/>
        <v>7.1568627450980395</v>
      </c>
      <c r="J350" s="18">
        <f t="shared" si="5"/>
        <v>7.7750000000000004</v>
      </c>
      <c r="K350" s="18">
        <f t="shared" si="5"/>
        <v>15.4</v>
      </c>
      <c r="L350" s="18">
        <f t="shared" si="5"/>
        <v>16.916666666666668</v>
      </c>
      <c r="M350" s="18">
        <f t="shared" si="5"/>
        <v>7.9999999999999849</v>
      </c>
      <c r="N350" s="18">
        <f t="shared" si="5"/>
        <v>24</v>
      </c>
      <c r="O350" s="18">
        <f t="shared" si="5"/>
        <v>4.96</v>
      </c>
      <c r="P350" s="18">
        <f t="shared" si="5"/>
        <v>24</v>
      </c>
      <c r="Q350" s="18"/>
      <c r="R350" s="18"/>
      <c r="S350" s="18">
        <f t="shared" si="5"/>
        <v>3.25</v>
      </c>
      <c r="T350" s="18">
        <f t="shared" si="5"/>
        <v>3.6190476190476191</v>
      </c>
    </row>
    <row r="351" spans="1:20" x14ac:dyDescent="0.25">
      <c r="C351" s="29"/>
    </row>
    <row r="354" spans="1:20" s="30" customFormat="1" ht="23.5" x14ac:dyDescent="0.55000000000000004">
      <c r="I354" s="56">
        <v>45809</v>
      </c>
      <c r="J354" s="56"/>
      <c r="K354" s="56"/>
    </row>
    <row r="355" spans="1:20" s="28" customFormat="1" x14ac:dyDescent="0.25">
      <c r="F355" s="7"/>
      <c r="G355" s="7"/>
      <c r="H355" s="7"/>
      <c r="I355" s="7"/>
      <c r="J355" s="7"/>
      <c r="K355" s="7"/>
      <c r="L355" s="7"/>
      <c r="M355" s="7"/>
      <c r="N355" s="7"/>
    </row>
    <row r="356" spans="1:20" x14ac:dyDescent="0.25">
      <c r="A356" s="3">
        <v>45809</v>
      </c>
      <c r="B356" s="9" t="s">
        <v>0</v>
      </c>
      <c r="C356" s="10">
        <v>10650</v>
      </c>
      <c r="D356" s="9">
        <v>24680</v>
      </c>
      <c r="E356" s="7">
        <v>2488.5</v>
      </c>
      <c r="F356" s="9">
        <v>600</v>
      </c>
      <c r="G356" s="9">
        <v>1858.8</v>
      </c>
      <c r="H356" s="9">
        <v>3900</v>
      </c>
      <c r="I356" s="9">
        <v>3200</v>
      </c>
      <c r="J356" s="9">
        <v>2710</v>
      </c>
      <c r="K356" s="9">
        <v>75</v>
      </c>
      <c r="L356" s="9">
        <v>199</v>
      </c>
      <c r="M356" s="9">
        <v>27.2</v>
      </c>
      <c r="N356" s="9">
        <v>48.4</v>
      </c>
      <c r="O356" s="9">
        <v>125</v>
      </c>
      <c r="P356" s="9">
        <v>26</v>
      </c>
      <c r="Q356" s="9"/>
      <c r="R356" s="9"/>
      <c r="S356" s="9">
        <v>156</v>
      </c>
      <c r="T356" s="9">
        <v>105</v>
      </c>
    </row>
    <row r="357" spans="1:20" x14ac:dyDescent="0.25">
      <c r="A357" s="3">
        <v>45809</v>
      </c>
      <c r="B357" s="7" t="s">
        <v>33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>
        <v>-48</v>
      </c>
      <c r="T357" s="7">
        <v>-24</v>
      </c>
    </row>
    <row r="358" spans="1:20" x14ac:dyDescent="0.25">
      <c r="A358" s="3">
        <v>45810</v>
      </c>
      <c r="B358" s="7" t="s">
        <v>33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>
        <v>-48</v>
      </c>
      <c r="T358" s="7">
        <v>-24</v>
      </c>
    </row>
    <row r="359" spans="1:20" x14ac:dyDescent="0.25">
      <c r="A359" s="3">
        <v>45810</v>
      </c>
      <c r="B359" s="7" t="s">
        <v>71</v>
      </c>
      <c r="C359" s="7">
        <v>-400</v>
      </c>
      <c r="D359" s="7">
        <v>-125</v>
      </c>
      <c r="E359" s="7">
        <v>-150</v>
      </c>
      <c r="F359" s="7">
        <v>-25</v>
      </c>
      <c r="G359" s="7">
        <v>-100</v>
      </c>
      <c r="H359" s="7">
        <v>-155</v>
      </c>
      <c r="I359" s="7">
        <v>-65</v>
      </c>
      <c r="J359" s="7">
        <v>-80</v>
      </c>
      <c r="K359" s="7">
        <v>-1</v>
      </c>
      <c r="L359" s="7">
        <v>-3</v>
      </c>
      <c r="M359" s="7"/>
      <c r="N359" s="7">
        <v>-0.5</v>
      </c>
      <c r="O359" s="7"/>
      <c r="P359" s="7"/>
      <c r="Q359" s="7"/>
      <c r="R359" s="7"/>
      <c r="S359" s="7"/>
      <c r="T359" s="7"/>
    </row>
    <row r="360" spans="1:20" x14ac:dyDescent="0.25">
      <c r="A360" s="3">
        <v>45810</v>
      </c>
      <c r="B360" s="7" t="s">
        <v>1</v>
      </c>
      <c r="C360" s="7">
        <v>-2000</v>
      </c>
      <c r="D360" s="7">
        <v>-625</v>
      </c>
      <c r="E360" s="7"/>
      <c r="F360" s="7">
        <v>-125</v>
      </c>
      <c r="G360" s="7">
        <v>-450</v>
      </c>
      <c r="H360" s="7">
        <v>-850</v>
      </c>
      <c r="I360" s="7">
        <v>-550</v>
      </c>
      <c r="J360" s="7">
        <v>-400</v>
      </c>
      <c r="K360" s="7">
        <v>-5</v>
      </c>
      <c r="L360" s="7">
        <v>-15</v>
      </c>
      <c r="M360" s="7"/>
      <c r="N360" s="7">
        <v>-2.5</v>
      </c>
      <c r="O360" s="7"/>
      <c r="P360" s="7"/>
      <c r="Q360" s="7"/>
      <c r="R360" s="7"/>
      <c r="S360" s="7">
        <v>100</v>
      </c>
      <c r="T360" s="13"/>
    </row>
    <row r="361" spans="1:20" x14ac:dyDescent="0.25">
      <c r="A361" s="3">
        <v>45811</v>
      </c>
      <c r="B361" s="7" t="s">
        <v>33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>
        <v>-48</v>
      </c>
      <c r="T361" s="7">
        <v>-24</v>
      </c>
    </row>
    <row r="362" spans="1:20" x14ac:dyDescent="0.25">
      <c r="A362" s="3">
        <v>45811</v>
      </c>
      <c r="B362" s="7" t="s">
        <v>1</v>
      </c>
      <c r="C362" s="7">
        <v>-2000</v>
      </c>
      <c r="D362" s="7">
        <v>-625</v>
      </c>
      <c r="E362" s="7"/>
      <c r="F362" s="7">
        <v>-125</v>
      </c>
      <c r="G362" s="7">
        <v>-450</v>
      </c>
      <c r="H362" s="7">
        <v>-850</v>
      </c>
      <c r="I362" s="7">
        <v>-550</v>
      </c>
      <c r="J362" s="7">
        <v>-400</v>
      </c>
      <c r="K362" s="7">
        <v>-5</v>
      </c>
      <c r="L362" s="7">
        <v>-15</v>
      </c>
      <c r="M362" s="7"/>
      <c r="N362" s="7">
        <v>-2.5</v>
      </c>
      <c r="O362" s="7"/>
      <c r="P362" s="7"/>
      <c r="Q362" s="7"/>
      <c r="R362" s="7"/>
      <c r="S362" s="7">
        <v>100</v>
      </c>
      <c r="T362" s="13"/>
    </row>
    <row r="363" spans="1:20" x14ac:dyDescent="0.25">
      <c r="A363" s="3">
        <v>45811</v>
      </c>
      <c r="B363" s="7" t="s">
        <v>68</v>
      </c>
      <c r="C363" s="7">
        <v>-800</v>
      </c>
      <c r="D363" s="7">
        <v>-250</v>
      </c>
      <c r="E363" s="7">
        <v>-100</v>
      </c>
      <c r="F363" s="7">
        <v>-50</v>
      </c>
      <c r="G363" s="7">
        <v>-200</v>
      </c>
      <c r="H363" s="7">
        <v>-310</v>
      </c>
      <c r="I363" s="7">
        <v>-130</v>
      </c>
      <c r="J363" s="7">
        <v>-160</v>
      </c>
      <c r="K363" s="7">
        <v>-2</v>
      </c>
      <c r="L363" s="7">
        <v>-6</v>
      </c>
      <c r="M363" s="7"/>
      <c r="N363" s="7">
        <v>-1</v>
      </c>
      <c r="O363" s="7"/>
      <c r="P363" s="7"/>
      <c r="Q363" s="7"/>
      <c r="R363" s="7"/>
      <c r="S363" s="7"/>
      <c r="T363" s="13"/>
    </row>
    <row r="364" spans="1:20" x14ac:dyDescent="0.25">
      <c r="A364" s="3">
        <v>45811</v>
      </c>
      <c r="B364" s="7" t="s">
        <v>64</v>
      </c>
      <c r="C364" s="13">
        <v>-305</v>
      </c>
      <c r="D364" s="13">
        <v>-200</v>
      </c>
      <c r="E364" s="13">
        <v>-140</v>
      </c>
      <c r="F364" s="13"/>
      <c r="G364" s="13">
        <v>-10</v>
      </c>
      <c r="H364" s="13">
        <v>-170</v>
      </c>
      <c r="I364" s="7">
        <v>-60</v>
      </c>
      <c r="J364" s="13">
        <v>-90</v>
      </c>
      <c r="K364" s="13"/>
      <c r="L364" s="13"/>
      <c r="M364" s="13">
        <v>-0.3</v>
      </c>
      <c r="N364" s="13"/>
      <c r="O364" s="13">
        <v>-25</v>
      </c>
      <c r="P364" s="13">
        <v>-1</v>
      </c>
      <c r="Q364" s="13"/>
      <c r="R364" s="13"/>
      <c r="S364" s="13"/>
      <c r="T364" s="13">
        <v>20</v>
      </c>
    </row>
    <row r="365" spans="1:20" x14ac:dyDescent="0.25">
      <c r="A365" s="3">
        <v>45811</v>
      </c>
      <c r="B365" s="7" t="s">
        <v>80</v>
      </c>
      <c r="C365" s="13">
        <v>-305</v>
      </c>
      <c r="D365" s="13">
        <v>-220</v>
      </c>
      <c r="E365" s="13">
        <v>-140</v>
      </c>
      <c r="F365" s="13">
        <v>-25</v>
      </c>
      <c r="G365" s="13">
        <v>-10</v>
      </c>
      <c r="H365" s="13">
        <v>-150</v>
      </c>
      <c r="I365" s="7">
        <v>-70</v>
      </c>
      <c r="J365" s="13">
        <v>-80</v>
      </c>
      <c r="L365" s="13"/>
      <c r="M365" s="13">
        <v>-0.3</v>
      </c>
      <c r="N365" s="13"/>
      <c r="O365" s="13"/>
      <c r="P365" s="13">
        <v>-1</v>
      </c>
      <c r="Q365" s="13"/>
      <c r="R365" s="13"/>
      <c r="S365" s="13"/>
      <c r="T365" s="13">
        <v>20</v>
      </c>
    </row>
    <row r="366" spans="1:20" x14ac:dyDescent="0.25">
      <c r="A366" s="3">
        <v>45812</v>
      </c>
      <c r="B366" s="7" t="s">
        <v>33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>
        <v>-48</v>
      </c>
      <c r="T366" s="7">
        <v>-24</v>
      </c>
    </row>
    <row r="367" spans="1:20" x14ac:dyDescent="0.25">
      <c r="A367" s="3">
        <v>45812</v>
      </c>
      <c r="B367" s="7" t="s">
        <v>92</v>
      </c>
      <c r="C367" s="7">
        <v>12710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x14ac:dyDescent="0.25">
      <c r="A368" s="3">
        <v>45812</v>
      </c>
      <c r="B368" s="7" t="s">
        <v>92</v>
      </c>
      <c r="C368" s="7">
        <v>12760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x14ac:dyDescent="0.25">
      <c r="A369" s="3">
        <v>45812</v>
      </c>
      <c r="B369" s="7" t="s">
        <v>68</v>
      </c>
      <c r="C369" s="7">
        <v>-800</v>
      </c>
      <c r="D369" s="7">
        <v>-250</v>
      </c>
      <c r="E369" s="7">
        <v>-100</v>
      </c>
      <c r="F369" s="7">
        <v>-50</v>
      </c>
      <c r="G369" s="7">
        <v>-200</v>
      </c>
      <c r="H369" s="7">
        <v>-310</v>
      </c>
      <c r="I369" s="7">
        <v>-130</v>
      </c>
      <c r="J369" s="7">
        <v>-160</v>
      </c>
      <c r="K369" s="7">
        <v>-2</v>
      </c>
      <c r="L369" s="7">
        <v>-6</v>
      </c>
      <c r="M369" s="7"/>
      <c r="N369" s="7">
        <v>-1</v>
      </c>
      <c r="O369" s="7"/>
      <c r="P369" s="7"/>
      <c r="Q369" s="7"/>
      <c r="R369" s="7"/>
      <c r="S369" s="7"/>
      <c r="T369" s="13"/>
    </row>
    <row r="370" spans="1:20" x14ac:dyDescent="0.25">
      <c r="A370" s="3">
        <v>45813</v>
      </c>
      <c r="B370" s="7" t="s">
        <v>33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>
        <v>-48</v>
      </c>
      <c r="T370" s="7">
        <v>-26</v>
      </c>
    </row>
    <row r="371" spans="1:20" x14ac:dyDescent="0.25">
      <c r="A371" s="3">
        <v>45813</v>
      </c>
      <c r="B371" s="7" t="s">
        <v>87</v>
      </c>
      <c r="C371" s="13">
        <v>-610</v>
      </c>
      <c r="D371" s="13">
        <v>-440</v>
      </c>
      <c r="E371" s="13">
        <v>-280</v>
      </c>
      <c r="F371" s="13">
        <v>-50</v>
      </c>
      <c r="G371" s="13">
        <v>-20</v>
      </c>
      <c r="H371" s="13">
        <v>-300</v>
      </c>
      <c r="I371" s="7">
        <v>-140</v>
      </c>
      <c r="J371" s="13">
        <v>-160</v>
      </c>
      <c r="L371" s="13"/>
      <c r="M371" s="13">
        <v>-0.6</v>
      </c>
      <c r="N371" s="13"/>
      <c r="O371" s="13"/>
      <c r="P371" s="13">
        <v>-2</v>
      </c>
      <c r="Q371" s="13"/>
      <c r="R371" s="13"/>
      <c r="S371" s="13"/>
      <c r="T371" s="13">
        <v>40</v>
      </c>
    </row>
    <row r="372" spans="1:20" x14ac:dyDescent="0.25">
      <c r="A372" s="3">
        <v>45813</v>
      </c>
      <c r="B372" s="7" t="s">
        <v>8</v>
      </c>
      <c r="C372" s="13"/>
      <c r="D372" s="13"/>
      <c r="E372" s="13"/>
      <c r="F372" s="13"/>
      <c r="G372" s="13">
        <v>12000</v>
      </c>
      <c r="H372" s="13"/>
      <c r="I372" s="7"/>
      <c r="J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x14ac:dyDescent="0.25">
      <c r="A373" s="3">
        <v>45813</v>
      </c>
      <c r="B373" s="7" t="s">
        <v>71</v>
      </c>
      <c r="C373" s="7">
        <v>-400</v>
      </c>
      <c r="D373" s="7">
        <v>-125</v>
      </c>
      <c r="E373" s="7">
        <v>-150</v>
      </c>
      <c r="F373" s="7">
        <v>-25</v>
      </c>
      <c r="G373" s="7">
        <v>-100</v>
      </c>
      <c r="H373" s="7">
        <v>-155</v>
      </c>
      <c r="I373" s="7">
        <v>-65</v>
      </c>
      <c r="J373" s="7">
        <v>-80</v>
      </c>
      <c r="K373" s="7">
        <v>-1</v>
      </c>
      <c r="L373" s="7">
        <v>-3</v>
      </c>
      <c r="M373" s="7"/>
      <c r="N373" s="7">
        <v>-0.5</v>
      </c>
      <c r="O373" s="7"/>
      <c r="P373" s="7"/>
      <c r="Q373" s="7"/>
      <c r="R373" s="7"/>
      <c r="S373" s="7"/>
      <c r="T373" s="7"/>
    </row>
    <row r="374" spans="1:20" x14ac:dyDescent="0.25">
      <c r="A374" s="3">
        <v>45814</v>
      </c>
      <c r="B374" s="7" t="s">
        <v>18</v>
      </c>
      <c r="C374" s="7"/>
      <c r="D374" s="7"/>
      <c r="E374" s="7"/>
      <c r="F374" s="7"/>
      <c r="G374" s="7"/>
      <c r="H374" s="7">
        <v>6500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x14ac:dyDescent="0.25">
      <c r="A375" s="3">
        <v>45814</v>
      </c>
      <c r="B375" s="7" t="s">
        <v>55</v>
      </c>
      <c r="C375" s="7"/>
      <c r="D375" s="7"/>
      <c r="E375" s="7"/>
      <c r="F375" s="7"/>
      <c r="G375" s="7"/>
      <c r="H375" s="7"/>
      <c r="I375" s="7"/>
      <c r="J375" s="7">
        <v>3280</v>
      </c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x14ac:dyDescent="0.25">
      <c r="A376" s="3">
        <v>45814</v>
      </c>
      <c r="B376" s="7" t="s">
        <v>35</v>
      </c>
      <c r="C376" s="7"/>
      <c r="D376" s="7"/>
      <c r="E376" s="7"/>
      <c r="F376" s="7">
        <v>2000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x14ac:dyDescent="0.25">
      <c r="A377" s="3">
        <v>45814</v>
      </c>
      <c r="B377" s="7" t="s">
        <v>33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>
        <v>-48</v>
      </c>
      <c r="T377" s="7">
        <v>-26</v>
      </c>
    </row>
    <row r="378" spans="1:20" x14ac:dyDescent="0.25">
      <c r="A378" s="3">
        <v>45814</v>
      </c>
      <c r="B378" s="7" t="s">
        <v>68</v>
      </c>
      <c r="C378" s="7">
        <v>-800</v>
      </c>
      <c r="D378" s="7">
        <v>-250</v>
      </c>
      <c r="E378" s="7">
        <v>-100</v>
      </c>
      <c r="F378" s="7">
        <v>-50</v>
      </c>
      <c r="G378" s="7">
        <v>-200</v>
      </c>
      <c r="H378" s="7">
        <v>-310</v>
      </c>
      <c r="I378" s="7">
        <v>-130</v>
      </c>
      <c r="J378" s="7">
        <v>-160</v>
      </c>
      <c r="K378" s="7">
        <v>-2</v>
      </c>
      <c r="L378" s="7">
        <v>-6</v>
      </c>
      <c r="M378" s="7"/>
      <c r="N378" s="7">
        <v>-1</v>
      </c>
      <c r="O378" s="7"/>
      <c r="P378" s="7"/>
      <c r="Q378" s="7"/>
      <c r="R378" s="7"/>
      <c r="S378" s="7"/>
      <c r="T378" s="13"/>
    </row>
    <row r="379" spans="1:20" x14ac:dyDescent="0.25">
      <c r="A379" s="3">
        <v>45815</v>
      </c>
      <c r="B379" s="7" t="s">
        <v>68</v>
      </c>
      <c r="C379" s="7">
        <v>-800</v>
      </c>
      <c r="D379" s="7">
        <v>-250</v>
      </c>
      <c r="E379" s="7">
        <v>-100</v>
      </c>
      <c r="F379" s="7">
        <v>-50</v>
      </c>
      <c r="G379" s="7">
        <v>-200</v>
      </c>
      <c r="H379" s="7">
        <v>-310</v>
      </c>
      <c r="I379" s="7">
        <v>-130</v>
      </c>
      <c r="J379" s="7">
        <v>-160</v>
      </c>
      <c r="K379" s="7">
        <v>-2</v>
      </c>
      <c r="L379" s="7">
        <v>-6</v>
      </c>
      <c r="M379" s="7"/>
      <c r="N379" s="7">
        <v>-1</v>
      </c>
      <c r="O379" s="7"/>
      <c r="P379" s="7"/>
      <c r="Q379" s="7"/>
      <c r="R379" s="7"/>
      <c r="S379" s="7"/>
      <c r="T379" s="13"/>
    </row>
    <row r="380" spans="1:20" x14ac:dyDescent="0.25">
      <c r="A380" s="3">
        <v>45815</v>
      </c>
      <c r="B380" s="7" t="s">
        <v>80</v>
      </c>
      <c r="C380" s="13">
        <v>-305</v>
      </c>
      <c r="D380" s="13">
        <v>-220</v>
      </c>
      <c r="E380" s="13">
        <v>-140</v>
      </c>
      <c r="F380" s="13">
        <v>-25</v>
      </c>
      <c r="G380" s="13">
        <v>-10</v>
      </c>
      <c r="H380" s="13">
        <v>-150</v>
      </c>
      <c r="I380" s="7">
        <v>-70</v>
      </c>
      <c r="J380" s="13">
        <v>-80</v>
      </c>
      <c r="L380" s="13"/>
      <c r="M380" s="13">
        <v>-0.3</v>
      </c>
      <c r="N380" s="13"/>
      <c r="O380" s="13"/>
      <c r="P380" s="13">
        <v>-1</v>
      </c>
      <c r="Q380" s="13"/>
      <c r="R380" s="13"/>
      <c r="S380" s="13"/>
      <c r="T380" s="13">
        <v>20</v>
      </c>
    </row>
    <row r="381" spans="1:20" x14ac:dyDescent="0.25">
      <c r="A381" s="3">
        <v>45815</v>
      </c>
      <c r="B381" s="7" t="s">
        <v>81</v>
      </c>
      <c r="C381" s="7">
        <v>-1200</v>
      </c>
      <c r="D381" s="7">
        <v>-375</v>
      </c>
      <c r="E381" s="7"/>
      <c r="F381" s="7">
        <v>-75</v>
      </c>
      <c r="G381" s="7">
        <v>-270</v>
      </c>
      <c r="H381" s="7">
        <v>-510</v>
      </c>
      <c r="I381" s="7">
        <v>-330</v>
      </c>
      <c r="J381" s="7">
        <v>-240</v>
      </c>
      <c r="K381" s="7">
        <v>-3</v>
      </c>
      <c r="L381" s="7">
        <v>-9</v>
      </c>
      <c r="M381" s="7"/>
      <c r="N381" s="7">
        <v>-1.5</v>
      </c>
      <c r="O381" s="7"/>
      <c r="P381" s="7"/>
      <c r="Q381" s="7"/>
      <c r="R381" s="7"/>
      <c r="S381" s="7">
        <v>60</v>
      </c>
      <c r="T381" s="13"/>
    </row>
    <row r="382" spans="1:20" x14ac:dyDescent="0.25">
      <c r="A382" s="3">
        <v>45815</v>
      </c>
      <c r="B382" s="7" t="s">
        <v>33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>
        <v>-48</v>
      </c>
      <c r="T382" s="7">
        <v>-26</v>
      </c>
    </row>
    <row r="383" spans="1:20" x14ac:dyDescent="0.25">
      <c r="A383" s="3">
        <v>45816</v>
      </c>
      <c r="B383" s="7" t="s">
        <v>81</v>
      </c>
      <c r="C383" s="7">
        <v>-1200</v>
      </c>
      <c r="D383" s="7">
        <v>-375</v>
      </c>
      <c r="E383" s="7"/>
      <c r="F383" s="7">
        <v>-75</v>
      </c>
      <c r="G383" s="7">
        <v>-270</v>
      </c>
      <c r="H383" s="7">
        <v>-510</v>
      </c>
      <c r="I383" s="7">
        <v>-330</v>
      </c>
      <c r="J383" s="7">
        <v>-240</v>
      </c>
      <c r="K383" s="7">
        <v>-3</v>
      </c>
      <c r="L383" s="7">
        <v>-9</v>
      </c>
      <c r="M383" s="7"/>
      <c r="N383" s="7">
        <v>-1.5</v>
      </c>
      <c r="O383" s="7"/>
      <c r="P383" s="7"/>
      <c r="Q383" s="7"/>
      <c r="R383" s="7"/>
      <c r="S383" s="7">
        <v>60</v>
      </c>
      <c r="T383" s="13"/>
    </row>
    <row r="384" spans="1:20" x14ac:dyDescent="0.25">
      <c r="A384" s="3">
        <v>45816</v>
      </c>
      <c r="B384" s="7" t="s">
        <v>87</v>
      </c>
      <c r="C384" s="13">
        <v>-610</v>
      </c>
      <c r="D384" s="13">
        <v>-440</v>
      </c>
      <c r="E384" s="13">
        <v>-280</v>
      </c>
      <c r="F384" s="13">
        <v>-50</v>
      </c>
      <c r="G384" s="13">
        <v>-20</v>
      </c>
      <c r="H384" s="13">
        <v>-300</v>
      </c>
      <c r="I384" s="7">
        <v>-140</v>
      </c>
      <c r="J384" s="13">
        <v>-160</v>
      </c>
      <c r="L384" s="13"/>
      <c r="M384" s="13">
        <v>-0.6</v>
      </c>
      <c r="N384" s="13"/>
      <c r="O384" s="13"/>
      <c r="P384" s="13">
        <v>-2</v>
      </c>
      <c r="Q384" s="13"/>
      <c r="R384" s="13"/>
      <c r="S384" s="13"/>
      <c r="T384" s="13">
        <v>40</v>
      </c>
    </row>
    <row r="385" spans="1:20" x14ac:dyDescent="0.25">
      <c r="A385" s="3">
        <v>45816</v>
      </c>
      <c r="B385" s="7" t="s">
        <v>68</v>
      </c>
      <c r="C385" s="7">
        <v>-800</v>
      </c>
      <c r="D385" s="7">
        <v>-250</v>
      </c>
      <c r="E385" s="7">
        <v>-100</v>
      </c>
      <c r="F385" s="7">
        <v>-50</v>
      </c>
      <c r="G385" s="7">
        <v>-200</v>
      </c>
      <c r="H385" s="7">
        <v>-310</v>
      </c>
      <c r="I385" s="7">
        <v>-130</v>
      </c>
      <c r="J385" s="7">
        <v>-160</v>
      </c>
      <c r="K385" s="7">
        <v>-2</v>
      </c>
      <c r="L385" s="7">
        <v>-6</v>
      </c>
      <c r="M385" s="7"/>
      <c r="N385" s="7">
        <v>-1</v>
      </c>
      <c r="O385" s="7"/>
      <c r="P385" s="7"/>
      <c r="Q385" s="7"/>
      <c r="R385" s="7"/>
      <c r="S385" s="7"/>
      <c r="T385" s="13"/>
    </row>
    <row r="386" spans="1:20" x14ac:dyDescent="0.25">
      <c r="A386" s="3">
        <v>45816</v>
      </c>
      <c r="B386" s="7" t="s">
        <v>33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>
        <v>-48</v>
      </c>
      <c r="T386" s="7">
        <v>-26</v>
      </c>
    </row>
    <row r="387" spans="1:20" x14ac:dyDescent="0.25">
      <c r="A387" s="3">
        <v>45817</v>
      </c>
      <c r="B387" s="7" t="s">
        <v>68</v>
      </c>
      <c r="C387" s="7">
        <v>-800</v>
      </c>
      <c r="D387" s="7">
        <v>-250</v>
      </c>
      <c r="E387" s="7">
        <v>-100</v>
      </c>
      <c r="F387" s="7">
        <v>-50</v>
      </c>
      <c r="G387" s="7">
        <v>-200</v>
      </c>
      <c r="H387" s="7">
        <v>-310</v>
      </c>
      <c r="I387" s="7">
        <v>-130</v>
      </c>
      <c r="J387" s="7">
        <v>-160</v>
      </c>
      <c r="K387" s="7">
        <v>-2</v>
      </c>
      <c r="L387" s="7">
        <v>-6</v>
      </c>
      <c r="M387" s="7"/>
      <c r="N387" s="7">
        <v>-1</v>
      </c>
      <c r="O387" s="7"/>
      <c r="P387" s="7"/>
      <c r="Q387" s="7"/>
      <c r="R387" s="7"/>
      <c r="S387" s="7"/>
      <c r="T387" s="13"/>
    </row>
    <row r="388" spans="1:20" x14ac:dyDescent="0.25">
      <c r="A388" s="3">
        <v>45817</v>
      </c>
      <c r="B388" s="7" t="s">
        <v>33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>
        <v>-48</v>
      </c>
      <c r="T388" s="7">
        <v>-26</v>
      </c>
    </row>
    <row r="389" spans="1:20" x14ac:dyDescent="0.25">
      <c r="A389" s="3">
        <v>45817</v>
      </c>
      <c r="B389" s="7" t="s">
        <v>80</v>
      </c>
      <c r="C389" s="13">
        <v>-305</v>
      </c>
      <c r="D389" s="13">
        <v>-220</v>
      </c>
      <c r="E389" s="13">
        <v>-140</v>
      </c>
      <c r="F389" s="13">
        <v>-25</v>
      </c>
      <c r="G389" s="13">
        <v>-10</v>
      </c>
      <c r="H389" s="13">
        <v>-150</v>
      </c>
      <c r="I389" s="7">
        <v>-70</v>
      </c>
      <c r="J389" s="13">
        <v>-80</v>
      </c>
      <c r="L389" s="13"/>
      <c r="M389" s="13">
        <v>-0.3</v>
      </c>
      <c r="N389" s="13"/>
      <c r="O389" s="13"/>
      <c r="P389" s="13">
        <v>-1</v>
      </c>
      <c r="Q389" s="13"/>
      <c r="R389" s="13"/>
      <c r="S389" s="13"/>
      <c r="T389" s="13">
        <v>20</v>
      </c>
    </row>
    <row r="390" spans="1:20" x14ac:dyDescent="0.25">
      <c r="A390" s="3">
        <v>45818</v>
      </c>
      <c r="B390" s="7" t="s">
        <v>33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>
        <v>-48</v>
      </c>
      <c r="T390" s="7">
        <v>-26</v>
      </c>
    </row>
    <row r="391" spans="1:20" x14ac:dyDescent="0.25">
      <c r="A391" s="3">
        <v>45818</v>
      </c>
      <c r="B391" s="7" t="s">
        <v>80</v>
      </c>
      <c r="C391" s="13">
        <v>-305</v>
      </c>
      <c r="D391" s="13">
        <v>-220</v>
      </c>
      <c r="E391" s="13">
        <v>-140</v>
      </c>
      <c r="F391" s="13">
        <v>-25</v>
      </c>
      <c r="G391" s="13">
        <v>-10</v>
      </c>
      <c r="H391" s="13">
        <v>-150</v>
      </c>
      <c r="I391" s="7">
        <v>-70</v>
      </c>
      <c r="J391" s="13">
        <v>-80</v>
      </c>
      <c r="L391" s="13"/>
      <c r="M391" s="13">
        <v>-0.3</v>
      </c>
      <c r="N391" s="13"/>
      <c r="O391" s="13"/>
      <c r="P391" s="13">
        <v>-1</v>
      </c>
      <c r="Q391" s="13"/>
      <c r="R391" s="13"/>
      <c r="S391" s="13"/>
      <c r="T391" s="13">
        <v>20</v>
      </c>
    </row>
    <row r="392" spans="1:20" x14ac:dyDescent="0.25">
      <c r="A392" s="3">
        <v>45818</v>
      </c>
      <c r="B392" s="7" t="s">
        <v>2</v>
      </c>
      <c r="C392" s="7">
        <v>-1600</v>
      </c>
      <c r="D392" s="7">
        <v>-500</v>
      </c>
      <c r="E392" s="7"/>
      <c r="F392" s="7">
        <v>-100</v>
      </c>
      <c r="G392" s="7">
        <v>-360</v>
      </c>
      <c r="H392" s="7">
        <v>-680</v>
      </c>
      <c r="I392" s="7">
        <v>-440</v>
      </c>
      <c r="J392" s="7">
        <v>-320</v>
      </c>
      <c r="K392" s="7">
        <v>-4</v>
      </c>
      <c r="L392" s="7">
        <v>-12</v>
      </c>
      <c r="M392" s="7"/>
      <c r="N392" s="7">
        <v>-2</v>
      </c>
      <c r="O392" s="7"/>
      <c r="P392" s="7"/>
      <c r="Q392" s="7"/>
      <c r="R392" s="7"/>
      <c r="S392" s="7">
        <v>80</v>
      </c>
      <c r="T392" s="7"/>
    </row>
    <row r="393" spans="1:20" x14ac:dyDescent="0.25">
      <c r="A393" s="3">
        <v>45818</v>
      </c>
      <c r="B393" s="7" t="s">
        <v>93</v>
      </c>
      <c r="C393" s="7"/>
      <c r="D393" s="7"/>
      <c r="E393" s="7"/>
      <c r="F393" s="7"/>
      <c r="G393" s="7"/>
      <c r="H393" s="7"/>
      <c r="I393" s="7">
        <v>6500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x14ac:dyDescent="0.25">
      <c r="A394" s="3">
        <v>45818</v>
      </c>
      <c r="B394" s="7" t="s">
        <v>83</v>
      </c>
      <c r="C394" s="7"/>
      <c r="D394" s="7"/>
      <c r="E394" s="7">
        <v>2520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x14ac:dyDescent="0.25">
      <c r="A395" s="3">
        <v>45819</v>
      </c>
      <c r="B395" s="7" t="s">
        <v>33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>
        <v>-48</v>
      </c>
      <c r="T395" s="7">
        <v>-26</v>
      </c>
    </row>
    <row r="396" spans="1:20" x14ac:dyDescent="0.25">
      <c r="A396" s="3">
        <v>45819</v>
      </c>
      <c r="B396" s="7" t="s">
        <v>81</v>
      </c>
      <c r="C396" s="7">
        <v>-1200</v>
      </c>
      <c r="D396" s="7">
        <v>-375</v>
      </c>
      <c r="E396" s="7"/>
      <c r="F396" s="7">
        <v>-75</v>
      </c>
      <c r="G396" s="7">
        <v>-270</v>
      </c>
      <c r="H396" s="7">
        <v>-510</v>
      </c>
      <c r="I396" s="7">
        <v>-330</v>
      </c>
      <c r="J396" s="7">
        <v>-240</v>
      </c>
      <c r="K396" s="7">
        <v>-3</v>
      </c>
      <c r="L396" s="7">
        <v>-9</v>
      </c>
      <c r="M396" s="7"/>
      <c r="N396" s="7">
        <v>-1.5</v>
      </c>
      <c r="O396" s="7"/>
      <c r="P396" s="7"/>
      <c r="Q396" s="7"/>
      <c r="R396" s="7"/>
      <c r="S396" s="7">
        <v>60</v>
      </c>
      <c r="T396" s="13"/>
    </row>
    <row r="397" spans="1:20" x14ac:dyDescent="0.25">
      <c r="A397" s="3">
        <v>45819</v>
      </c>
      <c r="B397" s="7" t="s">
        <v>71</v>
      </c>
      <c r="C397" s="7">
        <v>-400</v>
      </c>
      <c r="D397" s="7">
        <v>-125</v>
      </c>
      <c r="E397" s="7">
        <v>-150</v>
      </c>
      <c r="F397" s="7">
        <v>-25</v>
      </c>
      <c r="G397" s="7">
        <v>-100</v>
      </c>
      <c r="H397" s="7">
        <v>-155</v>
      </c>
      <c r="I397" s="7">
        <v>-65</v>
      </c>
      <c r="J397" s="7">
        <v>-80</v>
      </c>
      <c r="K397" s="7">
        <v>-1</v>
      </c>
      <c r="L397" s="7">
        <v>-3</v>
      </c>
      <c r="M397" s="7"/>
      <c r="N397" s="7">
        <v>-0.5</v>
      </c>
      <c r="O397" s="7"/>
      <c r="P397" s="7"/>
      <c r="Q397" s="7"/>
      <c r="R397" s="7"/>
      <c r="S397" s="7"/>
      <c r="T397" s="7"/>
    </row>
    <row r="398" spans="1:20" x14ac:dyDescent="0.25">
      <c r="A398" s="3">
        <v>45820</v>
      </c>
      <c r="B398" s="7" t="s">
        <v>31</v>
      </c>
      <c r="C398" s="7">
        <v>-400</v>
      </c>
      <c r="D398" s="7">
        <v>-125</v>
      </c>
      <c r="E398" s="7"/>
      <c r="F398" s="7">
        <v>-25</v>
      </c>
      <c r="G398" s="7">
        <v>-90</v>
      </c>
      <c r="H398" s="7">
        <v>-170</v>
      </c>
      <c r="I398" s="7">
        <v>-110</v>
      </c>
      <c r="J398" s="7">
        <v>-80</v>
      </c>
      <c r="K398" s="7">
        <v>-1</v>
      </c>
      <c r="L398" s="7">
        <v>-3</v>
      </c>
      <c r="M398" s="7"/>
      <c r="N398" s="7">
        <v>-0.5</v>
      </c>
      <c r="O398" s="7"/>
      <c r="P398" s="7"/>
      <c r="S398" s="4">
        <v>20</v>
      </c>
      <c r="T398" s="13"/>
    </row>
    <row r="399" spans="1:20" x14ac:dyDescent="0.25">
      <c r="A399" s="3">
        <v>45820</v>
      </c>
      <c r="B399" s="7" t="s">
        <v>85</v>
      </c>
      <c r="C399" s="13">
        <v>-915</v>
      </c>
      <c r="D399" s="13">
        <v>-660</v>
      </c>
      <c r="E399" s="13">
        <v>-420</v>
      </c>
      <c r="F399" s="13">
        <v>-75</v>
      </c>
      <c r="G399" s="13">
        <v>-30</v>
      </c>
      <c r="H399" s="13">
        <v>-450</v>
      </c>
      <c r="I399" s="7">
        <v>-210</v>
      </c>
      <c r="J399" s="13">
        <v>-240</v>
      </c>
      <c r="K399" s="13"/>
      <c r="L399" s="13"/>
      <c r="M399" s="13">
        <v>-0.9</v>
      </c>
      <c r="N399" s="13"/>
      <c r="O399" s="13"/>
      <c r="P399" s="13">
        <v>-3</v>
      </c>
      <c r="Q399" s="13"/>
      <c r="R399" s="13"/>
      <c r="S399" s="13"/>
      <c r="T399" s="13">
        <v>60</v>
      </c>
    </row>
    <row r="400" spans="1:20" x14ac:dyDescent="0.25">
      <c r="A400" s="3">
        <v>45820</v>
      </c>
      <c r="B400" s="7" t="s">
        <v>68</v>
      </c>
      <c r="C400" s="7">
        <v>-800</v>
      </c>
      <c r="D400" s="7">
        <v>-250</v>
      </c>
      <c r="E400" s="7">
        <v>-100</v>
      </c>
      <c r="F400" s="7">
        <v>-50</v>
      </c>
      <c r="G400" s="7">
        <v>-200</v>
      </c>
      <c r="H400" s="7">
        <v>-310</v>
      </c>
      <c r="I400" s="7">
        <v>-130</v>
      </c>
      <c r="J400" s="7">
        <v>-160</v>
      </c>
      <c r="K400" s="7">
        <v>-2</v>
      </c>
      <c r="L400" s="7">
        <v>-6</v>
      </c>
      <c r="M400" s="7"/>
      <c r="N400" s="7">
        <v>-1</v>
      </c>
      <c r="O400" s="7"/>
      <c r="P400" s="7"/>
      <c r="Q400" s="7"/>
      <c r="R400" s="7"/>
      <c r="S400" s="7"/>
      <c r="T400" s="13"/>
    </row>
    <row r="401" spans="1:20" x14ac:dyDescent="0.25">
      <c r="A401" s="3">
        <v>45820</v>
      </c>
      <c r="B401" s="7" t="s">
        <v>33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>
        <v>-32</v>
      </c>
      <c r="T401" s="7">
        <v>-26</v>
      </c>
    </row>
    <row r="402" spans="1:20" s="33" customFormat="1" x14ac:dyDescent="0.25">
      <c r="A402" s="31">
        <v>45820</v>
      </c>
      <c r="B402" s="32" t="s">
        <v>95</v>
      </c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>
        <v>-77</v>
      </c>
      <c r="T402" s="32"/>
    </row>
    <row r="403" spans="1:20" x14ac:dyDescent="0.25">
      <c r="A403" s="3">
        <v>45821</v>
      </c>
      <c r="B403" s="7" t="s">
        <v>2</v>
      </c>
      <c r="C403" s="7">
        <v>-1600</v>
      </c>
      <c r="D403" s="7">
        <v>-500</v>
      </c>
      <c r="E403" s="7"/>
      <c r="F403" s="7">
        <v>-100</v>
      </c>
      <c r="G403" s="7">
        <v>-360</v>
      </c>
      <c r="H403" s="7">
        <v>-680</v>
      </c>
      <c r="I403" s="7">
        <v>-440</v>
      </c>
      <c r="J403" s="7">
        <v>-320</v>
      </c>
      <c r="K403" s="7">
        <v>-4</v>
      </c>
      <c r="L403" s="7">
        <v>-12</v>
      </c>
      <c r="M403" s="7"/>
      <c r="N403" s="7">
        <v>-2</v>
      </c>
      <c r="O403" s="7"/>
      <c r="P403" s="7"/>
      <c r="Q403" s="7"/>
      <c r="R403" s="7"/>
      <c r="S403" s="7">
        <v>80</v>
      </c>
      <c r="T403" s="7"/>
    </row>
    <row r="404" spans="1:20" x14ac:dyDescent="0.25">
      <c r="A404" s="3">
        <v>45821</v>
      </c>
      <c r="B404" s="7" t="s">
        <v>68</v>
      </c>
      <c r="C404" s="7">
        <v>-800</v>
      </c>
      <c r="D404" s="7">
        <v>-250</v>
      </c>
      <c r="E404" s="7">
        <v>-100</v>
      </c>
      <c r="F404" s="7">
        <v>-50</v>
      </c>
      <c r="G404" s="7">
        <v>-200</v>
      </c>
      <c r="H404" s="7">
        <v>-310</v>
      </c>
      <c r="I404" s="7">
        <v>-130</v>
      </c>
      <c r="J404" s="7">
        <v>-160</v>
      </c>
      <c r="K404" s="7">
        <v>-2</v>
      </c>
      <c r="L404" s="7">
        <v>-6</v>
      </c>
      <c r="M404" s="7"/>
      <c r="N404" s="7">
        <v>-1</v>
      </c>
      <c r="O404" s="7"/>
      <c r="P404" s="7"/>
      <c r="Q404" s="7"/>
      <c r="R404" s="7"/>
      <c r="S404" s="7"/>
      <c r="T404" s="13"/>
    </row>
    <row r="405" spans="1:20" x14ac:dyDescent="0.25">
      <c r="A405" s="3">
        <v>45821</v>
      </c>
      <c r="B405" s="7" t="s">
        <v>80</v>
      </c>
      <c r="C405" s="13">
        <v>-305</v>
      </c>
      <c r="D405" s="13">
        <v>-220</v>
      </c>
      <c r="E405" s="13">
        <v>-140</v>
      </c>
      <c r="F405" s="13">
        <v>-25</v>
      </c>
      <c r="G405" s="13">
        <v>-10</v>
      </c>
      <c r="H405" s="13">
        <v>-150</v>
      </c>
      <c r="I405" s="7">
        <v>-70</v>
      </c>
      <c r="J405" s="13">
        <v>-80</v>
      </c>
      <c r="L405" s="13"/>
      <c r="M405" s="13">
        <v>-0.3</v>
      </c>
      <c r="N405" s="13"/>
      <c r="O405" s="13"/>
      <c r="P405" s="13">
        <v>-1</v>
      </c>
      <c r="Q405" s="13"/>
      <c r="R405" s="13"/>
      <c r="S405" s="13"/>
      <c r="T405" s="13">
        <v>20</v>
      </c>
    </row>
    <row r="406" spans="1:20" x14ac:dyDescent="0.25">
      <c r="A406" s="3">
        <v>45821</v>
      </c>
      <c r="B406" s="7" t="s">
        <v>33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>
        <v>-48</v>
      </c>
      <c r="T406" s="7">
        <v>-26</v>
      </c>
    </row>
    <row r="407" spans="1:20" x14ac:dyDescent="0.25">
      <c r="A407" s="3">
        <v>45822</v>
      </c>
      <c r="B407" s="7" t="s">
        <v>68</v>
      </c>
      <c r="C407" s="7">
        <v>-800</v>
      </c>
      <c r="D407" s="7">
        <v>-250</v>
      </c>
      <c r="E407" s="7">
        <v>-100</v>
      </c>
      <c r="F407" s="7">
        <v>-50</v>
      </c>
      <c r="G407" s="7">
        <v>-200</v>
      </c>
      <c r="H407" s="7">
        <v>-310</v>
      </c>
      <c r="I407" s="7">
        <v>-130</v>
      </c>
      <c r="J407" s="7">
        <v>-160</v>
      </c>
      <c r="K407" s="7">
        <v>-2</v>
      </c>
      <c r="L407" s="7">
        <v>-6</v>
      </c>
      <c r="M407" s="7"/>
      <c r="N407" s="7">
        <v>-1</v>
      </c>
      <c r="O407" s="7"/>
      <c r="P407" s="7"/>
      <c r="Q407" s="7"/>
      <c r="R407" s="7"/>
      <c r="S407" s="7"/>
      <c r="T407" s="13"/>
    </row>
    <row r="408" spans="1:20" x14ac:dyDescent="0.25">
      <c r="A408" s="3">
        <v>45822</v>
      </c>
      <c r="B408" s="7" t="s">
        <v>59</v>
      </c>
      <c r="C408" s="7">
        <v>-800</v>
      </c>
      <c r="D408" s="7">
        <v>-250</v>
      </c>
      <c r="E408" s="7"/>
      <c r="F408" s="7">
        <v>-50</v>
      </c>
      <c r="G408" s="7">
        <v>-180</v>
      </c>
      <c r="H408" s="7">
        <v>-340</v>
      </c>
      <c r="I408" s="7">
        <v>-220</v>
      </c>
      <c r="J408" s="7">
        <v>-160</v>
      </c>
      <c r="K408" s="7">
        <v>-2</v>
      </c>
      <c r="L408" s="7">
        <v>-6</v>
      </c>
      <c r="M408" s="7"/>
      <c r="N408" s="7">
        <v>-1</v>
      </c>
      <c r="O408" s="7"/>
      <c r="P408" s="7"/>
      <c r="Q408" s="7"/>
      <c r="R408" s="7"/>
      <c r="S408" s="7">
        <v>40</v>
      </c>
      <c r="T408" s="7"/>
    </row>
    <row r="409" spans="1:20" x14ac:dyDescent="0.25">
      <c r="A409" s="3">
        <v>45822</v>
      </c>
      <c r="B409" s="7" t="s">
        <v>80</v>
      </c>
      <c r="C409" s="13">
        <v>-305</v>
      </c>
      <c r="D409" s="13">
        <v>-220</v>
      </c>
      <c r="E409" s="13">
        <v>-140</v>
      </c>
      <c r="F409" s="13">
        <v>-25</v>
      </c>
      <c r="G409" s="13">
        <v>-10</v>
      </c>
      <c r="H409" s="13">
        <v>-150</v>
      </c>
      <c r="I409" s="7">
        <v>-70</v>
      </c>
      <c r="J409" s="13">
        <v>-80</v>
      </c>
      <c r="L409" s="13"/>
      <c r="M409" s="13">
        <v>-0.3</v>
      </c>
      <c r="N409" s="13"/>
      <c r="O409" s="13"/>
      <c r="P409" s="13">
        <v>-1</v>
      </c>
      <c r="Q409" s="13"/>
      <c r="R409" s="13"/>
      <c r="S409" s="13"/>
      <c r="T409" s="13">
        <v>20</v>
      </c>
    </row>
    <row r="410" spans="1:20" x14ac:dyDescent="0.25">
      <c r="A410" s="3">
        <v>45822</v>
      </c>
      <c r="B410" s="7" t="s">
        <v>33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>
        <v>-48</v>
      </c>
      <c r="T410" s="7">
        <v>-26</v>
      </c>
    </row>
    <row r="411" spans="1:20" x14ac:dyDescent="0.25">
      <c r="A411" s="3">
        <v>45823</v>
      </c>
      <c r="B411" s="7" t="s">
        <v>71</v>
      </c>
      <c r="C411" s="7">
        <v>-400</v>
      </c>
      <c r="D411" s="7">
        <v>-125</v>
      </c>
      <c r="E411" s="7">
        <v>-150</v>
      </c>
      <c r="F411" s="7">
        <v>-25</v>
      </c>
      <c r="G411" s="7">
        <v>-100</v>
      </c>
      <c r="H411" s="7">
        <v>-155</v>
      </c>
      <c r="I411" s="7">
        <v>-65</v>
      </c>
      <c r="J411" s="7">
        <v>-80</v>
      </c>
      <c r="K411" s="7">
        <v>-1</v>
      </c>
      <c r="L411" s="7">
        <v>-3</v>
      </c>
      <c r="M411" s="7"/>
      <c r="N411" s="7">
        <v>-0.5</v>
      </c>
      <c r="O411" s="7"/>
      <c r="P411" s="7"/>
      <c r="Q411" s="7"/>
      <c r="R411" s="7"/>
      <c r="S411" s="7"/>
      <c r="T411" s="7"/>
    </row>
    <row r="412" spans="1:20" x14ac:dyDescent="0.25">
      <c r="A412" s="3">
        <v>45823</v>
      </c>
      <c r="B412" s="7" t="s">
        <v>81</v>
      </c>
      <c r="C412" s="7">
        <v>-1200</v>
      </c>
      <c r="D412" s="7">
        <v>-375</v>
      </c>
      <c r="E412" s="7"/>
      <c r="F412" s="7">
        <v>-75</v>
      </c>
      <c r="G412" s="7">
        <v>-270</v>
      </c>
      <c r="H412" s="7">
        <v>-510</v>
      </c>
      <c r="I412" s="7">
        <v>-330</v>
      </c>
      <c r="J412" s="7">
        <v>-240</v>
      </c>
      <c r="K412" s="7">
        <v>-3</v>
      </c>
      <c r="L412" s="7">
        <v>-9</v>
      </c>
      <c r="M412" s="7"/>
      <c r="N412" s="7">
        <v>-1.5</v>
      </c>
      <c r="O412" s="7"/>
      <c r="P412" s="7"/>
      <c r="Q412" s="7"/>
      <c r="R412" s="7"/>
      <c r="S412" s="7">
        <v>60</v>
      </c>
      <c r="T412" s="13"/>
    </row>
    <row r="413" spans="1:20" x14ac:dyDescent="0.25">
      <c r="A413" s="3">
        <v>45823</v>
      </c>
      <c r="B413" s="7" t="s">
        <v>80</v>
      </c>
      <c r="C413" s="13">
        <v>-305</v>
      </c>
      <c r="D413" s="13">
        <v>-220</v>
      </c>
      <c r="E413" s="13">
        <v>-140</v>
      </c>
      <c r="F413" s="13">
        <v>-25</v>
      </c>
      <c r="G413" s="13">
        <v>-10</v>
      </c>
      <c r="H413" s="13">
        <v>-150</v>
      </c>
      <c r="I413" s="7">
        <v>-70</v>
      </c>
      <c r="J413" s="13">
        <v>-80</v>
      </c>
      <c r="L413" s="13"/>
      <c r="M413" s="13">
        <v>-0.3</v>
      </c>
      <c r="N413" s="13"/>
      <c r="O413" s="13"/>
      <c r="P413" s="13">
        <v>-1</v>
      </c>
      <c r="Q413" s="13"/>
      <c r="R413" s="13"/>
      <c r="S413" s="13"/>
      <c r="T413" s="13">
        <v>20</v>
      </c>
    </row>
    <row r="414" spans="1:20" x14ac:dyDescent="0.25">
      <c r="A414" s="3">
        <v>45823</v>
      </c>
      <c r="B414" s="7" t="s">
        <v>33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>
        <v>-48</v>
      </c>
      <c r="T414" s="7">
        <v>-26</v>
      </c>
    </row>
    <row r="415" spans="1:20" x14ac:dyDescent="0.25">
      <c r="A415" s="3">
        <v>45823</v>
      </c>
      <c r="B415" s="7" t="s">
        <v>18</v>
      </c>
      <c r="C415" s="7"/>
      <c r="D415" s="7"/>
      <c r="E415" s="7"/>
      <c r="F415" s="7"/>
      <c r="G415" s="7"/>
      <c r="H415" s="7">
        <v>8000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3"/>
    </row>
    <row r="416" spans="1:20" x14ac:dyDescent="0.25">
      <c r="A416" s="3">
        <v>45823</v>
      </c>
      <c r="B416" s="7" t="s">
        <v>55</v>
      </c>
      <c r="C416" s="7"/>
      <c r="D416" s="7"/>
      <c r="E416" s="7"/>
      <c r="F416" s="7"/>
      <c r="G416" s="7"/>
      <c r="H416" s="7"/>
      <c r="I416" s="7"/>
      <c r="J416" s="7">
        <v>3600</v>
      </c>
      <c r="K416" s="7"/>
      <c r="L416" s="7"/>
      <c r="M416" s="7"/>
      <c r="N416" s="7"/>
      <c r="O416" s="7"/>
      <c r="P416" s="7"/>
      <c r="Q416" s="7"/>
      <c r="R416" s="7"/>
      <c r="S416" s="7"/>
      <c r="T416" s="13"/>
    </row>
    <row r="417" spans="1:20" x14ac:dyDescent="0.25">
      <c r="A417" s="3">
        <v>45823</v>
      </c>
      <c r="B417" s="7" t="s">
        <v>12</v>
      </c>
      <c r="C417" s="7"/>
      <c r="D417" s="7"/>
      <c r="E417" s="7"/>
      <c r="F417" s="7"/>
      <c r="G417" s="7"/>
      <c r="H417" s="7"/>
      <c r="I417" s="7"/>
      <c r="J417" s="7"/>
      <c r="K417" s="7"/>
      <c r="L417" s="7">
        <v>250</v>
      </c>
      <c r="M417" s="7"/>
      <c r="N417" s="7"/>
      <c r="O417" s="7"/>
      <c r="P417" s="7"/>
      <c r="Q417" s="7"/>
      <c r="R417" s="7"/>
      <c r="S417" s="7"/>
      <c r="T417" s="13"/>
    </row>
    <row r="418" spans="1:20" x14ac:dyDescent="0.25">
      <c r="A418" s="3">
        <v>45823</v>
      </c>
      <c r="B418" s="7" t="s">
        <v>7</v>
      </c>
      <c r="C418" s="7"/>
      <c r="D418" s="7"/>
      <c r="E418" s="7"/>
      <c r="F418" s="7"/>
      <c r="G418" s="7"/>
      <c r="H418" s="7"/>
      <c r="I418" s="7"/>
      <c r="J418" s="7"/>
      <c r="K418" s="7">
        <v>100</v>
      </c>
      <c r="L418" s="7"/>
      <c r="M418" s="7"/>
      <c r="N418" s="7"/>
      <c r="O418" s="7"/>
      <c r="P418" s="7"/>
      <c r="Q418" s="7"/>
      <c r="R418" s="7"/>
      <c r="S418" s="7"/>
      <c r="T418" s="13"/>
    </row>
    <row r="419" spans="1:20" x14ac:dyDescent="0.25">
      <c r="A419" s="3">
        <v>45824</v>
      </c>
      <c r="B419" s="7" t="s">
        <v>68</v>
      </c>
      <c r="C419" s="7">
        <v>-800</v>
      </c>
      <c r="D419" s="7">
        <v>-250</v>
      </c>
      <c r="E419" s="7">
        <v>-100</v>
      </c>
      <c r="F419" s="7">
        <v>-50</v>
      </c>
      <c r="G419" s="7">
        <v>-200</v>
      </c>
      <c r="H419" s="7">
        <v>-310</v>
      </c>
      <c r="I419" s="7">
        <v>-130</v>
      </c>
      <c r="J419" s="7">
        <v>-160</v>
      </c>
      <c r="K419" s="7">
        <v>-2</v>
      </c>
      <c r="L419" s="7">
        <v>-6</v>
      </c>
      <c r="M419" s="7"/>
      <c r="N419" s="7">
        <v>-1</v>
      </c>
      <c r="O419" s="7"/>
      <c r="P419" s="7"/>
      <c r="Q419" s="7"/>
      <c r="R419" s="7"/>
      <c r="S419" s="7"/>
      <c r="T419" s="13"/>
    </row>
    <row r="420" spans="1:20" x14ac:dyDescent="0.25">
      <c r="A420" s="3">
        <v>45824</v>
      </c>
      <c r="B420" s="7" t="s">
        <v>2</v>
      </c>
      <c r="C420" s="7">
        <v>-1600</v>
      </c>
      <c r="D420" s="7">
        <v>-500</v>
      </c>
      <c r="E420" s="7"/>
      <c r="F420" s="7">
        <v>-100</v>
      </c>
      <c r="G420" s="7">
        <v>-360</v>
      </c>
      <c r="H420" s="7">
        <v>-680</v>
      </c>
      <c r="I420" s="7">
        <v>-440</v>
      </c>
      <c r="J420" s="7">
        <v>-320</v>
      </c>
      <c r="K420" s="7">
        <v>-4</v>
      </c>
      <c r="L420" s="7">
        <v>-12</v>
      </c>
      <c r="M420" s="7"/>
      <c r="N420" s="7">
        <v>-2</v>
      </c>
      <c r="O420" s="7"/>
      <c r="P420" s="7"/>
      <c r="Q420" s="7"/>
      <c r="R420" s="7"/>
      <c r="S420" s="7">
        <v>80</v>
      </c>
      <c r="T420" s="7"/>
    </row>
    <row r="421" spans="1:20" x14ac:dyDescent="0.25">
      <c r="A421" s="3">
        <v>45824</v>
      </c>
      <c r="B421" s="7" t="s">
        <v>85</v>
      </c>
      <c r="C421" s="13">
        <v>-915</v>
      </c>
      <c r="D421" s="13">
        <v>-660</v>
      </c>
      <c r="E421" s="13">
        <v>-420</v>
      </c>
      <c r="F421" s="13">
        <v>-75</v>
      </c>
      <c r="G421" s="13">
        <v>-30</v>
      </c>
      <c r="H421" s="13">
        <v>-450</v>
      </c>
      <c r="I421" s="7">
        <v>-210</v>
      </c>
      <c r="J421" s="13">
        <v>-240</v>
      </c>
      <c r="K421" s="13"/>
      <c r="L421" s="13"/>
      <c r="M421" s="13">
        <v>-0.9</v>
      </c>
      <c r="N421" s="13"/>
      <c r="O421" s="13"/>
      <c r="P421" s="13">
        <v>-3</v>
      </c>
      <c r="Q421" s="13"/>
      <c r="R421" s="13"/>
      <c r="S421" s="13"/>
      <c r="T421" s="13">
        <v>60</v>
      </c>
    </row>
    <row r="422" spans="1:20" x14ac:dyDescent="0.25">
      <c r="A422" s="3">
        <v>45824</v>
      </c>
      <c r="B422" s="7" t="s">
        <v>33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>
        <v>-48</v>
      </c>
      <c r="T422" s="7">
        <v>-26</v>
      </c>
    </row>
    <row r="423" spans="1:20" x14ac:dyDescent="0.25">
      <c r="A423" s="3">
        <v>45825</v>
      </c>
      <c r="B423" s="7" t="s">
        <v>68</v>
      </c>
      <c r="C423" s="7">
        <v>-800</v>
      </c>
      <c r="D423" s="7">
        <v>-250</v>
      </c>
      <c r="E423" s="7">
        <v>-100</v>
      </c>
      <c r="F423" s="7">
        <v>-50</v>
      </c>
      <c r="G423" s="7">
        <v>-200</v>
      </c>
      <c r="H423" s="7">
        <v>-310</v>
      </c>
      <c r="I423" s="7">
        <v>-130</v>
      </c>
      <c r="J423" s="7">
        <v>-160</v>
      </c>
      <c r="K423" s="7">
        <v>-2</v>
      </c>
      <c r="L423" s="7">
        <v>-6</v>
      </c>
      <c r="M423" s="7"/>
      <c r="N423" s="7">
        <v>-1</v>
      </c>
      <c r="O423" s="7"/>
      <c r="P423" s="7"/>
      <c r="Q423" s="7"/>
      <c r="R423" s="7"/>
      <c r="S423" s="7"/>
      <c r="T423" s="13"/>
    </row>
    <row r="424" spans="1:20" x14ac:dyDescent="0.25">
      <c r="A424" s="3">
        <v>45825</v>
      </c>
      <c r="B424" s="7" t="s">
        <v>59</v>
      </c>
      <c r="C424" s="7">
        <v>-800</v>
      </c>
      <c r="D424" s="7">
        <v>-250</v>
      </c>
      <c r="E424" s="7"/>
      <c r="F424" s="7">
        <v>-50</v>
      </c>
      <c r="G424" s="7">
        <v>-180</v>
      </c>
      <c r="H424" s="7">
        <v>-340</v>
      </c>
      <c r="I424" s="7">
        <v>-220</v>
      </c>
      <c r="J424" s="7">
        <v>-160</v>
      </c>
      <c r="K424" s="7">
        <v>-2</v>
      </c>
      <c r="L424" s="7">
        <v>-6</v>
      </c>
      <c r="M424" s="7"/>
      <c r="N424" s="7">
        <v>-1</v>
      </c>
      <c r="O424" s="7"/>
      <c r="P424" s="7"/>
      <c r="Q424" s="7"/>
      <c r="R424" s="7"/>
      <c r="S424" s="7">
        <v>40</v>
      </c>
      <c r="T424" s="7"/>
    </row>
    <row r="425" spans="1:20" x14ac:dyDescent="0.25">
      <c r="A425" s="3">
        <v>45825</v>
      </c>
      <c r="B425" s="7" t="s">
        <v>80</v>
      </c>
      <c r="C425" s="13">
        <v>-305</v>
      </c>
      <c r="D425" s="13">
        <v>-220</v>
      </c>
      <c r="E425" s="13">
        <v>-140</v>
      </c>
      <c r="F425" s="13">
        <v>-25</v>
      </c>
      <c r="G425" s="13">
        <v>-10</v>
      </c>
      <c r="H425" s="13">
        <v>-150</v>
      </c>
      <c r="I425" s="7">
        <v>-70</v>
      </c>
      <c r="J425" s="13">
        <v>-80</v>
      </c>
      <c r="L425" s="13"/>
      <c r="M425" s="13">
        <v>-0.3</v>
      </c>
      <c r="N425" s="13"/>
      <c r="O425" s="13"/>
      <c r="P425" s="13">
        <v>-1</v>
      </c>
      <c r="Q425" s="13"/>
      <c r="R425" s="13"/>
      <c r="S425" s="13"/>
      <c r="T425" s="13">
        <v>20</v>
      </c>
    </row>
    <row r="426" spans="1:20" x14ac:dyDescent="0.25">
      <c r="A426" s="3">
        <v>45825</v>
      </c>
      <c r="B426" s="7" t="s">
        <v>33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>
        <v>-48</v>
      </c>
      <c r="T426" s="7">
        <v>-26</v>
      </c>
    </row>
    <row r="427" spans="1:20" x14ac:dyDescent="0.25">
      <c r="A427" s="3">
        <v>45826</v>
      </c>
      <c r="B427" s="7" t="s">
        <v>94</v>
      </c>
      <c r="C427" s="7"/>
      <c r="D427" s="7"/>
      <c r="E427" s="7"/>
      <c r="F427" s="7">
        <v>1000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x14ac:dyDescent="0.25">
      <c r="A428" s="3">
        <v>45826</v>
      </c>
      <c r="B428" s="7" t="s">
        <v>68</v>
      </c>
      <c r="C428" s="7">
        <v>-800</v>
      </c>
      <c r="D428" s="7">
        <v>-250</v>
      </c>
      <c r="E428" s="7">
        <v>-100</v>
      </c>
      <c r="F428" s="7">
        <v>-50</v>
      </c>
      <c r="G428" s="7">
        <v>-200</v>
      </c>
      <c r="H428" s="7">
        <v>-310</v>
      </c>
      <c r="I428" s="7">
        <v>-130</v>
      </c>
      <c r="J428" s="7">
        <v>-160</v>
      </c>
      <c r="K428" s="7">
        <v>-2</v>
      </c>
      <c r="L428" s="7">
        <v>-6</v>
      </c>
      <c r="M428" s="7"/>
      <c r="N428" s="7">
        <v>-1</v>
      </c>
      <c r="O428" s="7"/>
      <c r="P428" s="7"/>
      <c r="Q428" s="7"/>
      <c r="R428" s="7"/>
      <c r="S428" s="7"/>
      <c r="T428" s="13"/>
    </row>
    <row r="429" spans="1:20" x14ac:dyDescent="0.25">
      <c r="A429" s="3">
        <v>45826</v>
      </c>
      <c r="B429" s="7" t="s">
        <v>2</v>
      </c>
      <c r="C429" s="7">
        <v>-1600</v>
      </c>
      <c r="D429" s="7">
        <v>-500</v>
      </c>
      <c r="E429" s="7"/>
      <c r="F429" s="7">
        <v>-100</v>
      </c>
      <c r="G429" s="7">
        <v>-360</v>
      </c>
      <c r="H429" s="7">
        <v>-680</v>
      </c>
      <c r="I429" s="7">
        <v>-440</v>
      </c>
      <c r="J429" s="7">
        <v>-320</v>
      </c>
      <c r="K429" s="7">
        <v>-4</v>
      </c>
      <c r="L429" s="7">
        <v>-12</v>
      </c>
      <c r="M429" s="7"/>
      <c r="N429" s="7">
        <v>-2</v>
      </c>
      <c r="O429" s="7"/>
      <c r="P429" s="7"/>
      <c r="Q429" s="7"/>
      <c r="R429" s="7"/>
      <c r="S429" s="7">
        <v>80</v>
      </c>
      <c r="T429" s="7"/>
    </row>
    <row r="430" spans="1:20" x14ac:dyDescent="0.25">
      <c r="A430" s="3">
        <v>45826</v>
      </c>
      <c r="B430" s="7" t="s">
        <v>80</v>
      </c>
      <c r="C430" s="13">
        <v>-305</v>
      </c>
      <c r="D430" s="13">
        <v>-220</v>
      </c>
      <c r="E430" s="13">
        <v>-140</v>
      </c>
      <c r="F430" s="13">
        <v>-25</v>
      </c>
      <c r="G430" s="13">
        <v>-10</v>
      </c>
      <c r="H430" s="13">
        <v>-150</v>
      </c>
      <c r="I430" s="7">
        <v>-70</v>
      </c>
      <c r="J430" s="13">
        <v>-80</v>
      </c>
      <c r="L430" s="13"/>
      <c r="M430" s="13">
        <v>-0.3</v>
      </c>
      <c r="N430" s="13"/>
      <c r="O430" s="13"/>
      <c r="P430" s="13">
        <v>-1</v>
      </c>
      <c r="Q430" s="13"/>
      <c r="R430" s="13"/>
      <c r="S430" s="13"/>
      <c r="T430" s="13">
        <v>20</v>
      </c>
    </row>
    <row r="431" spans="1:20" x14ac:dyDescent="0.25">
      <c r="A431" s="3">
        <v>45826</v>
      </c>
      <c r="B431" s="7" t="s">
        <v>33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>
        <v>-48</v>
      </c>
      <c r="T431" s="7">
        <v>-26</v>
      </c>
    </row>
    <row r="432" spans="1:20" x14ac:dyDescent="0.25">
      <c r="A432" s="3">
        <v>45827</v>
      </c>
      <c r="B432" s="7" t="s">
        <v>33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>
        <v>-48</v>
      </c>
      <c r="T432" s="7">
        <v>-26</v>
      </c>
    </row>
    <row r="433" spans="1:20" x14ac:dyDescent="0.25">
      <c r="A433" s="3">
        <v>45827</v>
      </c>
      <c r="B433" s="7" t="s">
        <v>92</v>
      </c>
      <c r="C433" s="7">
        <v>12700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x14ac:dyDescent="0.25">
      <c r="A434" s="3">
        <v>45828</v>
      </c>
      <c r="B434" s="7" t="s">
        <v>33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>
        <v>-48</v>
      </c>
      <c r="T434" s="7">
        <v>-28</v>
      </c>
    </row>
    <row r="435" spans="1:20" x14ac:dyDescent="0.25">
      <c r="A435" s="3">
        <v>45828</v>
      </c>
      <c r="B435" s="7" t="s">
        <v>68</v>
      </c>
      <c r="C435" s="7">
        <v>-800</v>
      </c>
      <c r="D435" s="7">
        <v>-250</v>
      </c>
      <c r="E435" s="7">
        <v>-100</v>
      </c>
      <c r="F435" s="7">
        <v>-50</v>
      </c>
      <c r="G435" s="7">
        <v>-200</v>
      </c>
      <c r="H435" s="7">
        <v>-310</v>
      </c>
      <c r="I435" s="7">
        <v>-130</v>
      </c>
      <c r="J435" s="7">
        <v>-160</v>
      </c>
      <c r="K435" s="7">
        <v>-2</v>
      </c>
      <c r="L435" s="7">
        <v>-6</v>
      </c>
      <c r="M435" s="7"/>
      <c r="N435" s="7">
        <v>-1</v>
      </c>
      <c r="O435" s="7"/>
      <c r="P435" s="7"/>
      <c r="Q435" s="7"/>
      <c r="R435" s="7"/>
      <c r="S435" s="7"/>
      <c r="T435" s="13"/>
    </row>
    <row r="436" spans="1:20" x14ac:dyDescent="0.25">
      <c r="A436" s="3">
        <v>45828</v>
      </c>
      <c r="B436" s="7" t="s">
        <v>97</v>
      </c>
      <c r="C436" s="7">
        <v>-3600</v>
      </c>
      <c r="D436" s="7">
        <v>-1125</v>
      </c>
      <c r="E436" s="7"/>
      <c r="F436" s="7">
        <v>-225</v>
      </c>
      <c r="G436" s="7">
        <v>-810</v>
      </c>
      <c r="H436" s="7">
        <v>-1530</v>
      </c>
      <c r="I436" s="7">
        <v>-990</v>
      </c>
      <c r="J436" s="7">
        <v>-720</v>
      </c>
      <c r="K436" s="7">
        <v>-9</v>
      </c>
      <c r="L436" s="7">
        <v>-27</v>
      </c>
      <c r="M436" s="7"/>
      <c r="N436" s="7">
        <v>-4.5</v>
      </c>
      <c r="O436" s="7"/>
      <c r="P436" s="7"/>
      <c r="Q436" s="7"/>
      <c r="R436" s="7"/>
      <c r="S436" s="7">
        <v>180</v>
      </c>
      <c r="T436" s="13"/>
    </row>
    <row r="437" spans="1:20" x14ac:dyDescent="0.25">
      <c r="A437" s="3">
        <v>45828</v>
      </c>
      <c r="B437" s="7" t="s">
        <v>85</v>
      </c>
      <c r="C437" s="13">
        <v>-915</v>
      </c>
      <c r="D437" s="13">
        <v>-660</v>
      </c>
      <c r="E437" s="13">
        <v>-420</v>
      </c>
      <c r="F437" s="13">
        <v>-75</v>
      </c>
      <c r="G437" s="13">
        <v>-30</v>
      </c>
      <c r="H437" s="13">
        <v>-450</v>
      </c>
      <c r="I437" s="7">
        <v>-210</v>
      </c>
      <c r="J437" s="13">
        <v>-240</v>
      </c>
      <c r="K437" s="13"/>
      <c r="L437" s="13"/>
      <c r="M437" s="13">
        <v>-0.9</v>
      </c>
      <c r="N437" s="13"/>
      <c r="O437" s="13"/>
      <c r="P437" s="13">
        <v>-3</v>
      </c>
      <c r="Q437" s="13"/>
      <c r="R437" s="13"/>
      <c r="S437" s="13"/>
      <c r="T437" s="13">
        <v>60</v>
      </c>
    </row>
    <row r="438" spans="1:20" x14ac:dyDescent="0.25">
      <c r="A438" s="3">
        <v>45829</v>
      </c>
      <c r="B438" s="7" t="s">
        <v>87</v>
      </c>
      <c r="C438" s="13">
        <v>-610</v>
      </c>
      <c r="D438" s="13">
        <v>-440</v>
      </c>
      <c r="E438" s="13">
        <v>-280</v>
      </c>
      <c r="F438" s="13">
        <v>-50</v>
      </c>
      <c r="G438" s="13">
        <v>-20</v>
      </c>
      <c r="H438" s="13">
        <v>-300</v>
      </c>
      <c r="I438" s="7">
        <v>-140</v>
      </c>
      <c r="J438" s="13">
        <v>-160</v>
      </c>
      <c r="L438" s="13"/>
      <c r="M438" s="13">
        <v>-0.6</v>
      </c>
      <c r="N438" s="13"/>
      <c r="O438" s="13"/>
      <c r="P438" s="13">
        <v>-2</v>
      </c>
      <c r="Q438" s="13"/>
      <c r="R438" s="13"/>
      <c r="S438" s="13"/>
      <c r="T438" s="13">
        <v>40</v>
      </c>
    </row>
    <row r="439" spans="1:20" x14ac:dyDescent="0.25">
      <c r="A439" s="3">
        <v>45829</v>
      </c>
      <c r="B439" s="7" t="s">
        <v>91</v>
      </c>
      <c r="C439" s="7">
        <v>-1200</v>
      </c>
      <c r="D439" s="7">
        <v>-375</v>
      </c>
      <c r="E439" s="7">
        <v>-450</v>
      </c>
      <c r="F439" s="7">
        <v>-75</v>
      </c>
      <c r="G439" s="7">
        <v>-300</v>
      </c>
      <c r="H439" s="7">
        <v>-465</v>
      </c>
      <c r="I439" s="7">
        <v>-195</v>
      </c>
      <c r="J439" s="7">
        <v>-240</v>
      </c>
      <c r="K439" s="7">
        <v>-3</v>
      </c>
      <c r="L439" s="7">
        <v>-9</v>
      </c>
      <c r="M439" s="7"/>
      <c r="N439" s="7">
        <v>-1.5</v>
      </c>
      <c r="O439" s="7"/>
      <c r="P439" s="7"/>
      <c r="Q439" s="7"/>
      <c r="R439" s="7"/>
      <c r="S439" s="7"/>
      <c r="T439" s="7"/>
    </row>
    <row r="440" spans="1:20" x14ac:dyDescent="0.25">
      <c r="A440" s="3">
        <v>45829</v>
      </c>
      <c r="B440" s="7" t="s">
        <v>33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>
        <v>-48</v>
      </c>
      <c r="T440" s="7">
        <v>-28</v>
      </c>
    </row>
    <row r="441" spans="1:20" x14ac:dyDescent="0.25">
      <c r="A441" s="3">
        <v>45830</v>
      </c>
      <c r="B441" s="7" t="s">
        <v>33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>
        <v>-48</v>
      </c>
      <c r="T441" s="7">
        <v>-28</v>
      </c>
    </row>
    <row r="442" spans="1:20" x14ac:dyDescent="0.25">
      <c r="A442" s="3">
        <v>45831</v>
      </c>
      <c r="B442" s="7" t="s">
        <v>33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>
        <v>-48</v>
      </c>
      <c r="T442" s="7">
        <v>-28</v>
      </c>
    </row>
    <row r="443" spans="1:20" x14ac:dyDescent="0.25">
      <c r="A443" s="3">
        <v>45831</v>
      </c>
      <c r="B443" s="7" t="s">
        <v>83</v>
      </c>
      <c r="C443" s="7"/>
      <c r="D443" s="7"/>
      <c r="E443" s="7">
        <v>1305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x14ac:dyDescent="0.25">
      <c r="A444" s="3">
        <v>45831</v>
      </c>
      <c r="B444" s="7" t="s">
        <v>93</v>
      </c>
      <c r="C444" s="7"/>
      <c r="D444" s="7"/>
      <c r="E444" s="7"/>
      <c r="F444" s="7"/>
      <c r="G444" s="7"/>
      <c r="H444" s="7"/>
      <c r="I444" s="7">
        <v>10000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x14ac:dyDescent="0.25">
      <c r="A445" s="3">
        <v>45832</v>
      </c>
      <c r="B445" s="7" t="s">
        <v>55</v>
      </c>
      <c r="C445" s="7"/>
      <c r="D445" s="7"/>
      <c r="E445" s="7"/>
      <c r="F445" s="7"/>
      <c r="G445" s="7"/>
      <c r="H445" s="7"/>
      <c r="I445" s="7"/>
      <c r="J445" s="7">
        <v>10000</v>
      </c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x14ac:dyDescent="0.25">
      <c r="A446" s="3">
        <v>45832</v>
      </c>
      <c r="B446" s="7" t="s">
        <v>18</v>
      </c>
      <c r="C446" s="7"/>
      <c r="D446" s="7"/>
      <c r="E446" s="7"/>
      <c r="F446" s="7"/>
      <c r="G446" s="7"/>
      <c r="H446" s="7">
        <v>2300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x14ac:dyDescent="0.25">
      <c r="A447" s="3">
        <v>45832</v>
      </c>
      <c r="B447" s="7" t="s">
        <v>92</v>
      </c>
      <c r="C447" s="7">
        <v>12600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x14ac:dyDescent="0.25">
      <c r="A448" s="3">
        <v>45832</v>
      </c>
      <c r="B448" s="7" t="s">
        <v>98</v>
      </c>
      <c r="C448" s="13">
        <v>-1220</v>
      </c>
      <c r="D448" s="13">
        <v>-880</v>
      </c>
      <c r="E448" s="13">
        <v>-560</v>
      </c>
      <c r="F448" s="13">
        <v>-100</v>
      </c>
      <c r="G448" s="13">
        <v>-40</v>
      </c>
      <c r="H448" s="13">
        <v>-600</v>
      </c>
      <c r="I448" s="7">
        <v>-280</v>
      </c>
      <c r="J448" s="13">
        <v>-320</v>
      </c>
      <c r="K448" s="13">
        <v>-4</v>
      </c>
      <c r="L448" s="13"/>
      <c r="M448" s="13">
        <v>-1.2</v>
      </c>
      <c r="N448" s="13"/>
      <c r="O448" s="13"/>
      <c r="P448" s="13"/>
      <c r="Q448" s="13"/>
      <c r="R448" s="13"/>
      <c r="S448" s="13"/>
      <c r="T448" s="13">
        <v>80</v>
      </c>
    </row>
    <row r="449" spans="1:20" x14ac:dyDescent="0.25">
      <c r="A449" s="3">
        <v>45832</v>
      </c>
      <c r="B449" s="7" t="s">
        <v>1</v>
      </c>
      <c r="C449" s="7">
        <v>-2000</v>
      </c>
      <c r="D449" s="7">
        <v>-625</v>
      </c>
      <c r="E449" s="7"/>
      <c r="F449" s="7">
        <v>-125</v>
      </c>
      <c r="G449" s="7">
        <v>-450</v>
      </c>
      <c r="H449" s="7">
        <v>-850</v>
      </c>
      <c r="I449" s="7">
        <v>-550</v>
      </c>
      <c r="J449" s="7">
        <v>-400</v>
      </c>
      <c r="K449" s="7">
        <v>-5</v>
      </c>
      <c r="L449" s="7">
        <v>-15</v>
      </c>
      <c r="M449" s="7"/>
      <c r="N449" s="7">
        <v>-2.5</v>
      </c>
      <c r="O449" s="7"/>
      <c r="P449" s="7"/>
      <c r="Q449" s="7"/>
      <c r="R449" s="7"/>
      <c r="S449" s="7">
        <v>100</v>
      </c>
      <c r="T449" s="13"/>
    </row>
    <row r="450" spans="1:20" x14ac:dyDescent="0.25">
      <c r="A450" s="3">
        <v>45832</v>
      </c>
      <c r="B450" s="7" t="s">
        <v>33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>
        <v>-63</v>
      </c>
      <c r="T450" s="7">
        <v>-28</v>
      </c>
    </row>
    <row r="451" spans="1:20" x14ac:dyDescent="0.25">
      <c r="A451" s="3">
        <v>45833</v>
      </c>
      <c r="B451" s="7" t="s">
        <v>1</v>
      </c>
      <c r="C451" s="7">
        <v>-2000</v>
      </c>
      <c r="D451" s="7">
        <v>-625</v>
      </c>
      <c r="E451" s="7"/>
      <c r="F451" s="7">
        <v>-125</v>
      </c>
      <c r="G451" s="7">
        <v>-450</v>
      </c>
      <c r="H451" s="7">
        <v>-850</v>
      </c>
      <c r="I451" s="7">
        <v>-550</v>
      </c>
      <c r="J451" s="7">
        <v>-400</v>
      </c>
      <c r="K451" s="7">
        <v>-5</v>
      </c>
      <c r="L451" s="7">
        <v>-15</v>
      </c>
      <c r="M451" s="7"/>
      <c r="N451" s="7">
        <v>-2.5</v>
      </c>
      <c r="O451" s="7"/>
      <c r="P451" s="7"/>
      <c r="Q451" s="7"/>
      <c r="R451" s="7"/>
      <c r="S451" s="7">
        <v>100</v>
      </c>
      <c r="T451" s="13"/>
    </row>
    <row r="452" spans="1:20" x14ac:dyDescent="0.25">
      <c r="A452" s="3">
        <v>45833</v>
      </c>
      <c r="B452" s="7" t="s">
        <v>33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>
        <v>-51</v>
      </c>
      <c r="T452" s="7">
        <v>-28</v>
      </c>
    </row>
    <row r="453" spans="1:20" x14ac:dyDescent="0.25">
      <c r="A453" s="3">
        <v>45834</v>
      </c>
      <c r="B453" s="7" t="s">
        <v>33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>
        <v>-51</v>
      </c>
      <c r="T453" s="7">
        <v>-28</v>
      </c>
    </row>
    <row r="454" spans="1:20" x14ac:dyDescent="0.25">
      <c r="A454" s="3">
        <v>45834</v>
      </c>
      <c r="B454" s="7" t="s">
        <v>59</v>
      </c>
      <c r="C454" s="7">
        <v>-800</v>
      </c>
      <c r="D454" s="7">
        <v>-250</v>
      </c>
      <c r="E454" s="7"/>
      <c r="F454" s="7">
        <v>-50</v>
      </c>
      <c r="G454" s="7">
        <v>-180</v>
      </c>
      <c r="H454" s="7">
        <v>-340</v>
      </c>
      <c r="I454" s="7">
        <v>-220</v>
      </c>
      <c r="J454" s="7">
        <v>-160</v>
      </c>
      <c r="K454" s="7">
        <v>-2</v>
      </c>
      <c r="L454" s="7">
        <v>-6</v>
      </c>
      <c r="M454" s="7"/>
      <c r="N454" s="7">
        <v>-1</v>
      </c>
      <c r="O454" s="7"/>
      <c r="P454" s="7"/>
      <c r="Q454" s="7"/>
      <c r="R454" s="7"/>
      <c r="S454" s="7">
        <v>40</v>
      </c>
      <c r="T454" s="7"/>
    </row>
    <row r="455" spans="1:20" x14ac:dyDescent="0.25">
      <c r="A455" s="3">
        <v>45834</v>
      </c>
      <c r="B455" s="7" t="s">
        <v>100</v>
      </c>
      <c r="C455" s="7">
        <v>-1155</v>
      </c>
      <c r="D455" s="7">
        <v>-540</v>
      </c>
      <c r="E455" s="7"/>
      <c r="F455" s="7">
        <v>-75</v>
      </c>
      <c r="G455" s="7">
        <v>-120</v>
      </c>
      <c r="H455" s="7">
        <v>-480</v>
      </c>
      <c r="I455" s="7">
        <v>-360</v>
      </c>
      <c r="J455" s="7">
        <v>-270</v>
      </c>
      <c r="K455" s="7">
        <v>-3</v>
      </c>
      <c r="L455" s="7"/>
      <c r="M455" s="7">
        <v>-1.5</v>
      </c>
      <c r="N455" s="7"/>
      <c r="O455" s="7"/>
      <c r="P455" s="7"/>
      <c r="Q455" s="7"/>
      <c r="R455" s="7"/>
      <c r="S455" s="7"/>
      <c r="T455" s="7">
        <v>60</v>
      </c>
    </row>
    <row r="456" spans="1:20" x14ac:dyDescent="0.25">
      <c r="A456" s="3">
        <v>45835</v>
      </c>
      <c r="B456" s="7" t="s">
        <v>92</v>
      </c>
      <c r="C456" s="7">
        <v>12600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x14ac:dyDescent="0.25">
      <c r="A457" s="3">
        <v>45835</v>
      </c>
      <c r="B457" s="7" t="s">
        <v>33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>
        <v>-48</v>
      </c>
      <c r="T457" s="7">
        <v>-28</v>
      </c>
    </row>
    <row r="458" spans="1:20" x14ac:dyDescent="0.25">
      <c r="A458" s="3">
        <v>45836</v>
      </c>
      <c r="B458" s="7" t="s">
        <v>33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>
        <v>-48</v>
      </c>
      <c r="T458" s="7">
        <v>-28</v>
      </c>
    </row>
    <row r="459" spans="1:20" x14ac:dyDescent="0.25">
      <c r="A459" s="3">
        <v>45836</v>
      </c>
      <c r="B459" s="7" t="s">
        <v>31</v>
      </c>
      <c r="C459" s="7">
        <v>-400</v>
      </c>
      <c r="D459" s="7">
        <v>-125</v>
      </c>
      <c r="E459" s="7"/>
      <c r="F459" s="7">
        <v>-25</v>
      </c>
      <c r="G459" s="7">
        <v>-90</v>
      </c>
      <c r="H459" s="7">
        <v>-170</v>
      </c>
      <c r="I459" s="7">
        <v>-110</v>
      </c>
      <c r="J459" s="7">
        <v>-80</v>
      </c>
      <c r="K459" s="7">
        <v>-1</v>
      </c>
      <c r="L459" s="7">
        <v>-3</v>
      </c>
      <c r="M459" s="7"/>
      <c r="N459" s="7">
        <v>-0.5</v>
      </c>
      <c r="O459" s="7"/>
      <c r="P459" s="7"/>
      <c r="S459" s="4">
        <v>20</v>
      </c>
      <c r="T459" s="13"/>
    </row>
    <row r="460" spans="1:20" x14ac:dyDescent="0.25">
      <c r="A460" s="3">
        <v>45836</v>
      </c>
      <c r="B460" s="7" t="s">
        <v>104</v>
      </c>
      <c r="C460" s="7">
        <v>-1540</v>
      </c>
      <c r="D460" s="7">
        <v>-720</v>
      </c>
      <c r="E460" s="7"/>
      <c r="F460" s="7">
        <v>-100</v>
      </c>
      <c r="G460" s="7">
        <v>-160</v>
      </c>
      <c r="H460" s="7">
        <v>-640</v>
      </c>
      <c r="I460" s="7">
        <v>-480</v>
      </c>
      <c r="J460" s="7">
        <v>-360</v>
      </c>
      <c r="K460" s="7">
        <v>-4</v>
      </c>
      <c r="L460" s="7"/>
      <c r="M460" s="7">
        <v>-2</v>
      </c>
      <c r="N460" s="7"/>
      <c r="O460" s="7"/>
      <c r="P460" s="7"/>
      <c r="Q460" s="7"/>
      <c r="R460" s="7"/>
      <c r="S460" s="7"/>
      <c r="T460" s="7">
        <v>80</v>
      </c>
    </row>
    <row r="461" spans="1:20" x14ac:dyDescent="0.25">
      <c r="A461" s="3">
        <v>45836</v>
      </c>
      <c r="B461" s="7" t="s">
        <v>18</v>
      </c>
      <c r="C461" s="7"/>
      <c r="D461" s="7"/>
      <c r="E461" s="7"/>
      <c r="F461" s="7"/>
      <c r="G461" s="7"/>
      <c r="H461" s="7">
        <v>10300</v>
      </c>
      <c r="I461" s="7"/>
      <c r="J461" s="7"/>
      <c r="K461" s="7"/>
      <c r="L461" s="7"/>
      <c r="M461" s="7"/>
      <c r="N461" s="7"/>
      <c r="O461" s="7"/>
      <c r="P461" s="7"/>
      <c r="T461" s="13"/>
    </row>
    <row r="462" spans="1:20" x14ac:dyDescent="0.25">
      <c r="A462" s="3">
        <v>45836</v>
      </c>
      <c r="B462" s="7" t="s">
        <v>35</v>
      </c>
      <c r="C462" s="7"/>
      <c r="D462" s="7"/>
      <c r="E462" s="7"/>
      <c r="F462" s="7">
        <v>2000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T462" s="13"/>
    </row>
    <row r="463" spans="1:20" x14ac:dyDescent="0.25">
      <c r="A463" s="3">
        <v>45836</v>
      </c>
      <c r="B463" s="7" t="s">
        <v>99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>
        <v>50</v>
      </c>
      <c r="O463" s="7"/>
      <c r="P463" s="7"/>
      <c r="T463" s="13"/>
    </row>
    <row r="464" spans="1:20" x14ac:dyDescent="0.25">
      <c r="A464" s="3">
        <v>45836</v>
      </c>
      <c r="B464" s="7" t="s">
        <v>12</v>
      </c>
      <c r="C464" s="7"/>
      <c r="D464" s="7"/>
      <c r="E464" s="7"/>
      <c r="F464" s="7"/>
      <c r="G464" s="7"/>
      <c r="H464" s="7"/>
      <c r="I464" s="7"/>
      <c r="J464" s="7"/>
      <c r="K464" s="7"/>
      <c r="L464" s="7">
        <v>125</v>
      </c>
      <c r="M464" s="7"/>
      <c r="N464" s="7"/>
      <c r="O464" s="7"/>
      <c r="P464" s="7"/>
      <c r="T464" s="13"/>
    </row>
    <row r="465" spans="1:20" x14ac:dyDescent="0.25">
      <c r="A465" s="3">
        <v>45836</v>
      </c>
      <c r="B465" s="7" t="s">
        <v>1</v>
      </c>
      <c r="C465" s="7">
        <v>-2000</v>
      </c>
      <c r="D465" s="7">
        <v>-625</v>
      </c>
      <c r="E465" s="7"/>
      <c r="F465" s="7">
        <v>-125</v>
      </c>
      <c r="G465" s="7">
        <v>-450</v>
      </c>
      <c r="H465" s="7">
        <v>-850</v>
      </c>
      <c r="I465" s="7">
        <v>-550</v>
      </c>
      <c r="J465" s="7">
        <v>-400</v>
      </c>
      <c r="K465" s="7">
        <v>-5</v>
      </c>
      <c r="L465" s="7">
        <v>-15</v>
      </c>
      <c r="M465" s="7"/>
      <c r="N465" s="7">
        <v>-2.5</v>
      </c>
      <c r="O465" s="7"/>
      <c r="P465" s="7"/>
      <c r="Q465" s="7"/>
      <c r="R465" s="7"/>
      <c r="S465" s="7">
        <v>100</v>
      </c>
      <c r="T465" s="13"/>
    </row>
    <row r="466" spans="1:20" x14ac:dyDescent="0.25">
      <c r="A466" s="3">
        <v>45837</v>
      </c>
      <c r="B466" s="7" t="s">
        <v>33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>
        <v>-48</v>
      </c>
      <c r="T466" s="7">
        <v>-28</v>
      </c>
    </row>
    <row r="467" spans="1:20" x14ac:dyDescent="0.25">
      <c r="A467" s="3">
        <v>45838</v>
      </c>
      <c r="B467" s="7" t="s">
        <v>1</v>
      </c>
      <c r="C467" s="7">
        <v>-2000</v>
      </c>
      <c r="D467" s="7">
        <v>-625</v>
      </c>
      <c r="E467" s="7"/>
      <c r="F467" s="7">
        <v>-125</v>
      </c>
      <c r="G467" s="7">
        <v>-450</v>
      </c>
      <c r="H467" s="7">
        <v>-850</v>
      </c>
      <c r="I467" s="7">
        <v>-550</v>
      </c>
      <c r="J467" s="7">
        <v>-400</v>
      </c>
      <c r="K467" s="7">
        <v>-5</v>
      </c>
      <c r="L467" s="7">
        <v>-15</v>
      </c>
      <c r="M467" s="7"/>
      <c r="N467" s="7">
        <v>-2.5</v>
      </c>
      <c r="O467" s="7"/>
      <c r="P467" s="7"/>
      <c r="Q467" s="7"/>
      <c r="R467" s="7"/>
      <c r="S467" s="7">
        <v>100</v>
      </c>
      <c r="T467" s="13"/>
    </row>
    <row r="468" spans="1:20" x14ac:dyDescent="0.25">
      <c r="A468" s="3">
        <v>45838</v>
      </c>
      <c r="B468" s="7" t="s">
        <v>100</v>
      </c>
      <c r="C468" s="7">
        <v>-1155</v>
      </c>
      <c r="D468" s="7">
        <v>-540</v>
      </c>
      <c r="E468" s="7"/>
      <c r="F468" s="7">
        <v>-75</v>
      </c>
      <c r="G468" s="7">
        <v>-120</v>
      </c>
      <c r="H468" s="7">
        <v>-480</v>
      </c>
      <c r="I468" s="7">
        <v>-360</v>
      </c>
      <c r="J468" s="7">
        <v>-270</v>
      </c>
      <c r="K468" s="7">
        <v>-3</v>
      </c>
      <c r="L468" s="7"/>
      <c r="M468" s="7">
        <v>-1.5</v>
      </c>
      <c r="N468" s="7"/>
      <c r="O468" s="7"/>
      <c r="P468" s="7"/>
      <c r="Q468" s="7"/>
      <c r="R468" s="7"/>
      <c r="S468" s="7"/>
      <c r="T468" s="7">
        <v>60</v>
      </c>
    </row>
    <row r="469" spans="1:20" x14ac:dyDescent="0.25">
      <c r="A469" s="3">
        <v>45838</v>
      </c>
      <c r="B469" s="7" t="s">
        <v>33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>
        <v>-48</v>
      </c>
      <c r="T469" s="7">
        <v>-28</v>
      </c>
    </row>
    <row r="470" spans="1:20" x14ac:dyDescent="0.25">
      <c r="A470" s="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x14ac:dyDescent="0.25">
      <c r="A471" s="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x14ac:dyDescent="0.25">
      <c r="A473" s="20"/>
      <c r="B473" s="21" t="s">
        <v>25</v>
      </c>
      <c r="C473" s="22">
        <f t="shared" ref="C473:T473" si="6">SUM(C356:C472)</f>
        <v>18125</v>
      </c>
      <c r="D473" s="22">
        <f t="shared" si="6"/>
        <v>3020</v>
      </c>
      <c r="E473" s="22">
        <f t="shared" si="6"/>
        <v>-96.5</v>
      </c>
      <c r="F473" s="22">
        <f t="shared" si="6"/>
        <v>1950</v>
      </c>
      <c r="G473" s="22">
        <f t="shared" si="6"/>
        <v>3118.7999999999993</v>
      </c>
      <c r="H473" s="22">
        <f t="shared" si="6"/>
        <v>7165</v>
      </c>
      <c r="I473" s="22">
        <f t="shared" si="6"/>
        <v>6085</v>
      </c>
      <c r="J473" s="22">
        <f t="shared" si="6"/>
        <v>7720</v>
      </c>
      <c r="K473" s="22">
        <f t="shared" si="6"/>
        <v>53</v>
      </c>
      <c r="L473" s="22">
        <f t="shared" si="6"/>
        <v>250</v>
      </c>
      <c r="M473" s="22">
        <f t="shared" si="6"/>
        <v>13.499999999999993</v>
      </c>
      <c r="N473" s="22">
        <f t="shared" si="6"/>
        <v>44.4</v>
      </c>
      <c r="O473" s="22">
        <f t="shared" si="6"/>
        <v>100</v>
      </c>
      <c r="P473" s="22">
        <f t="shared" si="6"/>
        <v>1</v>
      </c>
      <c r="Q473" s="22"/>
      <c r="R473" s="22"/>
      <c r="S473" s="22">
        <f t="shared" si="6"/>
        <v>134</v>
      </c>
      <c r="T473" s="22">
        <f t="shared" si="6"/>
        <v>91</v>
      </c>
    </row>
    <row r="474" spans="1:20" x14ac:dyDescent="0.25">
      <c r="A474" s="17"/>
      <c r="B474" s="17" t="s">
        <v>28</v>
      </c>
      <c r="C474" s="17">
        <v>1499</v>
      </c>
      <c r="D474" s="17">
        <v>552</v>
      </c>
      <c r="E474" s="17">
        <v>0</v>
      </c>
      <c r="F474" s="17">
        <v>95</v>
      </c>
      <c r="G474" s="17">
        <v>272</v>
      </c>
      <c r="H474" s="17">
        <v>632</v>
      </c>
      <c r="I474" s="17">
        <v>510</v>
      </c>
      <c r="J474" s="17">
        <v>318</v>
      </c>
      <c r="K474" s="17">
        <v>3.8</v>
      </c>
      <c r="L474" s="17">
        <v>7.2</v>
      </c>
      <c r="M474" s="17">
        <v>0.7</v>
      </c>
      <c r="N474" s="17">
        <v>1.2</v>
      </c>
      <c r="O474" s="17">
        <v>0</v>
      </c>
      <c r="P474" s="17">
        <v>0</v>
      </c>
      <c r="Q474" s="17"/>
      <c r="R474" s="17"/>
      <c r="S474" s="17">
        <v>48</v>
      </c>
      <c r="T474" s="17">
        <v>26</v>
      </c>
    </row>
    <row r="475" spans="1:20" x14ac:dyDescent="0.25">
      <c r="A475" s="17"/>
      <c r="B475" s="17" t="s">
        <v>26</v>
      </c>
      <c r="C475" s="18">
        <f>C473/C474</f>
        <v>12.091394262841895</v>
      </c>
      <c r="D475" s="18">
        <f t="shared" ref="D475:T475" si="7">D473/D474</f>
        <v>5.4710144927536231</v>
      </c>
      <c r="E475" s="18" t="e">
        <f t="shared" si="7"/>
        <v>#DIV/0!</v>
      </c>
      <c r="F475" s="18">
        <f t="shared" si="7"/>
        <v>20.526315789473685</v>
      </c>
      <c r="G475" s="18">
        <f t="shared" si="7"/>
        <v>11.466176470588232</v>
      </c>
      <c r="H475" s="18">
        <f t="shared" si="7"/>
        <v>11.337025316455696</v>
      </c>
      <c r="I475" s="18">
        <f t="shared" si="7"/>
        <v>11.931372549019608</v>
      </c>
      <c r="J475" s="18">
        <f t="shared" si="7"/>
        <v>24.276729559748428</v>
      </c>
      <c r="K475" s="18">
        <f t="shared" si="7"/>
        <v>13.947368421052632</v>
      </c>
      <c r="L475" s="18">
        <f t="shared" si="7"/>
        <v>34.722222222222221</v>
      </c>
      <c r="M475" s="18">
        <f t="shared" si="7"/>
        <v>19.285714285714278</v>
      </c>
      <c r="N475" s="18">
        <f t="shared" si="7"/>
        <v>37</v>
      </c>
      <c r="O475" s="18" t="e">
        <f t="shared" si="7"/>
        <v>#DIV/0!</v>
      </c>
      <c r="P475" s="18" t="e">
        <f t="shared" si="7"/>
        <v>#DIV/0!</v>
      </c>
      <c r="Q475" s="18"/>
      <c r="R475" s="18"/>
      <c r="S475" s="18">
        <f t="shared" si="7"/>
        <v>2.7916666666666665</v>
      </c>
      <c r="T475" s="18">
        <f t="shared" si="7"/>
        <v>3.5</v>
      </c>
    </row>
    <row r="478" spans="1:20" x14ac:dyDescent="0.25">
      <c r="C478" s="10"/>
      <c r="D478" s="9"/>
      <c r="E478" s="7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ht="26" x14ac:dyDescent="0.6">
      <c r="I479" s="34">
        <v>45839</v>
      </c>
    </row>
    <row r="480" spans="1:20" x14ac:dyDescent="0.25">
      <c r="A480" s="28"/>
      <c r="B480" s="28"/>
      <c r="C480" s="28"/>
      <c r="D480" s="28"/>
      <c r="E480" s="28"/>
      <c r="F480" s="7"/>
      <c r="G480" s="7"/>
      <c r="H480" s="7"/>
      <c r="I480" s="7"/>
      <c r="J480" s="7"/>
      <c r="K480" s="7"/>
      <c r="L480" s="7"/>
      <c r="M480" s="7"/>
      <c r="N480" s="7"/>
      <c r="O480" s="28"/>
      <c r="P480" s="28"/>
      <c r="Q480" s="28"/>
      <c r="R480" s="28"/>
      <c r="S480" s="28"/>
      <c r="T480" s="28"/>
    </row>
    <row r="481" spans="1:20" x14ac:dyDescent="0.25">
      <c r="A481" s="28"/>
      <c r="B481" s="28"/>
      <c r="C481" s="28"/>
      <c r="D481" s="28"/>
      <c r="E481" s="28"/>
      <c r="F481" s="7"/>
      <c r="G481" s="7"/>
      <c r="H481" s="7"/>
      <c r="I481" s="7"/>
      <c r="J481" s="7"/>
      <c r="K481" s="7"/>
      <c r="L481" s="7"/>
      <c r="M481" s="7"/>
      <c r="N481" s="7"/>
      <c r="O481" s="28"/>
      <c r="P481" s="28"/>
      <c r="Q481" s="28"/>
      <c r="R481" s="28"/>
      <c r="S481" s="28"/>
      <c r="T481" s="28"/>
    </row>
    <row r="482" spans="1:20" x14ac:dyDescent="0.25">
      <c r="A482" s="3">
        <v>45839</v>
      </c>
      <c r="B482" s="9" t="s">
        <v>0</v>
      </c>
      <c r="C482" s="10">
        <v>15650</v>
      </c>
      <c r="D482" s="9">
        <v>1965</v>
      </c>
      <c r="E482" s="7">
        <v>810</v>
      </c>
      <c r="F482" s="9">
        <v>1950</v>
      </c>
      <c r="G482" s="9">
        <v>2743.6</v>
      </c>
      <c r="H482" s="9">
        <v>7300</v>
      </c>
      <c r="I482" s="9">
        <v>6260</v>
      </c>
      <c r="J482" s="9">
        <v>7470</v>
      </c>
      <c r="K482" s="9">
        <v>55</v>
      </c>
      <c r="L482" s="9">
        <v>251.7</v>
      </c>
      <c r="M482" s="9">
        <v>13</v>
      </c>
      <c r="N482" s="9">
        <v>44.9</v>
      </c>
      <c r="O482" s="9">
        <v>100</v>
      </c>
      <c r="P482" s="9">
        <v>0</v>
      </c>
      <c r="Q482" s="9"/>
      <c r="R482" s="9"/>
      <c r="S482" s="9">
        <v>134</v>
      </c>
      <c r="T482" s="9">
        <v>89</v>
      </c>
    </row>
    <row r="483" spans="1:20" x14ac:dyDescent="0.25">
      <c r="A483" s="3">
        <v>45839</v>
      </c>
      <c r="B483" s="35" t="s">
        <v>101</v>
      </c>
      <c r="C483" s="7"/>
      <c r="D483" s="7">
        <v>7000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x14ac:dyDescent="0.25">
      <c r="A484" s="3">
        <v>45839</v>
      </c>
      <c r="B484" s="7" t="s">
        <v>1</v>
      </c>
      <c r="C484" s="7">
        <v>-2000</v>
      </c>
      <c r="D484" s="7">
        <v>-625</v>
      </c>
      <c r="E484" s="7"/>
      <c r="F484" s="7">
        <v>-125</v>
      </c>
      <c r="G484" s="7">
        <v>-450</v>
      </c>
      <c r="H484" s="7">
        <v>-850</v>
      </c>
      <c r="I484" s="7">
        <v>-550</v>
      </c>
      <c r="J484" s="7">
        <v>-400</v>
      </c>
      <c r="K484" s="7">
        <v>-5</v>
      </c>
      <c r="L484" s="7">
        <v>-15</v>
      </c>
      <c r="M484" s="7"/>
      <c r="N484" s="7">
        <v>-2.5</v>
      </c>
      <c r="O484" s="7"/>
      <c r="P484" s="7"/>
      <c r="Q484" s="7"/>
      <c r="R484" s="7"/>
      <c r="S484" s="7">
        <v>100</v>
      </c>
      <c r="T484" s="13"/>
    </row>
    <row r="485" spans="1:20" x14ac:dyDescent="0.25">
      <c r="A485" s="3">
        <v>45839</v>
      </c>
      <c r="B485" s="7" t="s">
        <v>107</v>
      </c>
      <c r="C485" s="7">
        <v>-770</v>
      </c>
      <c r="D485" s="7">
        <v>-360</v>
      </c>
      <c r="E485" s="7"/>
      <c r="F485" s="7">
        <v>-50</v>
      </c>
      <c r="G485" s="7">
        <v>-80</v>
      </c>
      <c r="H485" s="7">
        <v>-320</v>
      </c>
      <c r="I485" s="7">
        <v>-240</v>
      </c>
      <c r="J485" s="7">
        <v>-180</v>
      </c>
      <c r="K485" s="7">
        <v>-2</v>
      </c>
      <c r="L485" s="7"/>
      <c r="M485" s="7">
        <v>-1</v>
      </c>
      <c r="N485" s="7"/>
      <c r="O485" s="7"/>
      <c r="P485" s="7"/>
      <c r="Q485" s="7"/>
      <c r="R485" s="7"/>
      <c r="S485" s="7"/>
      <c r="T485" s="7">
        <v>40</v>
      </c>
    </row>
    <row r="486" spans="1:20" x14ac:dyDescent="0.25">
      <c r="A486" s="3">
        <v>45839</v>
      </c>
      <c r="B486" s="7" t="s">
        <v>33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>
        <v>-48</v>
      </c>
      <c r="T486" s="7">
        <v>-28</v>
      </c>
    </row>
    <row r="487" spans="1:20" x14ac:dyDescent="0.25">
      <c r="A487" s="3">
        <v>45840</v>
      </c>
      <c r="B487" s="7" t="s">
        <v>33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>
        <v>-48</v>
      </c>
      <c r="T487" s="7">
        <v>-28</v>
      </c>
    </row>
    <row r="488" spans="1:20" x14ac:dyDescent="0.25">
      <c r="A488" s="3">
        <v>45840</v>
      </c>
      <c r="B488" s="7" t="s">
        <v>105</v>
      </c>
      <c r="C488" s="7"/>
      <c r="D488" s="7">
        <v>12300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x14ac:dyDescent="0.25">
      <c r="A489" s="3">
        <v>45840</v>
      </c>
      <c r="B489" s="7" t="s">
        <v>101</v>
      </c>
      <c r="C489" s="7"/>
      <c r="D489" s="7">
        <v>10000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x14ac:dyDescent="0.25">
      <c r="A490" s="3">
        <v>45841</v>
      </c>
      <c r="B490" s="7" t="s">
        <v>89</v>
      </c>
      <c r="C490" s="7">
        <v>12620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x14ac:dyDescent="0.25">
      <c r="A491" s="3">
        <v>45841</v>
      </c>
      <c r="B491" s="7" t="s">
        <v>33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>
        <v>-48</v>
      </c>
      <c r="T491" s="7">
        <v>-28</v>
      </c>
    </row>
    <row r="492" spans="1:20" x14ac:dyDescent="0.25">
      <c r="A492" s="3">
        <v>45842</v>
      </c>
      <c r="B492" s="7" t="s">
        <v>1</v>
      </c>
      <c r="C492" s="7">
        <v>-2000</v>
      </c>
      <c r="D492" s="7">
        <v>-625</v>
      </c>
      <c r="E492" s="7"/>
      <c r="F492" s="7">
        <v>-125</v>
      </c>
      <c r="G492" s="7">
        <v>-450</v>
      </c>
      <c r="H492" s="7">
        <v>-850</v>
      </c>
      <c r="I492" s="7">
        <v>-550</v>
      </c>
      <c r="J492" s="7">
        <v>-400</v>
      </c>
      <c r="K492" s="7">
        <v>-5</v>
      </c>
      <c r="L492" s="7">
        <v>-15</v>
      </c>
      <c r="M492" s="7"/>
      <c r="N492" s="7">
        <v>-2.5</v>
      </c>
      <c r="O492" s="7"/>
      <c r="P492" s="7"/>
      <c r="Q492" s="7"/>
      <c r="R492" s="7"/>
      <c r="S492" s="7">
        <v>100</v>
      </c>
      <c r="T492" s="13"/>
    </row>
    <row r="493" spans="1:20" x14ac:dyDescent="0.25">
      <c r="A493" s="3">
        <v>45842</v>
      </c>
      <c r="B493" s="7" t="s">
        <v>106</v>
      </c>
      <c r="C493" s="7">
        <v>-305</v>
      </c>
      <c r="D493" s="7">
        <v>-180</v>
      </c>
      <c r="E493" s="7"/>
      <c r="F493" s="7">
        <v>-25</v>
      </c>
      <c r="G493" s="7">
        <v>-40</v>
      </c>
      <c r="H493" s="7">
        <v>-160</v>
      </c>
      <c r="I493" s="7">
        <v>-120</v>
      </c>
      <c r="J493" s="7">
        <v>-90</v>
      </c>
      <c r="K493" s="7">
        <v>-1</v>
      </c>
      <c r="L493" s="7"/>
      <c r="M493" s="7">
        <v>-0.5</v>
      </c>
      <c r="N493" s="7"/>
      <c r="O493" s="7"/>
      <c r="P493" s="7"/>
      <c r="Q493" s="7"/>
      <c r="R493" s="7"/>
      <c r="S493" s="7"/>
      <c r="T493" s="7">
        <v>20</v>
      </c>
    </row>
    <row r="494" spans="1:20" x14ac:dyDescent="0.25">
      <c r="A494" s="3">
        <v>45842</v>
      </c>
      <c r="B494" s="7" t="s">
        <v>33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>
        <v>-48</v>
      </c>
      <c r="T494" s="7">
        <v>-26</v>
      </c>
    </row>
    <row r="495" spans="1:20" x14ac:dyDescent="0.25">
      <c r="A495" s="3">
        <v>45843</v>
      </c>
      <c r="B495" s="7" t="s">
        <v>107</v>
      </c>
      <c r="C495" s="7">
        <v>-770</v>
      </c>
      <c r="D495" s="7">
        <v>-360</v>
      </c>
      <c r="E495" s="7"/>
      <c r="F495" s="7">
        <v>-50</v>
      </c>
      <c r="G495" s="7">
        <v>-80</v>
      </c>
      <c r="H495" s="7">
        <v>-320</v>
      </c>
      <c r="I495" s="7">
        <v>-240</v>
      </c>
      <c r="J495" s="7">
        <v>-180</v>
      </c>
      <c r="K495" s="7">
        <v>-2</v>
      </c>
      <c r="L495" s="7"/>
      <c r="M495" s="7">
        <v>-1</v>
      </c>
      <c r="N495" s="7"/>
      <c r="O495" s="7"/>
      <c r="P495" s="7"/>
      <c r="Q495" s="7"/>
      <c r="R495" s="7"/>
      <c r="S495" s="7"/>
      <c r="T495" s="7">
        <v>40</v>
      </c>
    </row>
    <row r="496" spans="1:20" x14ac:dyDescent="0.25">
      <c r="A496" s="3">
        <v>45843</v>
      </c>
      <c r="B496" s="7" t="s">
        <v>59</v>
      </c>
      <c r="C496" s="7">
        <v>-800</v>
      </c>
      <c r="D496" s="7">
        <v>-250</v>
      </c>
      <c r="E496" s="7"/>
      <c r="F496" s="7">
        <v>-50</v>
      </c>
      <c r="G496" s="7">
        <v>-180</v>
      </c>
      <c r="H496" s="7">
        <v>-340</v>
      </c>
      <c r="I496" s="7">
        <v>-220</v>
      </c>
      <c r="J496" s="7">
        <v>-160</v>
      </c>
      <c r="K496" s="7">
        <v>-2</v>
      </c>
      <c r="L496" s="7">
        <v>-6</v>
      </c>
      <c r="M496" s="7"/>
      <c r="N496" s="7">
        <v>-1</v>
      </c>
      <c r="O496" s="7"/>
      <c r="P496" s="7"/>
      <c r="Q496" s="7"/>
      <c r="R496" s="7"/>
      <c r="S496" s="7">
        <v>40</v>
      </c>
      <c r="T496" s="7"/>
    </row>
    <row r="497" spans="1:20" x14ac:dyDescent="0.25">
      <c r="A497" s="3">
        <v>45843</v>
      </c>
      <c r="B497" s="7" t="s">
        <v>33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>
        <v>-48</v>
      </c>
      <c r="T497" s="7">
        <v>-24</v>
      </c>
    </row>
    <row r="498" spans="1:20" x14ac:dyDescent="0.25">
      <c r="A498" s="3">
        <v>45844</v>
      </c>
      <c r="B498" s="7" t="s">
        <v>33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>
        <v>-48</v>
      </c>
      <c r="T498" s="7">
        <v>-25</v>
      </c>
    </row>
    <row r="499" spans="1:20" x14ac:dyDescent="0.25">
      <c r="A499" s="3">
        <v>45845</v>
      </c>
      <c r="B499" s="7" t="s">
        <v>33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>
        <v>-48</v>
      </c>
      <c r="T499" s="7">
        <v>-26</v>
      </c>
    </row>
    <row r="500" spans="1:20" x14ac:dyDescent="0.25">
      <c r="A500" s="3">
        <v>45845</v>
      </c>
      <c r="B500" s="7" t="s">
        <v>107</v>
      </c>
      <c r="C500" s="7">
        <v>-770</v>
      </c>
      <c r="D500" s="7">
        <v>-360</v>
      </c>
      <c r="E500" s="7"/>
      <c r="F500" s="7">
        <v>-50</v>
      </c>
      <c r="G500" s="7">
        <v>-80</v>
      </c>
      <c r="H500" s="7">
        <v>-320</v>
      </c>
      <c r="I500" s="7">
        <v>-240</v>
      </c>
      <c r="J500" s="7">
        <v>-180</v>
      </c>
      <c r="K500" s="7">
        <v>-2</v>
      </c>
      <c r="L500" s="7"/>
      <c r="M500" s="7">
        <v>-1</v>
      </c>
      <c r="N500" s="7"/>
      <c r="O500" s="7"/>
      <c r="P500" s="7"/>
      <c r="Q500" s="7"/>
      <c r="R500" s="7"/>
      <c r="S500" s="7"/>
      <c r="T500" s="7">
        <v>40</v>
      </c>
    </row>
    <row r="501" spans="1:20" x14ac:dyDescent="0.25">
      <c r="A501" s="3">
        <v>45845</v>
      </c>
      <c r="B501" s="7" t="s">
        <v>1</v>
      </c>
      <c r="C501" s="7">
        <v>-2000</v>
      </c>
      <c r="D501" s="7">
        <v>-625</v>
      </c>
      <c r="E501" s="7"/>
      <c r="F501" s="7">
        <v>-125</v>
      </c>
      <c r="G501" s="7">
        <v>-450</v>
      </c>
      <c r="H501" s="7">
        <v>-850</v>
      </c>
      <c r="I501" s="7">
        <v>-550</v>
      </c>
      <c r="J501" s="7">
        <v>-400</v>
      </c>
      <c r="K501" s="7">
        <v>-5</v>
      </c>
      <c r="L501" s="7">
        <v>-15</v>
      </c>
      <c r="M501" s="7"/>
      <c r="N501" s="7">
        <v>-2.5</v>
      </c>
      <c r="O501" s="7"/>
      <c r="P501" s="7"/>
      <c r="Q501" s="7"/>
      <c r="R501" s="7"/>
      <c r="S501" s="7">
        <v>100</v>
      </c>
      <c r="T501" s="7"/>
    </row>
    <row r="502" spans="1:20" x14ac:dyDescent="0.25">
      <c r="A502" s="3">
        <v>45846</v>
      </c>
      <c r="B502" s="7" t="s">
        <v>33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>
        <v>-48</v>
      </c>
      <c r="T502" s="7">
        <v>-23</v>
      </c>
    </row>
    <row r="503" spans="1:20" x14ac:dyDescent="0.25">
      <c r="A503" s="3">
        <v>45847</v>
      </c>
      <c r="B503" s="7" t="s">
        <v>1</v>
      </c>
      <c r="C503" s="7">
        <v>-2000</v>
      </c>
      <c r="D503" s="7">
        <v>-625</v>
      </c>
      <c r="E503" s="7"/>
      <c r="F503" s="7">
        <v>-125</v>
      </c>
      <c r="G503" s="7">
        <v>-450</v>
      </c>
      <c r="H503" s="7">
        <v>-850</v>
      </c>
      <c r="I503" s="7">
        <v>-550</v>
      </c>
      <c r="J503" s="7">
        <v>-400</v>
      </c>
      <c r="K503" s="7">
        <v>-5</v>
      </c>
      <c r="L503" s="7">
        <v>-15</v>
      </c>
      <c r="M503" s="7"/>
      <c r="N503" s="7">
        <v>-2.5</v>
      </c>
      <c r="O503" s="7"/>
      <c r="P503" s="7"/>
      <c r="Q503" s="7"/>
      <c r="R503" s="7"/>
      <c r="S503" s="7">
        <v>100</v>
      </c>
      <c r="T503" s="7"/>
    </row>
    <row r="504" spans="1:20" x14ac:dyDescent="0.25">
      <c r="A504" s="3">
        <v>45847</v>
      </c>
      <c r="B504" s="7" t="s">
        <v>100</v>
      </c>
      <c r="C504" s="7">
        <v>-1155</v>
      </c>
      <c r="D504" s="7">
        <v>-540</v>
      </c>
      <c r="E504" s="7"/>
      <c r="F504" s="7">
        <v>-75</v>
      </c>
      <c r="G504" s="7">
        <v>-120</v>
      </c>
      <c r="H504" s="7">
        <v>-480</v>
      </c>
      <c r="I504" s="7">
        <v>-360</v>
      </c>
      <c r="J504" s="7">
        <v>-270</v>
      </c>
      <c r="K504" s="7">
        <v>-3</v>
      </c>
      <c r="L504" s="7"/>
      <c r="M504" s="7">
        <v>-1.5</v>
      </c>
      <c r="N504" s="7"/>
      <c r="O504" s="7"/>
      <c r="P504" s="7"/>
      <c r="Q504" s="7"/>
      <c r="R504" s="7"/>
      <c r="S504" s="7"/>
      <c r="T504" s="7">
        <v>60</v>
      </c>
    </row>
    <row r="505" spans="1:20" x14ac:dyDescent="0.25">
      <c r="A505" s="3">
        <v>45847</v>
      </c>
      <c r="B505" s="7" t="s">
        <v>33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>
        <v>-48</v>
      </c>
      <c r="T505" s="7">
        <v>-25</v>
      </c>
    </row>
    <row r="506" spans="1:20" x14ac:dyDescent="0.25">
      <c r="A506" s="3">
        <v>45847</v>
      </c>
      <c r="B506" s="7" t="s">
        <v>8</v>
      </c>
      <c r="C506" s="7"/>
      <c r="D506" s="7"/>
      <c r="E506" s="7"/>
      <c r="F506" s="7"/>
      <c r="G506" s="7">
        <v>11000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x14ac:dyDescent="0.25">
      <c r="A507" s="3">
        <v>45848</v>
      </c>
      <c r="B507" s="7" t="s">
        <v>20</v>
      </c>
      <c r="C507" s="7">
        <v>-2800</v>
      </c>
      <c r="D507" s="7">
        <v>-875</v>
      </c>
      <c r="E507" s="7"/>
      <c r="F507" s="7">
        <v>-175</v>
      </c>
      <c r="G507" s="7">
        <v>-630</v>
      </c>
      <c r="H507" s="7">
        <v>-1190</v>
      </c>
      <c r="I507" s="7">
        <v>-770</v>
      </c>
      <c r="J507" s="7">
        <v>-560</v>
      </c>
      <c r="K507" s="7">
        <v>-7</v>
      </c>
      <c r="L507" s="7">
        <v>-21</v>
      </c>
      <c r="M507" s="7"/>
      <c r="N507" s="7">
        <v>-3.5</v>
      </c>
      <c r="O507" s="7"/>
      <c r="P507" s="7"/>
      <c r="Q507" s="7"/>
      <c r="R507" s="7"/>
      <c r="S507" s="7">
        <v>140</v>
      </c>
      <c r="T507" s="7"/>
    </row>
    <row r="508" spans="1:20" x14ac:dyDescent="0.25">
      <c r="A508" s="3">
        <v>45848</v>
      </c>
      <c r="B508" s="7" t="s">
        <v>33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>
        <v>-48</v>
      </c>
      <c r="T508" s="7">
        <v>-25</v>
      </c>
    </row>
    <row r="509" spans="1:20" x14ac:dyDescent="0.25">
      <c r="A509" s="3">
        <v>45849</v>
      </c>
      <c r="B509" s="7" t="s">
        <v>33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>
        <v>-48</v>
      </c>
      <c r="T509" s="7">
        <v>-25</v>
      </c>
    </row>
    <row r="510" spans="1:20" x14ac:dyDescent="0.25">
      <c r="A510" s="3">
        <v>45849</v>
      </c>
      <c r="B510" s="7" t="s">
        <v>104</v>
      </c>
      <c r="C510" s="7">
        <v>-1540</v>
      </c>
      <c r="D510" s="7">
        <v>-720</v>
      </c>
      <c r="E510" s="7"/>
      <c r="F510" s="7">
        <v>-100</v>
      </c>
      <c r="G510" s="7">
        <v>-160</v>
      </c>
      <c r="H510" s="7">
        <v>-640</v>
      </c>
      <c r="I510" s="7">
        <v>-480</v>
      </c>
      <c r="J510" s="7">
        <v>-360</v>
      </c>
      <c r="K510" s="7">
        <v>-4</v>
      </c>
      <c r="L510" s="7"/>
      <c r="M510" s="7">
        <v>-2</v>
      </c>
      <c r="N510" s="7"/>
      <c r="O510" s="7"/>
      <c r="P510" s="7"/>
      <c r="Q510" s="7"/>
      <c r="R510" s="7"/>
      <c r="S510" s="7"/>
      <c r="T510" s="7">
        <v>80</v>
      </c>
    </row>
    <row r="511" spans="1:20" x14ac:dyDescent="0.25">
      <c r="A511" s="3">
        <v>45849</v>
      </c>
      <c r="B511" s="7" t="s">
        <v>17</v>
      </c>
      <c r="C511" s="7"/>
      <c r="D511" s="7">
        <v>10000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x14ac:dyDescent="0.25">
      <c r="A512" s="3">
        <v>45850</v>
      </c>
      <c r="B512" s="7" t="s">
        <v>33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>
        <v>-48</v>
      </c>
      <c r="T512" s="7">
        <v>-25</v>
      </c>
    </row>
    <row r="513" spans="1:20" x14ac:dyDescent="0.25">
      <c r="A513" s="3">
        <v>45851</v>
      </c>
      <c r="B513" s="7" t="s">
        <v>33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>
        <v>-48</v>
      </c>
      <c r="T513" s="7">
        <v>-24</v>
      </c>
    </row>
    <row r="514" spans="1:20" x14ac:dyDescent="0.25">
      <c r="A514" s="3">
        <v>45851</v>
      </c>
      <c r="B514" s="7" t="s">
        <v>108</v>
      </c>
      <c r="C514" s="7"/>
      <c r="D514" s="7"/>
      <c r="E514" s="7"/>
      <c r="F514" s="7"/>
      <c r="G514" s="7"/>
      <c r="H514" s="7">
        <v>10150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x14ac:dyDescent="0.25">
      <c r="A515" s="3">
        <v>45851</v>
      </c>
      <c r="B515" s="7" t="s">
        <v>55</v>
      </c>
      <c r="C515" s="7"/>
      <c r="D515" s="7"/>
      <c r="E515" s="7"/>
      <c r="F515" s="7"/>
      <c r="G515" s="7"/>
      <c r="H515" s="7"/>
      <c r="I515" s="7"/>
      <c r="J515" s="7">
        <v>1840</v>
      </c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x14ac:dyDescent="0.25">
      <c r="A516" s="3">
        <v>45851</v>
      </c>
      <c r="B516" s="7" t="s">
        <v>109</v>
      </c>
      <c r="C516" s="7"/>
      <c r="D516" s="7"/>
      <c r="E516" s="7"/>
      <c r="F516" s="7"/>
      <c r="G516" s="7"/>
      <c r="H516" s="7"/>
      <c r="I516" s="7"/>
      <c r="J516" s="7"/>
      <c r="K516" s="7">
        <v>200</v>
      </c>
      <c r="L516" s="7"/>
      <c r="M516" s="7"/>
      <c r="N516" s="7"/>
      <c r="O516" s="7"/>
      <c r="P516" s="7"/>
      <c r="Q516" s="7"/>
      <c r="R516" s="7"/>
      <c r="S516" s="7"/>
      <c r="T516" s="7"/>
    </row>
    <row r="517" spans="1:20" x14ac:dyDescent="0.25">
      <c r="A517" s="3">
        <v>45852</v>
      </c>
      <c r="B517" s="7" t="s">
        <v>33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>
        <v>-48</v>
      </c>
      <c r="T517" s="7">
        <v>-24</v>
      </c>
    </row>
    <row r="518" spans="1:20" x14ac:dyDescent="0.25">
      <c r="A518" s="3">
        <v>45852</v>
      </c>
      <c r="B518" s="7" t="s">
        <v>1</v>
      </c>
      <c r="C518" s="7">
        <v>-2000</v>
      </c>
      <c r="D518" s="7">
        <v>-625</v>
      </c>
      <c r="E518" s="7"/>
      <c r="F518" s="7">
        <v>-125</v>
      </c>
      <c r="G518" s="7">
        <v>-450</v>
      </c>
      <c r="H518" s="7">
        <v>-850</v>
      </c>
      <c r="I518" s="7">
        <v>-550</v>
      </c>
      <c r="J518" s="7">
        <v>-400</v>
      </c>
      <c r="K518" s="7">
        <v>-5</v>
      </c>
      <c r="L518" s="7">
        <v>-15</v>
      </c>
      <c r="M518" s="7"/>
      <c r="N518" s="7">
        <v>-2.5</v>
      </c>
      <c r="O518" s="7"/>
      <c r="P518" s="7"/>
      <c r="Q518" s="7"/>
      <c r="R518" s="7"/>
      <c r="S518" s="7">
        <v>100</v>
      </c>
      <c r="T518" s="7"/>
    </row>
    <row r="519" spans="1:20" x14ac:dyDescent="0.25">
      <c r="A519" s="3">
        <v>45853</v>
      </c>
      <c r="B519" s="7" t="s">
        <v>89</v>
      </c>
      <c r="C519" s="7">
        <v>12600</v>
      </c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x14ac:dyDescent="0.25">
      <c r="A520" s="3">
        <v>45853</v>
      </c>
      <c r="B520" s="7" t="s">
        <v>33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>
        <v>-48</v>
      </c>
      <c r="T520" s="7">
        <v>-24</v>
      </c>
    </row>
    <row r="521" spans="1:20" x14ac:dyDescent="0.25">
      <c r="A521" s="3">
        <v>45853</v>
      </c>
      <c r="B521" s="7" t="s">
        <v>81</v>
      </c>
      <c r="C521" s="7">
        <v>-1200</v>
      </c>
      <c r="D521" s="7">
        <v>-375</v>
      </c>
      <c r="E521" s="7"/>
      <c r="F521" s="7">
        <v>-75</v>
      </c>
      <c r="G521" s="7">
        <v>-270</v>
      </c>
      <c r="H521" s="7">
        <v>-510</v>
      </c>
      <c r="I521" s="7">
        <v>-330</v>
      </c>
      <c r="J521" s="7">
        <v>-240</v>
      </c>
      <c r="K521" s="7">
        <v>-3</v>
      </c>
      <c r="L521" s="7">
        <v>-9</v>
      </c>
      <c r="M521" s="7"/>
      <c r="N521" s="7">
        <v>-1.5</v>
      </c>
      <c r="O521" s="7"/>
      <c r="P521" s="7"/>
      <c r="Q521" s="7"/>
      <c r="R521" s="7"/>
      <c r="S521" s="7">
        <v>60</v>
      </c>
      <c r="T521" s="13"/>
    </row>
    <row r="522" spans="1:20" x14ac:dyDescent="0.25">
      <c r="A522" s="3">
        <v>45854</v>
      </c>
      <c r="B522" s="7" t="s">
        <v>33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>
        <v>-48</v>
      </c>
      <c r="T522" s="7">
        <v>-24</v>
      </c>
    </row>
    <row r="523" spans="1:20" x14ac:dyDescent="0.25">
      <c r="A523" s="3">
        <v>45854</v>
      </c>
      <c r="B523" s="7" t="s">
        <v>106</v>
      </c>
      <c r="C523" s="7">
        <v>-305</v>
      </c>
      <c r="D523" s="7">
        <v>-180</v>
      </c>
      <c r="E523" s="7"/>
      <c r="F523" s="7">
        <v>-25</v>
      </c>
      <c r="G523" s="7">
        <v>-40</v>
      </c>
      <c r="H523" s="7">
        <v>-160</v>
      </c>
      <c r="I523" s="7">
        <v>-120</v>
      </c>
      <c r="J523" s="7">
        <v>-90</v>
      </c>
      <c r="K523" s="7">
        <v>-1</v>
      </c>
      <c r="L523" s="7"/>
      <c r="M523" s="7">
        <v>-0.5</v>
      </c>
      <c r="N523" s="7"/>
      <c r="O523" s="7"/>
      <c r="P523" s="7"/>
      <c r="Q523" s="7"/>
      <c r="R523" s="7"/>
      <c r="S523" s="7"/>
      <c r="T523" s="7">
        <v>20</v>
      </c>
    </row>
    <row r="524" spans="1:20" x14ac:dyDescent="0.25">
      <c r="A524" s="3">
        <v>45854</v>
      </c>
      <c r="B524" s="7" t="s">
        <v>110</v>
      </c>
      <c r="C524" s="7">
        <v>-780</v>
      </c>
      <c r="D524" s="7">
        <v>-360</v>
      </c>
      <c r="E524" s="7"/>
      <c r="F524" s="7">
        <v>-50</v>
      </c>
      <c r="G524" s="7">
        <v>-180</v>
      </c>
      <c r="H524" s="7">
        <v>-360</v>
      </c>
      <c r="I524" s="7">
        <v>-100</v>
      </c>
      <c r="J524" s="7">
        <v>-170</v>
      </c>
      <c r="K524" s="7">
        <v>-2</v>
      </c>
      <c r="L524" s="7"/>
      <c r="M524" s="7">
        <v>-1</v>
      </c>
      <c r="N524" s="7"/>
      <c r="O524" s="7"/>
      <c r="P524" s="7"/>
      <c r="Q524" s="7"/>
      <c r="R524" s="7"/>
      <c r="S524" s="7"/>
      <c r="T524" s="13">
        <v>40</v>
      </c>
    </row>
    <row r="525" spans="1:20" x14ac:dyDescent="0.25">
      <c r="A525" s="3">
        <v>45854</v>
      </c>
      <c r="B525" s="7" t="s">
        <v>10</v>
      </c>
      <c r="C525" s="7"/>
      <c r="D525" s="7"/>
      <c r="E525" s="7"/>
      <c r="F525" s="7">
        <v>1100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x14ac:dyDescent="0.25">
      <c r="A526" s="3">
        <v>45855</v>
      </c>
      <c r="B526" s="7" t="s">
        <v>33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>
        <v>-48</v>
      </c>
      <c r="T526" s="7">
        <v>-28</v>
      </c>
    </row>
    <row r="527" spans="1:20" x14ac:dyDescent="0.25">
      <c r="A527" s="3">
        <v>45855</v>
      </c>
      <c r="B527" s="7" t="s">
        <v>54</v>
      </c>
      <c r="C527" s="7"/>
      <c r="D527" s="7"/>
      <c r="E527" s="7"/>
      <c r="F527" s="7"/>
      <c r="G527" s="7"/>
      <c r="H527" s="7"/>
      <c r="I527" s="7">
        <v>10000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x14ac:dyDescent="0.25">
      <c r="A528" s="3">
        <v>45856</v>
      </c>
      <c r="B528" s="7" t="s">
        <v>69</v>
      </c>
      <c r="C528" s="7">
        <v>-2400</v>
      </c>
      <c r="D528" s="7">
        <v>-775</v>
      </c>
      <c r="E528" s="7"/>
      <c r="F528" s="7">
        <v>-150</v>
      </c>
      <c r="G528" s="7">
        <v>-540</v>
      </c>
      <c r="H528" s="7">
        <v>-1020</v>
      </c>
      <c r="I528" s="7">
        <v>-660</v>
      </c>
      <c r="J528" s="7">
        <v>-240</v>
      </c>
      <c r="K528" s="7">
        <v>-6</v>
      </c>
      <c r="L528" s="7">
        <v>-18</v>
      </c>
      <c r="M528" s="7"/>
      <c r="N528" s="7">
        <v>-3</v>
      </c>
      <c r="O528" s="7"/>
      <c r="P528" s="7"/>
      <c r="Q528" s="7"/>
      <c r="R528" s="7"/>
      <c r="S528" s="7">
        <v>120</v>
      </c>
      <c r="T528" s="7"/>
    </row>
    <row r="529" spans="1:20" x14ac:dyDescent="0.25">
      <c r="A529" s="3">
        <v>45856</v>
      </c>
      <c r="B529" s="7" t="s">
        <v>111</v>
      </c>
      <c r="C529" s="7">
        <v>-390</v>
      </c>
      <c r="D529" s="7">
        <v>-180</v>
      </c>
      <c r="E529" s="7"/>
      <c r="F529" s="7">
        <v>-25</v>
      </c>
      <c r="G529" s="7">
        <v>-90</v>
      </c>
      <c r="H529" s="7">
        <v>-180</v>
      </c>
      <c r="I529" s="7">
        <v>-50</v>
      </c>
      <c r="J529" s="7">
        <v>-85</v>
      </c>
      <c r="K529" s="7">
        <v>-1</v>
      </c>
      <c r="L529" s="7"/>
      <c r="M529" s="7">
        <v>-0.5</v>
      </c>
      <c r="N529" s="7"/>
      <c r="O529" s="7"/>
      <c r="P529" s="7"/>
      <c r="Q529" s="7"/>
      <c r="R529" s="7"/>
      <c r="S529" s="7"/>
      <c r="T529" s="13">
        <v>20</v>
      </c>
    </row>
    <row r="530" spans="1:20" x14ac:dyDescent="0.25">
      <c r="A530" s="3">
        <v>45856</v>
      </c>
      <c r="B530" s="7" t="s">
        <v>33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>
        <v>-48</v>
      </c>
      <c r="T530" s="7">
        <v>-27</v>
      </c>
    </row>
    <row r="531" spans="1:20" x14ac:dyDescent="0.25">
      <c r="A531" s="3">
        <v>45857</v>
      </c>
      <c r="B531" s="7" t="s">
        <v>110</v>
      </c>
      <c r="C531" s="7">
        <v>-780</v>
      </c>
      <c r="D531" s="7">
        <v>-360</v>
      </c>
      <c r="E531" s="7"/>
      <c r="F531" s="7">
        <v>-50</v>
      </c>
      <c r="G531" s="7">
        <v>-180</v>
      </c>
      <c r="H531" s="7">
        <v>-360</v>
      </c>
      <c r="I531" s="7">
        <v>-100</v>
      </c>
      <c r="J531" s="7">
        <v>-170</v>
      </c>
      <c r="K531" s="7">
        <v>-2</v>
      </c>
      <c r="L531" s="7"/>
      <c r="M531" s="7">
        <v>-1</v>
      </c>
      <c r="N531" s="7"/>
      <c r="O531" s="7"/>
      <c r="P531" s="7"/>
      <c r="Q531" s="7"/>
      <c r="R531" s="7"/>
      <c r="S531" s="7"/>
      <c r="T531" s="13">
        <v>40</v>
      </c>
    </row>
    <row r="532" spans="1:20" x14ac:dyDescent="0.25">
      <c r="A532" s="3">
        <v>45857</v>
      </c>
      <c r="B532" s="7" t="s">
        <v>1</v>
      </c>
      <c r="C532" s="7">
        <v>-2000</v>
      </c>
      <c r="D532" s="7">
        <v>-625</v>
      </c>
      <c r="E532" s="7"/>
      <c r="F532" s="7">
        <v>-125</v>
      </c>
      <c r="G532" s="7">
        <v>-450</v>
      </c>
      <c r="H532" s="7">
        <v>-850</v>
      </c>
      <c r="I532" s="7">
        <v>-550</v>
      </c>
      <c r="J532" s="7">
        <v>-400</v>
      </c>
      <c r="K532" s="7">
        <v>-5</v>
      </c>
      <c r="L532" s="7">
        <v>-15</v>
      </c>
      <c r="M532" s="7"/>
      <c r="N532" s="7">
        <v>-2.5</v>
      </c>
      <c r="O532" s="7"/>
      <c r="P532" s="7"/>
      <c r="Q532" s="7"/>
      <c r="R532" s="7"/>
      <c r="S532" s="7">
        <v>100</v>
      </c>
      <c r="T532" s="7"/>
    </row>
    <row r="533" spans="1:20" x14ac:dyDescent="0.25">
      <c r="A533" s="3">
        <v>45857</v>
      </c>
      <c r="B533" s="7" t="s">
        <v>33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>
        <v>-48</v>
      </c>
      <c r="T533" s="7">
        <v>-27</v>
      </c>
    </row>
    <row r="534" spans="1:20" x14ac:dyDescent="0.25">
      <c r="A534" s="3">
        <v>45858</v>
      </c>
      <c r="B534" s="7" t="s">
        <v>33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>
        <v>-48</v>
      </c>
      <c r="T534" s="7">
        <v>-27</v>
      </c>
    </row>
    <row r="535" spans="1:20" x14ac:dyDescent="0.25">
      <c r="A535" s="3">
        <v>45859</v>
      </c>
      <c r="B535" s="7" t="s">
        <v>1</v>
      </c>
      <c r="C535" s="7">
        <v>-2000</v>
      </c>
      <c r="D535" s="7">
        <v>-625</v>
      </c>
      <c r="E535" s="7"/>
      <c r="F535" s="7">
        <v>-125</v>
      </c>
      <c r="G535" s="7">
        <v>-450</v>
      </c>
      <c r="H535" s="7">
        <v>-850</v>
      </c>
      <c r="I535" s="7">
        <v>-550</v>
      </c>
      <c r="J535" s="7">
        <v>-400</v>
      </c>
      <c r="K535" s="7">
        <v>-5</v>
      </c>
      <c r="L535" s="7">
        <v>-15</v>
      </c>
      <c r="M535" s="7"/>
      <c r="N535" s="7">
        <v>-2.5</v>
      </c>
      <c r="O535" s="7"/>
      <c r="P535" s="7"/>
      <c r="Q535" s="7"/>
      <c r="R535" s="7"/>
      <c r="S535" s="7">
        <v>100</v>
      </c>
      <c r="T535" s="7"/>
    </row>
    <row r="536" spans="1:20" x14ac:dyDescent="0.25">
      <c r="A536" s="3">
        <v>45859</v>
      </c>
      <c r="B536" s="7" t="s">
        <v>112</v>
      </c>
      <c r="C536" s="7">
        <v>-1170</v>
      </c>
      <c r="D536" s="7">
        <v>-540</v>
      </c>
      <c r="E536" s="7"/>
      <c r="F536" s="7">
        <v>-75</v>
      </c>
      <c r="G536" s="7">
        <v>-270</v>
      </c>
      <c r="H536" s="7">
        <v>-540</v>
      </c>
      <c r="I536" s="7">
        <v>-150</v>
      </c>
      <c r="J536" s="7">
        <v>-255</v>
      </c>
      <c r="K536" s="7">
        <v>-3</v>
      </c>
      <c r="L536" s="7"/>
      <c r="M536" s="7">
        <v>-1.5</v>
      </c>
      <c r="N536" s="7"/>
      <c r="O536" s="7"/>
      <c r="P536" s="7"/>
      <c r="Q536" s="7"/>
      <c r="R536" s="7"/>
      <c r="S536" s="7"/>
      <c r="T536" s="7">
        <v>60</v>
      </c>
    </row>
    <row r="537" spans="1:20" x14ac:dyDescent="0.25">
      <c r="A537" s="3">
        <v>45859</v>
      </c>
      <c r="B537" s="7" t="s">
        <v>33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>
        <v>-48</v>
      </c>
      <c r="T537" s="7">
        <v>-26</v>
      </c>
    </row>
    <row r="538" spans="1:20" x14ac:dyDescent="0.25">
      <c r="A538" s="3">
        <v>45860</v>
      </c>
      <c r="B538" s="7" t="s">
        <v>33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>
        <v>-48</v>
      </c>
      <c r="T538" s="7">
        <v>-26</v>
      </c>
    </row>
    <row r="539" spans="1:20" x14ac:dyDescent="0.25">
      <c r="A539" s="3">
        <v>45860</v>
      </c>
      <c r="B539" s="7" t="s">
        <v>1</v>
      </c>
      <c r="C539" s="7">
        <v>-2000</v>
      </c>
      <c r="D539" s="7">
        <v>-625</v>
      </c>
      <c r="E539" s="7"/>
      <c r="F539" s="7">
        <v>-125</v>
      </c>
      <c r="G539" s="7">
        <v>-450</v>
      </c>
      <c r="H539" s="7">
        <v>-850</v>
      </c>
      <c r="I539" s="7">
        <v>-550</v>
      </c>
      <c r="J539" s="7">
        <v>-400</v>
      </c>
      <c r="K539" s="7">
        <v>-5</v>
      </c>
      <c r="L539" s="7">
        <v>-15</v>
      </c>
      <c r="M539" s="7"/>
      <c r="N539" s="7">
        <v>-2.5</v>
      </c>
      <c r="O539" s="7"/>
      <c r="P539" s="7"/>
      <c r="Q539" s="7"/>
      <c r="R539" s="7"/>
      <c r="S539" s="7">
        <v>100</v>
      </c>
      <c r="T539" s="7"/>
    </row>
    <row r="540" spans="1:20" x14ac:dyDescent="0.25">
      <c r="A540" s="3">
        <v>45861</v>
      </c>
      <c r="B540" s="7" t="s">
        <v>33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>
        <v>-48</v>
      </c>
      <c r="T540" s="7">
        <v>-28</v>
      </c>
    </row>
    <row r="541" spans="1:20" x14ac:dyDescent="0.25">
      <c r="A541" s="3">
        <v>45861</v>
      </c>
      <c r="B541" s="7" t="s">
        <v>118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>
        <v>50</v>
      </c>
      <c r="N541" s="7"/>
      <c r="O541" s="7"/>
      <c r="P541" s="7"/>
      <c r="Q541" s="7"/>
      <c r="R541" s="7"/>
      <c r="S541" s="7"/>
      <c r="T541" s="7"/>
    </row>
    <row r="542" spans="1:20" x14ac:dyDescent="0.25">
      <c r="A542" s="3">
        <v>45862</v>
      </c>
      <c r="B542" s="7" t="s">
        <v>33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>
        <v>-48</v>
      </c>
      <c r="T542" s="7">
        <v>-27</v>
      </c>
    </row>
    <row r="543" spans="1:20" x14ac:dyDescent="0.25">
      <c r="A543" s="3">
        <v>45862</v>
      </c>
      <c r="B543" s="7" t="s">
        <v>112</v>
      </c>
      <c r="C543" s="7">
        <v>-1170</v>
      </c>
      <c r="D543" s="7">
        <v>-540</v>
      </c>
      <c r="E543" s="7"/>
      <c r="F543" s="7">
        <v>-75</v>
      </c>
      <c r="G543" s="7">
        <v>-270</v>
      </c>
      <c r="H543" s="7">
        <v>-540</v>
      </c>
      <c r="I543" s="7">
        <v>-150</v>
      </c>
      <c r="J543" s="7">
        <v>-255</v>
      </c>
      <c r="K543" s="7">
        <v>-3</v>
      </c>
      <c r="L543" s="7"/>
      <c r="M543" s="7">
        <v>-1.5</v>
      </c>
      <c r="N543" s="7"/>
      <c r="O543" s="7"/>
      <c r="P543" s="7"/>
      <c r="Q543" s="7"/>
      <c r="R543" s="7"/>
      <c r="S543" s="7"/>
      <c r="T543" s="7">
        <v>60</v>
      </c>
    </row>
    <row r="544" spans="1:20" x14ac:dyDescent="0.25">
      <c r="A544" s="3">
        <v>45863</v>
      </c>
      <c r="B544" s="7" t="s">
        <v>33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>
        <v>-48</v>
      </c>
      <c r="T544" s="7">
        <v>-27</v>
      </c>
    </row>
    <row r="545" spans="1:20" x14ac:dyDescent="0.25">
      <c r="A545" s="3">
        <v>45863</v>
      </c>
      <c r="B545" s="7" t="s">
        <v>69</v>
      </c>
      <c r="C545" s="7">
        <v>-2400</v>
      </c>
      <c r="D545" s="7">
        <v>-775</v>
      </c>
      <c r="E545" s="7"/>
      <c r="F545" s="7">
        <v>-150</v>
      </c>
      <c r="G545" s="7">
        <v>-540</v>
      </c>
      <c r="H545" s="7">
        <v>-1020</v>
      </c>
      <c r="I545" s="7">
        <v>-660</v>
      </c>
      <c r="J545" s="7">
        <v>-240</v>
      </c>
      <c r="K545" s="7">
        <v>-6</v>
      </c>
      <c r="L545" s="7">
        <v>-18</v>
      </c>
      <c r="M545" s="7"/>
      <c r="N545" s="7">
        <v>-3</v>
      </c>
      <c r="O545" s="7"/>
      <c r="P545" s="7"/>
      <c r="Q545" s="7"/>
      <c r="R545" s="7"/>
      <c r="S545" s="7">
        <v>120</v>
      </c>
      <c r="T545" s="7"/>
    </row>
    <row r="546" spans="1:20" x14ac:dyDescent="0.25">
      <c r="A546" s="3">
        <v>45863</v>
      </c>
      <c r="B546" s="7" t="s">
        <v>110</v>
      </c>
      <c r="C546" s="7">
        <v>-780</v>
      </c>
      <c r="D546" s="7">
        <v>-360</v>
      </c>
      <c r="E546" s="7"/>
      <c r="F546" s="7">
        <v>-50</v>
      </c>
      <c r="G546" s="7">
        <v>-180</v>
      </c>
      <c r="H546" s="7">
        <v>-360</v>
      </c>
      <c r="I546" s="7">
        <v>-100</v>
      </c>
      <c r="J546" s="7">
        <v>-170</v>
      </c>
      <c r="K546" s="7">
        <v>-2</v>
      </c>
      <c r="L546" s="7"/>
      <c r="M546" s="7">
        <v>-1</v>
      </c>
      <c r="N546" s="7"/>
      <c r="O546" s="7"/>
      <c r="P546" s="7"/>
      <c r="Q546" s="7"/>
      <c r="R546" s="7"/>
      <c r="S546" s="7"/>
      <c r="T546" s="13">
        <v>40</v>
      </c>
    </row>
    <row r="547" spans="1:20" x14ac:dyDescent="0.25">
      <c r="A547" s="3">
        <v>45864</v>
      </c>
      <c r="B547" s="7" t="s">
        <v>33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>
        <v>-48</v>
      </c>
      <c r="T547" s="7">
        <v>-28</v>
      </c>
    </row>
    <row r="548" spans="1:20" x14ac:dyDescent="0.25">
      <c r="A548" s="3">
        <v>45864</v>
      </c>
      <c r="B548" s="7" t="s">
        <v>114</v>
      </c>
      <c r="C548" s="7">
        <v>856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x14ac:dyDescent="0.25">
      <c r="A549" s="3">
        <v>45865</v>
      </c>
      <c r="B549" s="7" t="s">
        <v>33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>
        <v>-48</v>
      </c>
      <c r="T549" s="7">
        <v>-27</v>
      </c>
    </row>
    <row r="550" spans="1:20" x14ac:dyDescent="0.25">
      <c r="A550" s="3">
        <v>45865</v>
      </c>
      <c r="B550" s="7" t="s">
        <v>112</v>
      </c>
      <c r="C550" s="7">
        <v>-1170</v>
      </c>
      <c r="D550" s="7">
        <v>-540</v>
      </c>
      <c r="E550" s="7"/>
      <c r="F550" s="7">
        <v>-75</v>
      </c>
      <c r="G550" s="7">
        <v>-270</v>
      </c>
      <c r="H550" s="7">
        <v>-540</v>
      </c>
      <c r="I550" s="7">
        <v>-150</v>
      </c>
      <c r="J550" s="7">
        <v>-255</v>
      </c>
      <c r="K550" s="7">
        <v>-3</v>
      </c>
      <c r="L550" s="7"/>
      <c r="M550" s="7">
        <v>-1.5</v>
      </c>
      <c r="N550" s="7"/>
      <c r="O550" s="7"/>
      <c r="P550" s="7"/>
      <c r="Q550" s="7"/>
      <c r="R550" s="7"/>
      <c r="S550" s="7"/>
      <c r="T550" s="7">
        <v>60</v>
      </c>
    </row>
    <row r="551" spans="1:20" x14ac:dyDescent="0.25">
      <c r="A551" s="3">
        <v>45866</v>
      </c>
      <c r="B551" s="7" t="s">
        <v>113</v>
      </c>
      <c r="C551" s="7">
        <v>12800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13"/>
    </row>
    <row r="552" spans="1:20" x14ac:dyDescent="0.25">
      <c r="A552" s="3">
        <v>45866</v>
      </c>
      <c r="B552" s="7" t="s">
        <v>33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>
        <v>-48</v>
      </c>
      <c r="T552" s="7">
        <v>-28</v>
      </c>
    </row>
    <row r="553" spans="1:20" x14ac:dyDescent="0.25">
      <c r="A553" s="3">
        <v>45867</v>
      </c>
      <c r="B553" s="7" t="s">
        <v>111</v>
      </c>
      <c r="C553" s="7">
        <v>-390</v>
      </c>
      <c r="D553" s="7">
        <v>-180</v>
      </c>
      <c r="E553" s="7"/>
      <c r="F553" s="7">
        <v>-25</v>
      </c>
      <c r="G553" s="7">
        <v>-90</v>
      </c>
      <c r="H553" s="7">
        <v>-180</v>
      </c>
      <c r="I553" s="7">
        <v>-50</v>
      </c>
      <c r="J553" s="7">
        <v>-85</v>
      </c>
      <c r="K553" s="7">
        <v>-1</v>
      </c>
      <c r="L553" s="7"/>
      <c r="M553" s="7">
        <v>-0.5</v>
      </c>
      <c r="N553" s="7"/>
      <c r="O553" s="7"/>
      <c r="P553" s="7"/>
      <c r="Q553" s="7"/>
      <c r="R553" s="7"/>
      <c r="S553" s="7"/>
      <c r="T553" s="13">
        <v>20</v>
      </c>
    </row>
    <row r="554" spans="1:20" x14ac:dyDescent="0.25">
      <c r="A554" s="3">
        <v>45867</v>
      </c>
      <c r="B554" s="7" t="s">
        <v>69</v>
      </c>
      <c r="C554" s="7">
        <v>-2400</v>
      </c>
      <c r="D554" s="7">
        <v>-775</v>
      </c>
      <c r="E554" s="7"/>
      <c r="F554" s="7">
        <v>-150</v>
      </c>
      <c r="G554" s="7">
        <v>-540</v>
      </c>
      <c r="H554" s="7">
        <v>-1020</v>
      </c>
      <c r="I554" s="7">
        <v>-660</v>
      </c>
      <c r="J554" s="7">
        <v>-240</v>
      </c>
      <c r="K554" s="7">
        <v>-6</v>
      </c>
      <c r="L554" s="7">
        <v>-18</v>
      </c>
      <c r="M554" s="7"/>
      <c r="N554" s="7">
        <v>-3</v>
      </c>
      <c r="O554" s="7"/>
      <c r="P554" s="7"/>
      <c r="Q554" s="7"/>
      <c r="R554" s="7"/>
      <c r="S554" s="7">
        <v>120</v>
      </c>
      <c r="T554" s="7"/>
    </row>
    <row r="555" spans="1:20" x14ac:dyDescent="0.25">
      <c r="A555" s="3">
        <v>45867</v>
      </c>
      <c r="B555" s="7" t="s">
        <v>33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>
        <v>-48</v>
      </c>
      <c r="T555" s="7">
        <v>-28</v>
      </c>
    </row>
    <row r="556" spans="1:20" x14ac:dyDescent="0.25">
      <c r="A556" s="3">
        <v>45867</v>
      </c>
      <c r="B556" s="7" t="s">
        <v>89</v>
      </c>
      <c r="C556" s="7">
        <v>11700</v>
      </c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x14ac:dyDescent="0.25">
      <c r="A557" s="3">
        <v>45868</v>
      </c>
      <c r="B557" s="7" t="s">
        <v>33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>
        <v>-48</v>
      </c>
      <c r="T557" s="7">
        <v>-22</v>
      </c>
    </row>
    <row r="558" spans="1:20" x14ac:dyDescent="0.25">
      <c r="A558" s="3">
        <v>45869</v>
      </c>
      <c r="B558" s="7" t="s">
        <v>33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>
        <v>-48</v>
      </c>
      <c r="T558" s="7">
        <v>-29</v>
      </c>
    </row>
    <row r="559" spans="1:20" x14ac:dyDescent="0.25">
      <c r="A559" s="3">
        <v>45869</v>
      </c>
      <c r="B559" s="7" t="s">
        <v>110</v>
      </c>
      <c r="C559" s="7">
        <v>-780</v>
      </c>
      <c r="D559" s="7">
        <v>-360</v>
      </c>
      <c r="E559" s="7"/>
      <c r="F559" s="7">
        <v>-50</v>
      </c>
      <c r="G559" s="7">
        <v>-180</v>
      </c>
      <c r="H559" s="7">
        <v>-360</v>
      </c>
      <c r="I559" s="7">
        <v>-100</v>
      </c>
      <c r="J559" s="7">
        <v>-170</v>
      </c>
      <c r="K559" s="7">
        <v>-2</v>
      </c>
      <c r="L559" s="7"/>
      <c r="M559" s="7">
        <v>-1</v>
      </c>
      <c r="N559" s="7"/>
      <c r="O559" s="7"/>
      <c r="P559" s="7"/>
      <c r="Q559" s="7"/>
      <c r="R559" s="7"/>
      <c r="S559" s="7"/>
      <c r="T559" s="13">
        <v>40</v>
      </c>
    </row>
    <row r="560" spans="1:20" x14ac:dyDescent="0.25">
      <c r="A560" s="3">
        <v>45869</v>
      </c>
      <c r="B560" s="7" t="s">
        <v>115</v>
      </c>
      <c r="C560" s="7">
        <v>1362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x14ac:dyDescent="0.25">
      <c r="A561" s="3">
        <v>45869</v>
      </c>
      <c r="B561" s="7" t="s">
        <v>116</v>
      </c>
      <c r="C561" s="7"/>
      <c r="D561" s="7"/>
      <c r="E561" s="7"/>
      <c r="F561" s="7"/>
      <c r="G561" s="7"/>
      <c r="H561" s="7">
        <v>10000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x14ac:dyDescent="0.25">
      <c r="A562" s="3">
        <v>45869</v>
      </c>
      <c r="B562" s="7" t="s">
        <v>117</v>
      </c>
      <c r="C562" s="7"/>
      <c r="D562" s="7"/>
      <c r="E562" s="7"/>
      <c r="F562" s="7">
        <v>2500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x14ac:dyDescent="0.25">
      <c r="A563" s="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x14ac:dyDescent="0.25">
      <c r="A565" s="20"/>
      <c r="B565" s="21" t="s">
        <v>25</v>
      </c>
      <c r="C565" s="22">
        <f t="shared" ref="C565:T565" si="8">SUM(C482:C564)</f>
        <v>26563</v>
      </c>
      <c r="D565" s="22">
        <f t="shared" si="8"/>
        <v>26320</v>
      </c>
      <c r="E565" s="22">
        <f t="shared" si="8"/>
        <v>810</v>
      </c>
      <c r="F565" s="22">
        <f t="shared" si="8"/>
        <v>2950</v>
      </c>
      <c r="G565" s="22">
        <f t="shared" si="8"/>
        <v>5133.6000000000004</v>
      </c>
      <c r="H565" s="22">
        <f t="shared" si="8"/>
        <v>9730</v>
      </c>
      <c r="I565" s="22">
        <f t="shared" si="8"/>
        <v>5810</v>
      </c>
      <c r="J565" s="22">
        <f t="shared" si="8"/>
        <v>1465</v>
      </c>
      <c r="K565" s="22">
        <f t="shared" si="8"/>
        <v>151</v>
      </c>
      <c r="L565" s="22">
        <f t="shared" si="8"/>
        <v>41.699999999999989</v>
      </c>
      <c r="M565" s="22">
        <f t="shared" si="8"/>
        <v>46</v>
      </c>
      <c r="N565" s="22">
        <f t="shared" si="8"/>
        <v>9.8999999999999986</v>
      </c>
      <c r="O565" s="22">
        <f t="shared" si="8"/>
        <v>100</v>
      </c>
      <c r="P565" s="22">
        <f t="shared" si="8"/>
        <v>0</v>
      </c>
      <c r="Q565" s="22"/>
      <c r="R565" s="22"/>
      <c r="S565" s="22">
        <f t="shared" si="8"/>
        <v>46</v>
      </c>
      <c r="T565" s="22">
        <f t="shared" si="8"/>
        <v>-40</v>
      </c>
    </row>
    <row r="566" spans="1:20" x14ac:dyDescent="0.25">
      <c r="A566" s="17"/>
      <c r="B566" s="17" t="s">
        <v>28</v>
      </c>
      <c r="C566" s="17">
        <v>1499</v>
      </c>
      <c r="D566" s="17">
        <v>552</v>
      </c>
      <c r="E566" s="17">
        <v>0</v>
      </c>
      <c r="F566" s="17">
        <v>95</v>
      </c>
      <c r="G566" s="17">
        <v>272</v>
      </c>
      <c r="H566" s="17">
        <v>632</v>
      </c>
      <c r="I566" s="17">
        <v>510</v>
      </c>
      <c r="J566" s="17">
        <v>318</v>
      </c>
      <c r="K566" s="17">
        <v>3.8</v>
      </c>
      <c r="L566" s="17">
        <v>7.2</v>
      </c>
      <c r="M566" s="17">
        <v>0.7</v>
      </c>
      <c r="N566" s="17">
        <v>1.2</v>
      </c>
      <c r="O566" s="17">
        <v>0</v>
      </c>
      <c r="P566" s="17">
        <v>0</v>
      </c>
      <c r="Q566" s="17"/>
      <c r="R566" s="17"/>
      <c r="S566" s="17">
        <v>48</v>
      </c>
      <c r="T566" s="17">
        <v>27</v>
      </c>
    </row>
    <row r="567" spans="1:20" x14ac:dyDescent="0.25">
      <c r="A567" s="17"/>
      <c r="B567" s="17" t="s">
        <v>26</v>
      </c>
      <c r="C567" s="18">
        <f>C565/C566</f>
        <v>17.720480320213476</v>
      </c>
      <c r="D567" s="18">
        <f t="shared" ref="D567:T567" si="9">D565/D566</f>
        <v>47.681159420289852</v>
      </c>
      <c r="E567" s="18" t="e">
        <f t="shared" si="9"/>
        <v>#DIV/0!</v>
      </c>
      <c r="F567" s="18">
        <f t="shared" si="9"/>
        <v>31.05263157894737</v>
      </c>
      <c r="G567" s="18">
        <f t="shared" si="9"/>
        <v>18.873529411764707</v>
      </c>
      <c r="H567" s="18">
        <f t="shared" si="9"/>
        <v>15.395569620253164</v>
      </c>
      <c r="I567" s="18">
        <f t="shared" si="9"/>
        <v>11.392156862745098</v>
      </c>
      <c r="J567" s="18">
        <f t="shared" si="9"/>
        <v>4.6069182389937104</v>
      </c>
      <c r="K567" s="18">
        <f t="shared" si="9"/>
        <v>39.736842105263158</v>
      </c>
      <c r="L567" s="18">
        <f t="shared" si="9"/>
        <v>5.7916666666666652</v>
      </c>
      <c r="M567" s="18">
        <f t="shared" si="9"/>
        <v>65.714285714285722</v>
      </c>
      <c r="N567" s="18">
        <f t="shared" si="9"/>
        <v>8.25</v>
      </c>
      <c r="O567" s="18" t="e">
        <f t="shared" si="9"/>
        <v>#DIV/0!</v>
      </c>
      <c r="P567" s="18" t="e">
        <f t="shared" si="9"/>
        <v>#DIV/0!</v>
      </c>
      <c r="Q567" s="18"/>
      <c r="R567" s="18"/>
      <c r="S567" s="18">
        <f t="shared" si="9"/>
        <v>0.95833333333333337</v>
      </c>
      <c r="T567" s="18">
        <f t="shared" si="9"/>
        <v>-1.4814814814814814</v>
      </c>
    </row>
    <row r="568" spans="1:20" x14ac:dyDescent="0.25">
      <c r="A568" s="21"/>
      <c r="B568" s="21" t="s">
        <v>102</v>
      </c>
      <c r="C568" s="21">
        <f>C566*31</f>
        <v>46469</v>
      </c>
      <c r="D568" s="21">
        <f>D566*31</f>
        <v>17112</v>
      </c>
      <c r="E568" s="21">
        <f t="shared" ref="E568:T568" si="10">E566*31</f>
        <v>0</v>
      </c>
      <c r="F568" s="21">
        <f t="shared" si="10"/>
        <v>2945</v>
      </c>
      <c r="G568" s="21">
        <f t="shared" si="10"/>
        <v>8432</v>
      </c>
      <c r="H568" s="21">
        <f t="shared" si="10"/>
        <v>19592</v>
      </c>
      <c r="I568" s="21">
        <f t="shared" si="10"/>
        <v>15810</v>
      </c>
      <c r="J568" s="21">
        <f t="shared" si="10"/>
        <v>9858</v>
      </c>
      <c r="K568" s="21">
        <f t="shared" si="10"/>
        <v>117.8</v>
      </c>
      <c r="L568" s="21">
        <f t="shared" si="10"/>
        <v>223.20000000000002</v>
      </c>
      <c r="M568" s="21">
        <f t="shared" si="10"/>
        <v>21.7</v>
      </c>
      <c r="N568" s="21">
        <f t="shared" si="10"/>
        <v>37.199999999999996</v>
      </c>
      <c r="O568" s="21">
        <f t="shared" si="10"/>
        <v>0</v>
      </c>
      <c r="P568" s="21">
        <f t="shared" si="10"/>
        <v>0</v>
      </c>
      <c r="Q568" s="21"/>
      <c r="R568" s="21"/>
      <c r="S568" s="21">
        <f t="shared" si="10"/>
        <v>1488</v>
      </c>
      <c r="T568" s="21">
        <f t="shared" si="10"/>
        <v>837</v>
      </c>
    </row>
    <row r="569" spans="1:20" x14ac:dyDescent="0.25">
      <c r="A569" s="21"/>
      <c r="B569" s="21" t="s">
        <v>103</v>
      </c>
      <c r="C569" s="22">
        <f>C568-C482-C490-C519</f>
        <v>5599</v>
      </c>
      <c r="D569" s="22">
        <f>D568-D482-D483-D488-D489</f>
        <v>-14153</v>
      </c>
      <c r="E569" s="22">
        <v>0</v>
      </c>
      <c r="F569" s="22">
        <f>F568-F482-F525</f>
        <v>-105</v>
      </c>
      <c r="G569" s="22">
        <f>G568-G482-G506</f>
        <v>-5311.6</v>
      </c>
      <c r="H569" s="22">
        <f>H568-H482-H514</f>
        <v>2142</v>
      </c>
      <c r="I569" s="22">
        <f>I568-I482-I527</f>
        <v>-450</v>
      </c>
      <c r="J569" s="22">
        <f t="shared" ref="J569:P569" si="11">J568-J482</f>
        <v>2388</v>
      </c>
      <c r="K569" s="22">
        <f t="shared" si="11"/>
        <v>62.8</v>
      </c>
      <c r="L569" s="22">
        <f t="shared" si="11"/>
        <v>-28.499999999999972</v>
      </c>
      <c r="M569" s="22">
        <f t="shared" si="11"/>
        <v>8.6999999999999993</v>
      </c>
      <c r="N569" s="22">
        <f t="shared" si="11"/>
        <v>-7.7000000000000028</v>
      </c>
      <c r="O569" s="22">
        <f t="shared" si="11"/>
        <v>-100</v>
      </c>
      <c r="P569" s="22">
        <f t="shared" si="11"/>
        <v>0</v>
      </c>
      <c r="Q569" s="22"/>
      <c r="R569" s="22"/>
      <c r="S569" s="22">
        <f>S568-S482-S484</f>
        <v>1254</v>
      </c>
      <c r="T569" s="22">
        <f>T568-T482-T485</f>
        <v>708</v>
      </c>
    </row>
    <row r="573" spans="1:20" ht="26" x14ac:dyDescent="0.6">
      <c r="I573" s="34">
        <v>45870</v>
      </c>
    </row>
    <row r="574" spans="1:20" x14ac:dyDescent="0.25">
      <c r="A574" s="28"/>
      <c r="B574" s="28"/>
      <c r="C574" s="28"/>
      <c r="D574" s="28"/>
      <c r="E574" s="28"/>
      <c r="F574" s="7"/>
      <c r="G574" s="7"/>
      <c r="H574" s="7"/>
      <c r="I574" s="7"/>
      <c r="J574" s="7"/>
      <c r="K574" s="7"/>
      <c r="L574" s="7"/>
      <c r="M574" s="7"/>
      <c r="N574" s="7"/>
      <c r="O574" s="28"/>
      <c r="P574" s="28"/>
      <c r="Q574" s="28"/>
      <c r="R574" s="28"/>
      <c r="S574" s="28"/>
      <c r="T574" s="28"/>
    </row>
    <row r="575" spans="1:20" x14ac:dyDescent="0.25">
      <c r="A575" s="28"/>
      <c r="B575" s="28"/>
      <c r="C575" s="28"/>
      <c r="D575" s="28"/>
      <c r="E575" s="28"/>
      <c r="F575" s="7"/>
      <c r="G575" s="7"/>
      <c r="H575" s="7"/>
      <c r="I575" s="7"/>
      <c r="J575" s="7"/>
      <c r="K575" s="7"/>
      <c r="L575" s="7"/>
      <c r="M575" s="7"/>
      <c r="N575" s="7"/>
      <c r="O575" s="28"/>
      <c r="P575" s="28"/>
      <c r="Q575" s="28"/>
      <c r="R575" s="28"/>
      <c r="S575" s="28"/>
      <c r="T575" s="28"/>
    </row>
    <row r="576" spans="1:20" x14ac:dyDescent="0.25">
      <c r="A576" s="3">
        <v>45870</v>
      </c>
      <c r="B576" s="9" t="s">
        <v>0</v>
      </c>
      <c r="C576" s="10">
        <v>26563</v>
      </c>
      <c r="D576" s="9">
        <v>26365</v>
      </c>
      <c r="E576" s="7">
        <v>810</v>
      </c>
      <c r="F576" s="9">
        <v>2950</v>
      </c>
      <c r="G576" s="9">
        <v>5100</v>
      </c>
      <c r="H576" s="9">
        <v>9640</v>
      </c>
      <c r="I576" s="9">
        <v>5620</v>
      </c>
      <c r="J576" s="9">
        <v>1360</v>
      </c>
      <c r="K576" s="9">
        <v>150</v>
      </c>
      <c r="L576" s="9">
        <v>44</v>
      </c>
      <c r="M576" s="9">
        <v>45.5</v>
      </c>
      <c r="N576" s="9">
        <v>8</v>
      </c>
      <c r="O576" s="9">
        <v>100</v>
      </c>
      <c r="P576" s="9">
        <v>0</v>
      </c>
      <c r="Q576" s="9"/>
      <c r="R576" s="9"/>
      <c r="S576" s="9">
        <v>46</v>
      </c>
      <c r="T576" s="9">
        <v>11</v>
      </c>
    </row>
    <row r="577" spans="1:20" x14ac:dyDescent="0.25">
      <c r="A577" s="3">
        <v>45870</v>
      </c>
      <c r="B577" s="7" t="s">
        <v>52</v>
      </c>
      <c r="C577" s="7">
        <v>-4000</v>
      </c>
      <c r="D577" s="7">
        <v>-1250</v>
      </c>
      <c r="E577" s="7"/>
      <c r="F577" s="7">
        <v>-250</v>
      </c>
      <c r="G577" s="7">
        <v>-900</v>
      </c>
      <c r="H577" s="7">
        <v>-1700</v>
      </c>
      <c r="I577" s="7">
        <v>-1100</v>
      </c>
      <c r="J577" s="7">
        <v>-800</v>
      </c>
      <c r="K577" s="7">
        <v>-10</v>
      </c>
      <c r="L577" s="7">
        <v>-30</v>
      </c>
      <c r="M577" s="7"/>
      <c r="N577" s="7">
        <v>-5</v>
      </c>
      <c r="O577" s="7"/>
      <c r="P577" s="7"/>
      <c r="Q577" s="7"/>
      <c r="R577" s="7"/>
      <c r="S577" s="7">
        <v>200</v>
      </c>
      <c r="T577" s="13"/>
    </row>
    <row r="578" spans="1:20" x14ac:dyDescent="0.25">
      <c r="A578" s="3">
        <v>45870</v>
      </c>
      <c r="B578" s="7" t="s">
        <v>111</v>
      </c>
      <c r="C578" s="7">
        <v>-390</v>
      </c>
      <c r="D578" s="7">
        <v>-180</v>
      </c>
      <c r="E578" s="7"/>
      <c r="F578" s="7">
        <v>-25</v>
      </c>
      <c r="G578" s="7">
        <v>-90</v>
      </c>
      <c r="H578" s="7">
        <v>-180</v>
      </c>
      <c r="I578" s="7">
        <v>-50</v>
      </c>
      <c r="J578" s="7">
        <v>-85</v>
      </c>
      <c r="K578" s="7">
        <v>-1</v>
      </c>
      <c r="L578" s="7"/>
      <c r="M578" s="7">
        <v>-0.5</v>
      </c>
      <c r="N578" s="7"/>
      <c r="O578" s="7"/>
      <c r="P578" s="7"/>
      <c r="Q578" s="7"/>
      <c r="R578" s="7"/>
      <c r="S578" s="7"/>
      <c r="T578" s="13">
        <v>20</v>
      </c>
    </row>
    <row r="579" spans="1:20" x14ac:dyDescent="0.25">
      <c r="A579" s="3">
        <v>45870</v>
      </c>
      <c r="B579" s="7" t="s">
        <v>33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>
        <v>-48</v>
      </c>
      <c r="T579" s="7">
        <v>-29</v>
      </c>
    </row>
    <row r="580" spans="1:20" x14ac:dyDescent="0.25">
      <c r="A580" s="3">
        <v>45871</v>
      </c>
      <c r="B580" s="7" t="s">
        <v>33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>
        <v>-48</v>
      </c>
      <c r="T580" s="7">
        <v>-29</v>
      </c>
    </row>
    <row r="581" spans="1:20" x14ac:dyDescent="0.25">
      <c r="A581" s="3">
        <v>45871</v>
      </c>
      <c r="B581" s="7" t="s">
        <v>112</v>
      </c>
      <c r="C581" s="7">
        <v>-1170</v>
      </c>
      <c r="D581" s="7">
        <v>-540</v>
      </c>
      <c r="E581" s="7"/>
      <c r="F581" s="7">
        <v>-50</v>
      </c>
      <c r="G581" s="7">
        <v>-270</v>
      </c>
      <c r="H581" s="7">
        <v>-540</v>
      </c>
      <c r="I581" s="7">
        <v>-150</v>
      </c>
      <c r="J581" s="7">
        <v>-255</v>
      </c>
      <c r="K581" s="7">
        <v>-3</v>
      </c>
      <c r="L581" s="7"/>
      <c r="M581" s="7">
        <v>-1.5</v>
      </c>
      <c r="N581" s="7"/>
      <c r="O581" s="7"/>
      <c r="P581" s="7"/>
      <c r="Q581" s="7"/>
      <c r="R581" s="7"/>
      <c r="S581" s="7"/>
      <c r="T581" s="7">
        <v>60</v>
      </c>
    </row>
    <row r="582" spans="1:20" x14ac:dyDescent="0.25">
      <c r="A582" s="3">
        <v>45872</v>
      </c>
      <c r="B582" s="7" t="s">
        <v>33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>
        <v>-48</v>
      </c>
      <c r="T582" s="7">
        <v>-29</v>
      </c>
    </row>
    <row r="583" spans="1:20" x14ac:dyDescent="0.25">
      <c r="A583" s="3">
        <v>45873</v>
      </c>
      <c r="B583" s="7" t="s">
        <v>110</v>
      </c>
      <c r="C583" s="7">
        <v>-780</v>
      </c>
      <c r="D583" s="7">
        <v>-360</v>
      </c>
      <c r="E583" s="7"/>
      <c r="F583" s="7">
        <v>-50</v>
      </c>
      <c r="G583" s="7">
        <v>-180</v>
      </c>
      <c r="H583" s="7">
        <v>-360</v>
      </c>
      <c r="I583" s="7">
        <v>-100</v>
      </c>
      <c r="J583" s="7">
        <v>-170</v>
      </c>
      <c r="K583" s="7">
        <v>-2</v>
      </c>
      <c r="L583" s="7"/>
      <c r="M583" s="7">
        <v>-1</v>
      </c>
      <c r="N583" s="7"/>
      <c r="O583" s="7"/>
      <c r="P583" s="7"/>
      <c r="Q583" s="7"/>
      <c r="R583" s="7"/>
      <c r="S583" s="7"/>
      <c r="T583" s="13">
        <v>40</v>
      </c>
    </row>
    <row r="584" spans="1:20" x14ac:dyDescent="0.25">
      <c r="A584" s="3">
        <v>45873</v>
      </c>
      <c r="B584" s="7" t="s">
        <v>33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>
        <v>-48</v>
      </c>
      <c r="T584" s="7">
        <v>-29</v>
      </c>
    </row>
    <row r="585" spans="1:20" x14ac:dyDescent="0.25">
      <c r="A585" s="3">
        <v>45874</v>
      </c>
      <c r="B585" s="7" t="s">
        <v>33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>
        <v>-32</v>
      </c>
      <c r="T585" s="7">
        <v>-28</v>
      </c>
    </row>
    <row r="586" spans="1:20" x14ac:dyDescent="0.25">
      <c r="A586" s="3">
        <v>45874</v>
      </c>
      <c r="B586" s="7" t="s">
        <v>110</v>
      </c>
      <c r="C586" s="7">
        <v>-780</v>
      </c>
      <c r="D586" s="7">
        <v>-360</v>
      </c>
      <c r="E586" s="7"/>
      <c r="F586" s="7">
        <v>-50</v>
      </c>
      <c r="G586" s="7">
        <v>-180</v>
      </c>
      <c r="H586" s="7">
        <v>-360</v>
      </c>
      <c r="I586" s="7">
        <v>-100</v>
      </c>
      <c r="J586" s="7">
        <v>-170</v>
      </c>
      <c r="K586" s="7">
        <v>-2</v>
      </c>
      <c r="L586" s="7"/>
      <c r="M586" s="7">
        <v>-1</v>
      </c>
      <c r="N586" s="7"/>
      <c r="O586" s="7"/>
      <c r="P586" s="7"/>
      <c r="Q586" s="7"/>
      <c r="R586" s="7"/>
      <c r="S586" s="7"/>
      <c r="T586" s="13">
        <v>40</v>
      </c>
    </row>
    <row r="587" spans="1:20" x14ac:dyDescent="0.25">
      <c r="A587" s="3">
        <v>45874</v>
      </c>
      <c r="B587" s="7" t="s">
        <v>119</v>
      </c>
      <c r="C587" s="7"/>
      <c r="D587" s="7"/>
      <c r="E587" s="7"/>
      <c r="F587" s="7"/>
      <c r="G587" s="7"/>
      <c r="H587" s="7"/>
      <c r="I587" s="7"/>
      <c r="J587" s="7">
        <v>300</v>
      </c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x14ac:dyDescent="0.25">
      <c r="A588" s="3">
        <v>45874</v>
      </c>
      <c r="B588" s="7" t="s">
        <v>110</v>
      </c>
      <c r="C588" s="7">
        <v>-780</v>
      </c>
      <c r="D588" s="7">
        <v>-360</v>
      </c>
      <c r="E588" s="7"/>
      <c r="F588" s="7">
        <v>-50</v>
      </c>
      <c r="G588" s="7">
        <v>-180</v>
      </c>
      <c r="H588" s="7">
        <v>-530</v>
      </c>
      <c r="I588" s="7">
        <v>-100</v>
      </c>
      <c r="J588" s="7"/>
      <c r="K588" s="7">
        <v>-2</v>
      </c>
      <c r="L588" s="7"/>
      <c r="M588" s="7">
        <v>-1</v>
      </c>
      <c r="N588" s="7"/>
      <c r="O588" s="7"/>
      <c r="P588" s="7"/>
      <c r="Q588" s="7"/>
      <c r="R588" s="7"/>
      <c r="S588" s="7"/>
      <c r="T588" s="13">
        <v>40</v>
      </c>
    </row>
    <row r="589" spans="1:20" x14ac:dyDescent="0.25">
      <c r="A589" s="3">
        <v>45875</v>
      </c>
      <c r="B589" s="7" t="s">
        <v>12</v>
      </c>
      <c r="C589" s="7"/>
      <c r="D589" s="7"/>
      <c r="E589" s="7"/>
      <c r="F589" s="7"/>
      <c r="G589" s="7"/>
      <c r="H589" s="7"/>
      <c r="I589" s="7"/>
      <c r="J589" s="7"/>
      <c r="K589" s="7"/>
      <c r="L589" s="7">
        <v>250</v>
      </c>
      <c r="M589" s="7"/>
      <c r="N589" s="7"/>
      <c r="O589" s="7"/>
      <c r="P589" s="7"/>
      <c r="Q589" s="7"/>
      <c r="R589" s="7"/>
      <c r="S589" s="7"/>
      <c r="T589" s="7"/>
    </row>
    <row r="590" spans="1:20" x14ac:dyDescent="0.25">
      <c r="A590" s="3">
        <v>45875</v>
      </c>
      <c r="B590" s="7" t="s">
        <v>13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>
        <v>50</v>
      </c>
      <c r="O590" s="7"/>
      <c r="P590" s="7"/>
      <c r="Q590" s="7"/>
      <c r="R590" s="7"/>
      <c r="S590" s="7"/>
      <c r="T590" s="7"/>
    </row>
    <row r="591" spans="1:20" x14ac:dyDescent="0.25">
      <c r="A591" s="3">
        <v>45875</v>
      </c>
      <c r="B591" s="7" t="s">
        <v>33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>
        <v>-40</v>
      </c>
      <c r="T591" s="7">
        <v>-28</v>
      </c>
    </row>
    <row r="592" spans="1:20" x14ac:dyDescent="0.25">
      <c r="A592" s="3">
        <v>45875</v>
      </c>
      <c r="B592" s="7" t="s">
        <v>81</v>
      </c>
      <c r="C592" s="7">
        <v>-1200</v>
      </c>
      <c r="D592" s="7">
        <v>-375</v>
      </c>
      <c r="E592" s="7"/>
      <c r="F592" s="7">
        <v>-75</v>
      </c>
      <c r="G592" s="7">
        <v>-270</v>
      </c>
      <c r="H592" s="7">
        <v>-510</v>
      </c>
      <c r="I592" s="7">
        <v>-330</v>
      </c>
      <c r="J592" s="7">
        <v>-240</v>
      </c>
      <c r="K592" s="7">
        <v>-3</v>
      </c>
      <c r="L592" s="7">
        <v>-9</v>
      </c>
      <c r="M592" s="7"/>
      <c r="N592" s="7">
        <v>-1.5</v>
      </c>
      <c r="O592" s="7"/>
      <c r="P592" s="7"/>
      <c r="Q592" s="7"/>
      <c r="R592" s="7"/>
      <c r="S592" s="7">
        <v>60</v>
      </c>
      <c r="T592" s="13"/>
    </row>
    <row r="593" spans="1:20" x14ac:dyDescent="0.25">
      <c r="A593" s="3">
        <v>45875</v>
      </c>
      <c r="B593" s="7" t="s">
        <v>31</v>
      </c>
      <c r="C593" s="7">
        <v>-400</v>
      </c>
      <c r="D593" s="7">
        <v>-125</v>
      </c>
      <c r="E593" s="7"/>
      <c r="F593" s="7">
        <v>-25</v>
      </c>
      <c r="G593" s="7">
        <v>-90</v>
      </c>
      <c r="H593" s="7">
        <v>-250</v>
      </c>
      <c r="I593" s="7">
        <v>-110</v>
      </c>
      <c r="J593" s="7">
        <v>-80</v>
      </c>
      <c r="K593" s="7">
        <v>-1</v>
      </c>
      <c r="L593" s="7">
        <v>-3</v>
      </c>
      <c r="M593" s="7"/>
      <c r="N593" s="7">
        <v>-0.5</v>
      </c>
      <c r="O593" s="7"/>
      <c r="P593" s="7"/>
      <c r="S593" s="4">
        <v>20</v>
      </c>
      <c r="T593" s="13"/>
    </row>
    <row r="594" spans="1:20" s="33" customFormat="1" x14ac:dyDescent="0.25">
      <c r="A594" s="31">
        <v>45876</v>
      </c>
      <c r="B594" s="32" t="s">
        <v>120</v>
      </c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S594" s="33">
        <v>-22</v>
      </c>
      <c r="T594" s="36"/>
    </row>
    <row r="595" spans="1:20" x14ac:dyDescent="0.25">
      <c r="A595" s="3">
        <v>45876</v>
      </c>
      <c r="B595" s="7" t="s">
        <v>33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>
        <v>-40</v>
      </c>
      <c r="T595" s="7">
        <v>-28</v>
      </c>
    </row>
    <row r="596" spans="1:20" x14ac:dyDescent="0.25">
      <c r="A596" s="3">
        <v>45876</v>
      </c>
      <c r="B596" s="7" t="s">
        <v>18</v>
      </c>
      <c r="C596" s="7"/>
      <c r="D596" s="7"/>
      <c r="E596" s="7"/>
      <c r="F596" s="7"/>
      <c r="G596" s="7"/>
      <c r="H596" s="7">
        <v>10300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x14ac:dyDescent="0.25">
      <c r="A597" s="3">
        <v>45876</v>
      </c>
      <c r="B597" s="7" t="s">
        <v>55</v>
      </c>
      <c r="C597" s="7"/>
      <c r="D597" s="7"/>
      <c r="E597" s="7"/>
      <c r="F597" s="7"/>
      <c r="G597" s="7"/>
      <c r="H597" s="7"/>
      <c r="I597" s="7"/>
      <c r="J597" s="7">
        <v>2160</v>
      </c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x14ac:dyDescent="0.25">
      <c r="A598" s="3">
        <v>45876</v>
      </c>
      <c r="B598" s="7" t="s">
        <v>112</v>
      </c>
      <c r="C598" s="7">
        <v>-1170</v>
      </c>
      <c r="D598" s="7">
        <v>-540</v>
      </c>
      <c r="E598" s="7"/>
      <c r="F598" s="7">
        <v>-75</v>
      </c>
      <c r="G598" s="7">
        <v>-270</v>
      </c>
      <c r="H598" s="7">
        <v>-540</v>
      </c>
      <c r="I598" s="7">
        <v>-150</v>
      </c>
      <c r="J598" s="7">
        <v>-255</v>
      </c>
      <c r="K598" s="7">
        <v>-3</v>
      </c>
      <c r="L598" s="7"/>
      <c r="M598" s="7">
        <v>-1.5</v>
      </c>
      <c r="N598" s="7"/>
      <c r="O598" s="7"/>
      <c r="P598" s="7"/>
      <c r="Q598" s="7"/>
      <c r="R598" s="7"/>
      <c r="S598" s="7"/>
      <c r="T598" s="7">
        <v>60</v>
      </c>
    </row>
    <row r="599" spans="1:20" x14ac:dyDescent="0.25">
      <c r="A599" s="3">
        <v>45876</v>
      </c>
      <c r="B599" s="7" t="s">
        <v>1</v>
      </c>
      <c r="C599" s="7">
        <v>-2000</v>
      </c>
      <c r="D599" s="7">
        <v>-625</v>
      </c>
      <c r="E599" s="7"/>
      <c r="F599" s="7">
        <v>-125</v>
      </c>
      <c r="G599" s="7">
        <v>-450</v>
      </c>
      <c r="H599" s="7">
        <v>-850</v>
      </c>
      <c r="I599" s="7">
        <v>-550</v>
      </c>
      <c r="J599" s="7">
        <v>-400</v>
      </c>
      <c r="K599" s="7">
        <v>-5</v>
      </c>
      <c r="L599" s="7">
        <v>-15</v>
      </c>
      <c r="M599" s="7"/>
      <c r="N599" s="7">
        <v>-2.5</v>
      </c>
      <c r="O599" s="7"/>
      <c r="P599" s="7"/>
      <c r="Q599" s="7"/>
      <c r="R599" s="7"/>
      <c r="S599" s="7">
        <v>100</v>
      </c>
      <c r="T599" s="7"/>
    </row>
    <row r="600" spans="1:20" x14ac:dyDescent="0.25">
      <c r="A600" s="3">
        <v>45877</v>
      </c>
      <c r="B600" s="7" t="s">
        <v>2</v>
      </c>
      <c r="C600" s="7">
        <v>-1600</v>
      </c>
      <c r="D600" s="7">
        <v>-500</v>
      </c>
      <c r="E600" s="7"/>
      <c r="F600" s="7">
        <v>-100</v>
      </c>
      <c r="G600" s="7">
        <v>-360</v>
      </c>
      <c r="H600" s="7">
        <v>-680</v>
      </c>
      <c r="I600" s="7">
        <v>-440</v>
      </c>
      <c r="J600" s="7">
        <v>-320</v>
      </c>
      <c r="K600" s="7">
        <v>-4</v>
      </c>
      <c r="L600" s="7">
        <v>-12</v>
      </c>
      <c r="M600" s="7"/>
      <c r="N600" s="7">
        <v>-2</v>
      </c>
      <c r="O600" s="7"/>
      <c r="P600" s="7"/>
      <c r="Q600" s="7"/>
      <c r="R600" s="7"/>
      <c r="S600" s="7">
        <v>80</v>
      </c>
      <c r="T600" s="7"/>
    </row>
    <row r="601" spans="1:20" x14ac:dyDescent="0.25">
      <c r="A601" s="3">
        <v>45877</v>
      </c>
      <c r="B601" s="7" t="s">
        <v>111</v>
      </c>
      <c r="C601" s="7">
        <v>-390</v>
      </c>
      <c r="D601" s="7">
        <v>-180</v>
      </c>
      <c r="E601" s="7"/>
      <c r="F601" s="7">
        <v>-25</v>
      </c>
      <c r="G601" s="7">
        <v>-90</v>
      </c>
      <c r="H601" s="7">
        <v>-180</v>
      </c>
      <c r="I601" s="7">
        <v>-50</v>
      </c>
      <c r="J601" s="7">
        <v>-85</v>
      </c>
      <c r="K601" s="7">
        <v>-1</v>
      </c>
      <c r="L601" s="7"/>
      <c r="M601" s="7">
        <v>-0.5</v>
      </c>
      <c r="N601" s="7"/>
      <c r="O601" s="7"/>
      <c r="P601" s="7"/>
      <c r="Q601" s="7"/>
      <c r="R601" s="7"/>
      <c r="S601" s="7"/>
      <c r="T601" s="13">
        <v>20</v>
      </c>
    </row>
    <row r="602" spans="1:20" x14ac:dyDescent="0.25">
      <c r="A602" s="3">
        <v>45877</v>
      </c>
      <c r="B602" s="7" t="s">
        <v>33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>
        <v>-48</v>
      </c>
      <c r="T602" s="7">
        <v>-30</v>
      </c>
    </row>
    <row r="603" spans="1:20" x14ac:dyDescent="0.25">
      <c r="A603" s="3">
        <v>45877</v>
      </c>
      <c r="B603" s="7" t="s">
        <v>55</v>
      </c>
      <c r="C603" s="7"/>
      <c r="D603" s="7"/>
      <c r="E603" s="7"/>
      <c r="F603" s="7"/>
      <c r="G603" s="7"/>
      <c r="H603" s="7"/>
      <c r="I603" s="7"/>
      <c r="J603" s="7">
        <v>11934</v>
      </c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x14ac:dyDescent="0.25">
      <c r="A604" s="3">
        <v>45877</v>
      </c>
      <c r="B604" s="7" t="s">
        <v>114</v>
      </c>
      <c r="C604" s="7">
        <v>2093</v>
      </c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x14ac:dyDescent="0.25">
      <c r="A605" s="3">
        <v>45878</v>
      </c>
      <c r="B605" s="7" t="s">
        <v>69</v>
      </c>
      <c r="C605" s="7">
        <v>-2400</v>
      </c>
      <c r="D605" s="7">
        <v>-775</v>
      </c>
      <c r="E605" s="7"/>
      <c r="F605" s="7">
        <v>-150</v>
      </c>
      <c r="G605" s="7">
        <v>-540</v>
      </c>
      <c r="H605" s="7">
        <v>-1020</v>
      </c>
      <c r="I605" s="7">
        <v>-660</v>
      </c>
      <c r="J605" s="7">
        <v>-240</v>
      </c>
      <c r="K605" s="7">
        <v>-6</v>
      </c>
      <c r="L605" s="7">
        <v>-18</v>
      </c>
      <c r="M605" s="7"/>
      <c r="N605" s="7">
        <v>-3</v>
      </c>
      <c r="O605" s="7"/>
      <c r="P605" s="7"/>
      <c r="Q605" s="7"/>
      <c r="R605" s="7"/>
      <c r="S605" s="7">
        <v>120</v>
      </c>
      <c r="T605" s="7"/>
    </row>
    <row r="606" spans="1:20" x14ac:dyDescent="0.25">
      <c r="A606" s="3">
        <v>45878</v>
      </c>
      <c r="B606" s="7" t="s">
        <v>110</v>
      </c>
      <c r="C606" s="7">
        <v>-780</v>
      </c>
      <c r="D606" s="7">
        <v>-360</v>
      </c>
      <c r="E606" s="7"/>
      <c r="F606" s="7">
        <v>-50</v>
      </c>
      <c r="G606" s="7">
        <v>-180</v>
      </c>
      <c r="H606" s="7">
        <v>-360</v>
      </c>
      <c r="I606" s="7">
        <v>-100</v>
      </c>
      <c r="J606" s="7">
        <v>-170</v>
      </c>
      <c r="K606" s="7">
        <v>-2</v>
      </c>
      <c r="L606" s="7">
        <v>-4</v>
      </c>
      <c r="M606" s="7">
        <v>-1</v>
      </c>
      <c r="N606" s="7"/>
      <c r="O606" s="7"/>
      <c r="P606" s="7"/>
      <c r="Q606" s="7"/>
      <c r="R606" s="7"/>
      <c r="S606" s="7"/>
      <c r="T606" s="13">
        <v>40</v>
      </c>
    </row>
    <row r="607" spans="1:20" x14ac:dyDescent="0.25">
      <c r="A607" s="3">
        <v>45878</v>
      </c>
      <c r="B607" s="7" t="s">
        <v>33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>
        <v>-48</v>
      </c>
      <c r="T607" s="7">
        <v>-29</v>
      </c>
    </row>
    <row r="608" spans="1:20" x14ac:dyDescent="0.25">
      <c r="A608" s="3">
        <v>45879</v>
      </c>
      <c r="B608" s="7" t="s">
        <v>33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>
        <v>-48</v>
      </c>
      <c r="T608" s="7">
        <v>-29</v>
      </c>
    </row>
    <row r="609" spans="1:20" x14ac:dyDescent="0.25">
      <c r="A609" s="3">
        <v>45880</v>
      </c>
      <c r="B609" s="7" t="s">
        <v>123</v>
      </c>
      <c r="C609" s="7">
        <v>-1560</v>
      </c>
      <c r="D609" s="7">
        <v>-720</v>
      </c>
      <c r="E609" s="7"/>
      <c r="F609" s="7">
        <v>-100</v>
      </c>
      <c r="G609" s="7">
        <v>-360</v>
      </c>
      <c r="H609" s="7">
        <v>-720</v>
      </c>
      <c r="I609" s="7">
        <v>-200</v>
      </c>
      <c r="J609" s="7">
        <v>-340</v>
      </c>
      <c r="K609" s="7">
        <v>-4</v>
      </c>
      <c r="L609" s="7">
        <v>-8</v>
      </c>
      <c r="M609" s="7">
        <v>-2</v>
      </c>
      <c r="N609" s="7"/>
      <c r="O609" s="7"/>
      <c r="P609" s="7"/>
      <c r="Q609" s="7"/>
      <c r="R609" s="7"/>
      <c r="S609" s="7"/>
      <c r="T609" s="13">
        <v>80</v>
      </c>
    </row>
    <row r="610" spans="1:20" x14ac:dyDescent="0.25">
      <c r="A610" s="3">
        <v>45880</v>
      </c>
      <c r="B610" s="7" t="s">
        <v>33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>
        <v>-48</v>
      </c>
      <c r="T610" s="7">
        <v>-29</v>
      </c>
    </row>
    <row r="611" spans="1:20" x14ac:dyDescent="0.25">
      <c r="A611" s="3">
        <v>45881</v>
      </c>
      <c r="B611" s="7" t="s">
        <v>69</v>
      </c>
      <c r="C611" s="7">
        <v>-2400</v>
      </c>
      <c r="D611" s="7">
        <v>-775</v>
      </c>
      <c r="E611" s="7"/>
      <c r="F611" s="7">
        <v>-150</v>
      </c>
      <c r="G611" s="7">
        <v>-540</v>
      </c>
      <c r="H611" s="7">
        <v>-1020</v>
      </c>
      <c r="I611" s="7">
        <v>-660</v>
      </c>
      <c r="J611" s="7">
        <v>-240</v>
      </c>
      <c r="K611" s="7">
        <v>-6</v>
      </c>
      <c r="L611" s="7">
        <v>-18</v>
      </c>
      <c r="M611" s="7"/>
      <c r="N611" s="7">
        <v>-3</v>
      </c>
      <c r="O611" s="7"/>
      <c r="P611" s="7"/>
      <c r="Q611" s="7"/>
      <c r="R611" s="7"/>
      <c r="S611" s="7">
        <v>120</v>
      </c>
      <c r="T611" s="7"/>
    </row>
    <row r="612" spans="1:20" x14ac:dyDescent="0.25">
      <c r="A612" s="3">
        <v>45881</v>
      </c>
      <c r="B612" s="7" t="s">
        <v>111</v>
      </c>
      <c r="C612" s="7">
        <v>-390</v>
      </c>
      <c r="D612" s="7">
        <v>-180</v>
      </c>
      <c r="E612" s="7"/>
      <c r="F612" s="7">
        <v>-25</v>
      </c>
      <c r="G612" s="7">
        <v>-90</v>
      </c>
      <c r="H612" s="7">
        <v>-180</v>
      </c>
      <c r="I612" s="7">
        <v>-50</v>
      </c>
      <c r="J612" s="7">
        <v>-85</v>
      </c>
      <c r="K612" s="7">
        <v>-1</v>
      </c>
      <c r="L612" s="7"/>
      <c r="M612" s="7">
        <v>-0.5</v>
      </c>
      <c r="N612" s="7"/>
      <c r="O612" s="7"/>
      <c r="P612" s="7"/>
      <c r="Q612" s="7"/>
      <c r="R612" s="7"/>
      <c r="S612" s="7"/>
      <c r="T612" s="13">
        <v>20</v>
      </c>
    </row>
    <row r="613" spans="1:20" x14ac:dyDescent="0.25">
      <c r="A613" s="3">
        <v>45881</v>
      </c>
      <c r="B613" s="7" t="s">
        <v>33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>
        <v>-48</v>
      </c>
      <c r="T613" s="7">
        <v>-29</v>
      </c>
    </row>
    <row r="614" spans="1:20" x14ac:dyDescent="0.25">
      <c r="A614" s="3">
        <v>45882</v>
      </c>
      <c r="B614" s="7" t="s">
        <v>33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>
        <v>-48</v>
      </c>
      <c r="T614" s="7">
        <v>-29</v>
      </c>
    </row>
    <row r="615" spans="1:20" x14ac:dyDescent="0.25">
      <c r="A615" s="3">
        <v>45883</v>
      </c>
      <c r="B615" s="7" t="s">
        <v>121</v>
      </c>
      <c r="C615" s="7"/>
      <c r="D615" s="7"/>
      <c r="E615" s="7"/>
      <c r="F615" s="7"/>
      <c r="G615" s="7">
        <v>11000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x14ac:dyDescent="0.25">
      <c r="A616" s="3">
        <v>45883</v>
      </c>
      <c r="B616" s="7" t="s">
        <v>122</v>
      </c>
      <c r="C616" s="7">
        <v>-1140</v>
      </c>
      <c r="D616" s="7">
        <v>-660</v>
      </c>
      <c r="E616" s="7"/>
      <c r="F616" s="7">
        <v>-75</v>
      </c>
      <c r="G616" s="7">
        <v>-300</v>
      </c>
      <c r="H616" s="7">
        <v>-525</v>
      </c>
      <c r="I616" s="7"/>
      <c r="J616" s="7">
        <v>-300</v>
      </c>
      <c r="K616" s="7">
        <v>-3</v>
      </c>
      <c r="L616" s="7">
        <v>-6</v>
      </c>
      <c r="M616" s="7">
        <v>-1.5</v>
      </c>
      <c r="N616" s="7"/>
      <c r="O616" s="7"/>
      <c r="P616" s="7"/>
      <c r="Q616" s="7"/>
      <c r="R616" s="7"/>
      <c r="S616" s="7"/>
      <c r="T616" s="7">
        <v>60</v>
      </c>
    </row>
    <row r="617" spans="1:20" x14ac:dyDescent="0.25">
      <c r="A617" s="3">
        <v>45883</v>
      </c>
      <c r="B617" s="7" t="s">
        <v>2</v>
      </c>
      <c r="C617" s="7">
        <v>-1600</v>
      </c>
      <c r="D617" s="7">
        <v>-500</v>
      </c>
      <c r="E617" s="7"/>
      <c r="F617" s="7">
        <v>-100</v>
      </c>
      <c r="G617" s="7">
        <v>-360</v>
      </c>
      <c r="H617" s="7">
        <v>-680</v>
      </c>
      <c r="I617" s="7">
        <v>-440</v>
      </c>
      <c r="J617" s="7">
        <v>-320</v>
      </c>
      <c r="K617" s="7">
        <v>-4</v>
      </c>
      <c r="L617" s="7">
        <v>-12</v>
      </c>
      <c r="M617" s="7"/>
      <c r="N617" s="7">
        <v>-2</v>
      </c>
      <c r="O617" s="7"/>
      <c r="P617" s="7"/>
      <c r="Q617" s="7"/>
      <c r="R617" s="7"/>
      <c r="S617" s="7">
        <v>80</v>
      </c>
      <c r="T617" s="7"/>
    </row>
    <row r="618" spans="1:20" x14ac:dyDescent="0.25">
      <c r="A618" s="3">
        <v>45883</v>
      </c>
      <c r="B618" s="7" t="s">
        <v>33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>
        <v>-48</v>
      </c>
      <c r="T618" s="7">
        <v>-29</v>
      </c>
    </row>
    <row r="619" spans="1:20" x14ac:dyDescent="0.25">
      <c r="A619" s="3">
        <v>45884</v>
      </c>
      <c r="B619" s="7" t="s">
        <v>33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>
        <v>-48</v>
      </c>
      <c r="T619" s="7">
        <v>-31</v>
      </c>
    </row>
    <row r="620" spans="1:20" x14ac:dyDescent="0.25">
      <c r="A620" s="3">
        <v>45884</v>
      </c>
      <c r="B620" s="7" t="s">
        <v>1</v>
      </c>
      <c r="C620" s="7">
        <v>-2000</v>
      </c>
      <c r="D620" s="7">
        <v>-625</v>
      </c>
      <c r="E620" s="7"/>
      <c r="F620" s="7">
        <v>-125</v>
      </c>
      <c r="G620" s="7">
        <v>-450</v>
      </c>
      <c r="H620" s="7">
        <v>-850</v>
      </c>
      <c r="I620" s="7">
        <v>-550</v>
      </c>
      <c r="J620" s="7">
        <v>-400</v>
      </c>
      <c r="K620" s="7">
        <v>-5</v>
      </c>
      <c r="L620" s="7">
        <v>-15</v>
      </c>
      <c r="M620" s="7"/>
      <c r="N620" s="7">
        <v>-2.5</v>
      </c>
      <c r="O620" s="7"/>
      <c r="P620" s="7"/>
      <c r="Q620" s="7"/>
      <c r="R620" s="7"/>
      <c r="S620" s="7">
        <v>100</v>
      </c>
      <c r="T620" s="7"/>
    </row>
    <row r="621" spans="1:20" x14ac:dyDescent="0.25">
      <c r="A621" s="3">
        <v>45884</v>
      </c>
      <c r="B621" s="7" t="s">
        <v>124</v>
      </c>
      <c r="C621" s="7">
        <v>-760</v>
      </c>
      <c r="D621" s="7">
        <v>-440</v>
      </c>
      <c r="E621" s="7"/>
      <c r="F621" s="7">
        <v>-50</v>
      </c>
      <c r="G621" s="7">
        <v>-200</v>
      </c>
      <c r="H621" s="7">
        <v>-350</v>
      </c>
      <c r="I621" s="7"/>
      <c r="J621" s="7">
        <v>-200</v>
      </c>
      <c r="K621" s="7">
        <v>-2</v>
      </c>
      <c r="L621" s="7">
        <v>-4</v>
      </c>
      <c r="M621" s="7">
        <v>-1</v>
      </c>
      <c r="N621" s="7"/>
      <c r="O621" s="7"/>
      <c r="P621" s="7"/>
      <c r="Q621" s="7"/>
      <c r="R621" s="7"/>
      <c r="S621" s="7"/>
      <c r="T621" s="7">
        <v>40</v>
      </c>
    </row>
    <row r="622" spans="1:20" x14ac:dyDescent="0.25">
      <c r="A622" s="3">
        <v>45884</v>
      </c>
      <c r="B622" s="7" t="s">
        <v>54</v>
      </c>
      <c r="C622" s="7"/>
      <c r="D622" s="7"/>
      <c r="E622" s="7"/>
      <c r="F622" s="7"/>
      <c r="G622" s="7"/>
      <c r="H622" s="7"/>
      <c r="I622" s="7">
        <v>5000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x14ac:dyDescent="0.25">
      <c r="A623" s="3">
        <v>45884</v>
      </c>
      <c r="B623" s="7" t="s">
        <v>125</v>
      </c>
      <c r="C623" s="7">
        <v>12000</v>
      </c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x14ac:dyDescent="0.25">
      <c r="A624" s="3">
        <v>45885</v>
      </c>
      <c r="B624" s="7" t="s">
        <v>33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>
        <v>-48</v>
      </c>
      <c r="T624" s="7">
        <v>-30</v>
      </c>
    </row>
    <row r="625" spans="1:20" x14ac:dyDescent="0.25">
      <c r="A625" s="3">
        <v>45886</v>
      </c>
      <c r="B625" s="7" t="s">
        <v>114</v>
      </c>
      <c r="C625" s="7">
        <v>1065</v>
      </c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x14ac:dyDescent="0.25">
      <c r="A626" s="3">
        <v>45886</v>
      </c>
      <c r="B626" s="7" t="s">
        <v>33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>
        <v>-52</v>
      </c>
      <c r="T626" s="7">
        <v>-29</v>
      </c>
    </row>
    <row r="627" spans="1:20" x14ac:dyDescent="0.25">
      <c r="A627" s="3">
        <v>45887</v>
      </c>
      <c r="B627" s="7" t="s">
        <v>33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>
        <v>-48</v>
      </c>
      <c r="T627" s="7">
        <v>-29</v>
      </c>
    </row>
    <row r="628" spans="1:20" x14ac:dyDescent="0.25">
      <c r="A628" s="3">
        <v>45887</v>
      </c>
      <c r="B628" s="7" t="s">
        <v>69</v>
      </c>
      <c r="C628" s="7">
        <v>-2400</v>
      </c>
      <c r="D628" s="7">
        <v>-775</v>
      </c>
      <c r="E628" s="7"/>
      <c r="F628" s="7">
        <v>-150</v>
      </c>
      <c r="G628" s="7">
        <v>-540</v>
      </c>
      <c r="H628" s="7">
        <v>-1020</v>
      </c>
      <c r="I628" s="7">
        <v>-660</v>
      </c>
      <c r="J628" s="7">
        <v>-240</v>
      </c>
      <c r="K628" s="7">
        <v>-6</v>
      </c>
      <c r="L628" s="7">
        <v>-18</v>
      </c>
      <c r="M628" s="7"/>
      <c r="N628" s="7">
        <v>-3</v>
      </c>
      <c r="O628" s="7"/>
      <c r="P628" s="7"/>
      <c r="Q628" s="7"/>
      <c r="R628" s="7"/>
      <c r="S628" s="7">
        <v>120</v>
      </c>
      <c r="T628" s="7"/>
    </row>
    <row r="629" spans="1:20" x14ac:dyDescent="0.25">
      <c r="A629" s="3">
        <v>45887</v>
      </c>
      <c r="B629" s="7" t="s">
        <v>122</v>
      </c>
      <c r="C629" s="7">
        <v>-1140</v>
      </c>
      <c r="D629" s="7">
        <v>-660</v>
      </c>
      <c r="E629" s="7"/>
      <c r="F629" s="7">
        <v>-75</v>
      </c>
      <c r="G629" s="7">
        <v>-300</v>
      </c>
      <c r="H629" s="7">
        <v>-525</v>
      </c>
      <c r="I629" s="7"/>
      <c r="J629" s="7">
        <v>-300</v>
      </c>
      <c r="K629" s="7">
        <v>-3</v>
      </c>
      <c r="L629" s="7">
        <v>-6</v>
      </c>
      <c r="M629" s="7">
        <v>-1.5</v>
      </c>
      <c r="N629" s="7"/>
      <c r="O629" s="7"/>
      <c r="P629" s="7"/>
      <c r="Q629" s="7"/>
      <c r="R629" s="7"/>
      <c r="S629" s="7"/>
      <c r="T629" s="7">
        <v>60</v>
      </c>
    </row>
    <row r="630" spans="1:20" x14ac:dyDescent="0.25">
      <c r="A630" s="3">
        <v>45888</v>
      </c>
      <c r="B630" s="7" t="s">
        <v>33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>
        <v>-48</v>
      </c>
      <c r="T630" s="7">
        <v>-29</v>
      </c>
    </row>
    <row r="631" spans="1:20" x14ac:dyDescent="0.25">
      <c r="A631" s="3">
        <v>45888</v>
      </c>
      <c r="B631" s="7" t="s">
        <v>69</v>
      </c>
      <c r="C631" s="7">
        <v>-2400</v>
      </c>
      <c r="D631" s="7">
        <v>-775</v>
      </c>
      <c r="E631" s="7"/>
      <c r="F631" s="7">
        <v>-150</v>
      </c>
      <c r="G631" s="7">
        <v>-540</v>
      </c>
      <c r="H631" s="7">
        <v>-1020</v>
      </c>
      <c r="I631" s="7">
        <v>-660</v>
      </c>
      <c r="J631" s="7">
        <v>-240</v>
      </c>
      <c r="K631" s="7">
        <v>-6</v>
      </c>
      <c r="L631" s="7">
        <v>-18</v>
      </c>
      <c r="M631" s="7"/>
      <c r="N631" s="7">
        <v>-3</v>
      </c>
      <c r="O631" s="7"/>
      <c r="P631" s="7"/>
      <c r="Q631" s="7"/>
      <c r="R631" s="7"/>
      <c r="S631" s="7">
        <v>120</v>
      </c>
      <c r="T631" s="7"/>
    </row>
    <row r="632" spans="1:20" x14ac:dyDescent="0.25">
      <c r="A632" s="3">
        <v>45888</v>
      </c>
      <c r="B632" s="7" t="s">
        <v>126</v>
      </c>
      <c r="C632" s="7">
        <v>-380</v>
      </c>
      <c r="D632" s="7">
        <v>-220</v>
      </c>
      <c r="E632" s="7"/>
      <c r="F632" s="7">
        <v>-25</v>
      </c>
      <c r="G632" s="7">
        <v>-100</v>
      </c>
      <c r="H632" s="7">
        <v>-175</v>
      </c>
      <c r="I632" s="7"/>
      <c r="J632" s="7">
        <v>-100</v>
      </c>
      <c r="K632" s="7">
        <v>-1</v>
      </c>
      <c r="L632" s="7">
        <v>-2</v>
      </c>
      <c r="M632" s="7">
        <v>-0.5</v>
      </c>
      <c r="N632" s="7"/>
      <c r="O632" s="7"/>
      <c r="P632" s="7"/>
      <c r="Q632" s="7"/>
      <c r="R632" s="7"/>
      <c r="S632" s="7"/>
      <c r="T632" s="7">
        <v>20</v>
      </c>
    </row>
    <row r="633" spans="1:20" x14ac:dyDescent="0.25">
      <c r="A633" s="3">
        <v>45889</v>
      </c>
      <c r="B633" s="7" t="s">
        <v>33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>
        <v>-48</v>
      </c>
      <c r="T633" s="7">
        <v>-31</v>
      </c>
    </row>
    <row r="634" spans="1:20" x14ac:dyDescent="0.25">
      <c r="A634" s="3">
        <v>45889</v>
      </c>
      <c r="B634" s="7" t="s">
        <v>127</v>
      </c>
      <c r="C634" s="7">
        <v>-2280</v>
      </c>
      <c r="D634" s="7">
        <v>-1320</v>
      </c>
      <c r="E634" s="7"/>
      <c r="F634" s="7">
        <v>-150</v>
      </c>
      <c r="G634" s="7">
        <v>-600</v>
      </c>
      <c r="H634" s="7">
        <v>-1050</v>
      </c>
      <c r="I634" s="7"/>
      <c r="J634" s="7">
        <v>-600</v>
      </c>
      <c r="K634" s="7">
        <v>-6</v>
      </c>
      <c r="L634" s="7">
        <v>-12</v>
      </c>
      <c r="M634" s="7">
        <v>-3</v>
      </c>
      <c r="N634" s="7"/>
      <c r="O634" s="7"/>
      <c r="P634" s="7"/>
      <c r="Q634" s="7"/>
      <c r="R634" s="7"/>
      <c r="S634" s="7"/>
      <c r="T634" s="7">
        <v>120</v>
      </c>
    </row>
    <row r="635" spans="1:20" x14ac:dyDescent="0.25">
      <c r="A635" s="3">
        <v>45889</v>
      </c>
      <c r="B635" s="7" t="s">
        <v>59</v>
      </c>
      <c r="C635" s="7">
        <v>-800</v>
      </c>
      <c r="D635" s="7">
        <v>-250</v>
      </c>
      <c r="E635" s="7"/>
      <c r="F635" s="7">
        <v>-50</v>
      </c>
      <c r="G635" s="7">
        <v>-180</v>
      </c>
      <c r="H635" s="7">
        <v>-340</v>
      </c>
      <c r="I635" s="7">
        <v>-220</v>
      </c>
      <c r="J635" s="7">
        <v>-160</v>
      </c>
      <c r="K635" s="7">
        <v>-2</v>
      </c>
      <c r="L635" s="7">
        <v>-6</v>
      </c>
      <c r="M635" s="7"/>
      <c r="N635" s="7">
        <v>-1</v>
      </c>
      <c r="O635" s="7"/>
      <c r="P635" s="7"/>
      <c r="Q635" s="7"/>
      <c r="R635" s="7"/>
      <c r="S635" s="7">
        <v>40</v>
      </c>
      <c r="T635" s="7"/>
    </row>
    <row r="636" spans="1:20" x14ac:dyDescent="0.25">
      <c r="A636" s="3">
        <v>45890</v>
      </c>
      <c r="B636" s="7" t="s">
        <v>33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>
        <v>-48</v>
      </c>
      <c r="T636" s="7">
        <v>-31</v>
      </c>
    </row>
    <row r="637" spans="1:20" x14ac:dyDescent="0.25">
      <c r="A637" s="3">
        <v>45891</v>
      </c>
      <c r="B637" s="7" t="s">
        <v>33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>
        <v>-48</v>
      </c>
      <c r="T637" s="7">
        <v>-31</v>
      </c>
    </row>
    <row r="638" spans="1:20" x14ac:dyDescent="0.25">
      <c r="A638" s="3">
        <v>45892</v>
      </c>
      <c r="B638" s="7" t="s">
        <v>33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>
        <v>-48</v>
      </c>
      <c r="T638" s="7">
        <v>-31</v>
      </c>
    </row>
    <row r="639" spans="1:20" x14ac:dyDescent="0.25">
      <c r="A639" s="3">
        <v>45893</v>
      </c>
      <c r="B639" s="7" t="s">
        <v>128</v>
      </c>
      <c r="C639" s="7">
        <v>12720</v>
      </c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x14ac:dyDescent="0.25">
      <c r="A640" s="3">
        <v>45893</v>
      </c>
      <c r="B640" s="7" t="s">
        <v>33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>
        <v>-48</v>
      </c>
      <c r="T640" s="7">
        <v>-31</v>
      </c>
    </row>
    <row r="641" spans="1:20" x14ac:dyDescent="0.25">
      <c r="A641" s="3">
        <v>45894</v>
      </c>
      <c r="B641" s="7" t="s">
        <v>122</v>
      </c>
      <c r="C641" s="7">
        <v>-1140</v>
      </c>
      <c r="D641" s="7">
        <v>-660</v>
      </c>
      <c r="E641" s="7"/>
      <c r="F641" s="7">
        <v>-75</v>
      </c>
      <c r="G641" s="7">
        <v>-300</v>
      </c>
      <c r="H641" s="7">
        <v>-525</v>
      </c>
      <c r="I641" s="7"/>
      <c r="J641" s="7">
        <v>-300</v>
      </c>
      <c r="K641" s="7">
        <v>-3</v>
      </c>
      <c r="L641" s="7">
        <v>-6</v>
      </c>
      <c r="M641" s="7">
        <v>-1.5</v>
      </c>
      <c r="N641" s="7"/>
      <c r="O641" s="7"/>
      <c r="P641" s="7"/>
      <c r="Q641" s="7"/>
      <c r="R641" s="7"/>
      <c r="S641" s="7"/>
      <c r="T641" s="7">
        <v>60</v>
      </c>
    </row>
    <row r="642" spans="1:20" x14ac:dyDescent="0.25">
      <c r="A642" s="3">
        <v>45894</v>
      </c>
      <c r="B642" s="7" t="s">
        <v>69</v>
      </c>
      <c r="C642" s="7">
        <v>-2400</v>
      </c>
      <c r="D642" s="7">
        <v>-775</v>
      </c>
      <c r="E642" s="7"/>
      <c r="F642" s="7">
        <v>-150</v>
      </c>
      <c r="G642" s="7">
        <v>-540</v>
      </c>
      <c r="H642" s="7">
        <v>-1020</v>
      </c>
      <c r="I642" s="7">
        <v>-660</v>
      </c>
      <c r="J642" s="7">
        <v>-240</v>
      </c>
      <c r="K642" s="7">
        <v>-6</v>
      </c>
      <c r="L642" s="7">
        <v>-18</v>
      </c>
      <c r="M642" s="7"/>
      <c r="N642" s="7">
        <v>-3</v>
      </c>
      <c r="O642" s="7"/>
      <c r="P642" s="7"/>
      <c r="Q642" s="7"/>
      <c r="R642" s="7"/>
      <c r="S642" s="7">
        <v>120</v>
      </c>
      <c r="T642" s="7"/>
    </row>
    <row r="643" spans="1:20" x14ac:dyDescent="0.25">
      <c r="A643" s="3">
        <v>45894</v>
      </c>
      <c r="B643" s="7" t="s">
        <v>33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>
        <v>-48</v>
      </c>
      <c r="T643" s="7">
        <v>-31</v>
      </c>
    </row>
    <row r="644" spans="1:20" x14ac:dyDescent="0.25">
      <c r="A644" s="3">
        <v>45895</v>
      </c>
      <c r="B644" s="7" t="s">
        <v>33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>
        <v>-48</v>
      </c>
      <c r="T644" s="7">
        <v>-31</v>
      </c>
    </row>
    <row r="645" spans="1:20" x14ac:dyDescent="0.25">
      <c r="A645" s="3">
        <v>45895</v>
      </c>
      <c r="B645" s="7" t="s">
        <v>12</v>
      </c>
      <c r="C645" s="7"/>
      <c r="D645" s="7"/>
      <c r="E645" s="7"/>
      <c r="F645" s="7"/>
      <c r="G645" s="7"/>
      <c r="H645" s="7"/>
      <c r="I645" s="7"/>
      <c r="J645" s="7"/>
      <c r="K645" s="7"/>
      <c r="L645" s="7">
        <v>250</v>
      </c>
      <c r="M645" s="7"/>
      <c r="N645" s="7"/>
      <c r="O645" s="7"/>
      <c r="P645" s="7"/>
      <c r="Q645" s="7"/>
      <c r="R645" s="7"/>
      <c r="S645" s="7"/>
      <c r="T645" s="7"/>
    </row>
    <row r="646" spans="1:20" x14ac:dyDescent="0.25">
      <c r="A646" s="3">
        <v>45895</v>
      </c>
      <c r="B646" s="7" t="s">
        <v>13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>
        <v>50</v>
      </c>
      <c r="O646" s="7"/>
      <c r="P646" s="7"/>
      <c r="Q646" s="7"/>
      <c r="R646" s="7"/>
      <c r="S646" s="7"/>
      <c r="T646" s="7"/>
    </row>
    <row r="647" spans="1:20" x14ac:dyDescent="0.25">
      <c r="A647" s="3">
        <v>45896</v>
      </c>
      <c r="B647" s="7" t="s">
        <v>96</v>
      </c>
      <c r="C647" s="7">
        <v>-3200</v>
      </c>
      <c r="D647" s="7">
        <v>-1000</v>
      </c>
      <c r="E647" s="7"/>
      <c r="F647" s="7">
        <v>-200</v>
      </c>
      <c r="G647" s="7">
        <v>-720</v>
      </c>
      <c r="H647" s="7">
        <v>-1360</v>
      </c>
      <c r="I647" s="7">
        <v>-880</v>
      </c>
      <c r="J647" s="7">
        <v>-640</v>
      </c>
      <c r="K647" s="7">
        <v>-8</v>
      </c>
      <c r="L647" s="7">
        <v>-24</v>
      </c>
      <c r="M647" s="7"/>
      <c r="N647" s="7">
        <v>-4</v>
      </c>
      <c r="O647" s="7"/>
      <c r="P647" s="7"/>
      <c r="Q647" s="7"/>
      <c r="R647" s="7"/>
      <c r="S647" s="7">
        <v>160</v>
      </c>
      <c r="T647" s="7"/>
    </row>
    <row r="648" spans="1:20" x14ac:dyDescent="0.25">
      <c r="A648" s="3">
        <v>45896</v>
      </c>
      <c r="B648" s="7" t="s">
        <v>129</v>
      </c>
      <c r="C648" s="7">
        <v>-1520</v>
      </c>
      <c r="D648" s="7">
        <v>-880</v>
      </c>
      <c r="E648" s="7"/>
      <c r="F648" s="7">
        <v>-100</v>
      </c>
      <c r="G648" s="7">
        <v>-400</v>
      </c>
      <c r="H648" s="7">
        <v>-700</v>
      </c>
      <c r="I648" s="7"/>
      <c r="J648" s="7">
        <v>-400</v>
      </c>
      <c r="K648" s="7">
        <v>-4</v>
      </c>
      <c r="L648" s="7">
        <v>-8</v>
      </c>
      <c r="M648" s="7">
        <v>-2</v>
      </c>
      <c r="N648" s="7"/>
      <c r="O648" s="7"/>
      <c r="P648" s="7"/>
      <c r="Q648" s="7"/>
      <c r="R648" s="7"/>
      <c r="S648" s="7"/>
      <c r="T648" s="7">
        <v>80</v>
      </c>
    </row>
    <row r="649" spans="1:20" x14ac:dyDescent="0.25">
      <c r="A649" s="3">
        <v>45896</v>
      </c>
      <c r="B649" s="7" t="s">
        <v>130</v>
      </c>
      <c r="C649" s="7">
        <v>298</v>
      </c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x14ac:dyDescent="0.25">
      <c r="A650" s="3">
        <v>45896</v>
      </c>
      <c r="B650" s="7" t="s">
        <v>33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>
        <v>-48</v>
      </c>
      <c r="T650" s="7">
        <v>-31</v>
      </c>
    </row>
    <row r="651" spans="1:20" x14ac:dyDescent="0.25">
      <c r="A651" s="3">
        <v>45897</v>
      </c>
      <c r="B651" s="7" t="s">
        <v>33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>
        <v>-48</v>
      </c>
      <c r="T651" s="7">
        <v>-31</v>
      </c>
    </row>
    <row r="652" spans="1:20" x14ac:dyDescent="0.25">
      <c r="A652" s="3">
        <v>45897</v>
      </c>
      <c r="B652" s="7" t="s">
        <v>78</v>
      </c>
      <c r="C652" s="7"/>
      <c r="D652" s="7"/>
      <c r="E652" s="7"/>
      <c r="F652" s="7"/>
      <c r="G652" s="7"/>
      <c r="H652" s="7"/>
      <c r="I652" s="7"/>
      <c r="J652" s="7"/>
      <c r="K652" s="7">
        <v>200</v>
      </c>
      <c r="L652" s="7"/>
      <c r="M652" s="7"/>
      <c r="N652" s="7"/>
      <c r="O652" s="7"/>
      <c r="P652" s="7"/>
      <c r="Q652" s="7"/>
      <c r="R652" s="7"/>
      <c r="S652" s="7"/>
      <c r="T652" s="7"/>
    </row>
    <row r="653" spans="1:20" x14ac:dyDescent="0.25">
      <c r="A653" s="3">
        <v>45898</v>
      </c>
      <c r="B653" s="7" t="s">
        <v>33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>
        <v>-48</v>
      </c>
      <c r="T653" s="7">
        <v>-31</v>
      </c>
    </row>
    <row r="654" spans="1:20" x14ac:dyDescent="0.25">
      <c r="A654" s="3">
        <v>45898</v>
      </c>
      <c r="B654" s="7" t="s">
        <v>124</v>
      </c>
      <c r="C654" s="7">
        <v>-760</v>
      </c>
      <c r="D654" s="7">
        <v>-440</v>
      </c>
      <c r="E654" s="7"/>
      <c r="F654" s="7">
        <v>-50</v>
      </c>
      <c r="G654" s="7">
        <v>-200</v>
      </c>
      <c r="H654" s="7">
        <v>-350</v>
      </c>
      <c r="I654" s="7"/>
      <c r="J654" s="7">
        <v>-200</v>
      </c>
      <c r="K654" s="7">
        <v>-2</v>
      </c>
      <c r="L654" s="7">
        <v>-4</v>
      </c>
      <c r="M654" s="7">
        <v>-1</v>
      </c>
      <c r="N654" s="7"/>
      <c r="O654" s="7"/>
      <c r="P654" s="7"/>
      <c r="Q654" s="7"/>
      <c r="R654" s="7"/>
      <c r="S654" s="7"/>
      <c r="T654" s="7">
        <v>40</v>
      </c>
    </row>
    <row r="655" spans="1:20" x14ac:dyDescent="0.25">
      <c r="A655" s="3">
        <v>45898</v>
      </c>
      <c r="B655" s="7" t="s">
        <v>18</v>
      </c>
      <c r="C655" s="7"/>
      <c r="D655" s="7"/>
      <c r="E655" s="7"/>
      <c r="F655" s="7"/>
      <c r="G655" s="7"/>
      <c r="H655" s="7">
        <v>10000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x14ac:dyDescent="0.25">
      <c r="A656" s="3">
        <v>45898</v>
      </c>
      <c r="B656" s="7" t="s">
        <v>35</v>
      </c>
      <c r="C656" s="7"/>
      <c r="D656" s="7"/>
      <c r="E656" s="7"/>
      <c r="F656" s="7">
        <v>2500</v>
      </c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x14ac:dyDescent="0.25">
      <c r="A657" s="3">
        <v>45899</v>
      </c>
      <c r="B657" s="7" t="s">
        <v>122</v>
      </c>
      <c r="C657" s="7">
        <v>-1140</v>
      </c>
      <c r="D657" s="7">
        <v>-660</v>
      </c>
      <c r="E657" s="7"/>
      <c r="F657" s="7">
        <v>-75</v>
      </c>
      <c r="G657" s="7">
        <v>-300</v>
      </c>
      <c r="H657" s="7">
        <v>-525</v>
      </c>
      <c r="I657" s="7"/>
      <c r="J657" s="7">
        <v>-300</v>
      </c>
      <c r="K657" s="7">
        <v>-3</v>
      </c>
      <c r="L657" s="7">
        <v>-6</v>
      </c>
      <c r="M657" s="7">
        <v>-1.5</v>
      </c>
      <c r="N657" s="7"/>
      <c r="O657" s="7"/>
      <c r="P657" s="7"/>
      <c r="Q657" s="7"/>
      <c r="R657" s="7"/>
      <c r="S657" s="7"/>
      <c r="T657" s="7">
        <v>60</v>
      </c>
    </row>
    <row r="658" spans="1:20" x14ac:dyDescent="0.25">
      <c r="A658" s="3">
        <v>45899</v>
      </c>
      <c r="B658" s="7" t="s">
        <v>2</v>
      </c>
      <c r="C658" s="7">
        <v>-1600</v>
      </c>
      <c r="D658" s="7">
        <v>-500</v>
      </c>
      <c r="E658" s="7"/>
      <c r="F658" s="7">
        <v>-100</v>
      </c>
      <c r="G658" s="7">
        <v>-360</v>
      </c>
      <c r="H658" s="7">
        <v>-680</v>
      </c>
      <c r="I658" s="7">
        <v>-440</v>
      </c>
      <c r="J658" s="7">
        <v>-320</v>
      </c>
      <c r="K658" s="7">
        <v>-4</v>
      </c>
      <c r="L658" s="7">
        <v>-12</v>
      </c>
      <c r="M658" s="7"/>
      <c r="N658" s="7">
        <v>-2</v>
      </c>
      <c r="O658" s="7"/>
      <c r="P658" s="7"/>
      <c r="Q658" s="7"/>
      <c r="R658" s="7"/>
      <c r="S658" s="7">
        <v>80</v>
      </c>
      <c r="T658" s="7"/>
    </row>
    <row r="659" spans="1:20" x14ac:dyDescent="0.25">
      <c r="A659" s="3">
        <v>45899</v>
      </c>
      <c r="B659" s="7" t="s">
        <v>33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>
        <v>-48</v>
      </c>
      <c r="T659" s="7">
        <v>-31</v>
      </c>
    </row>
    <row r="660" spans="1:20" x14ac:dyDescent="0.25">
      <c r="A660" s="3">
        <v>45900</v>
      </c>
      <c r="B660" s="7" t="s">
        <v>33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>
        <v>-48</v>
      </c>
      <c r="T660" s="7">
        <v>-31</v>
      </c>
    </row>
    <row r="661" spans="1:20" x14ac:dyDescent="0.25">
      <c r="A661" s="3">
        <v>45900</v>
      </c>
      <c r="B661" s="7" t="s">
        <v>1</v>
      </c>
      <c r="C661" s="7">
        <v>-2000</v>
      </c>
      <c r="D661" s="7">
        <v>-625</v>
      </c>
      <c r="E661" s="7"/>
      <c r="F661" s="7">
        <v>-125</v>
      </c>
      <c r="G661" s="7">
        <v>-450</v>
      </c>
      <c r="H661" s="7">
        <v>-850</v>
      </c>
      <c r="I661" s="7">
        <v>-550</v>
      </c>
      <c r="J661" s="7">
        <v>-400</v>
      </c>
      <c r="K661" s="7">
        <v>-5</v>
      </c>
      <c r="L661" s="7">
        <v>-15</v>
      </c>
      <c r="M661" s="7"/>
      <c r="N661" s="7">
        <v>-2.5</v>
      </c>
      <c r="O661" s="7"/>
      <c r="P661" s="7"/>
      <c r="Q661" s="7"/>
      <c r="R661" s="7"/>
      <c r="S661" s="7">
        <v>100</v>
      </c>
      <c r="T661" s="7"/>
    </row>
    <row r="662" spans="1:20" x14ac:dyDescent="0.25">
      <c r="A662" s="3">
        <v>45900</v>
      </c>
      <c r="B662" s="7" t="s">
        <v>126</v>
      </c>
      <c r="C662" s="7">
        <v>-380</v>
      </c>
      <c r="D662" s="7">
        <v>-220</v>
      </c>
      <c r="E662" s="7"/>
      <c r="F662" s="7">
        <v>-25</v>
      </c>
      <c r="G662" s="7">
        <v>-100</v>
      </c>
      <c r="H662" s="7">
        <v>-175</v>
      </c>
      <c r="I662" s="7"/>
      <c r="J662" s="7">
        <v>-100</v>
      </c>
      <c r="K662" s="7">
        <v>-1</v>
      </c>
      <c r="L662" s="7">
        <v>-2</v>
      </c>
      <c r="M662" s="7">
        <v>-0.5</v>
      </c>
      <c r="N662" s="7"/>
      <c r="O662" s="7"/>
      <c r="P662" s="7"/>
      <c r="Q662" s="7"/>
      <c r="R662" s="7"/>
      <c r="S662" s="7"/>
      <c r="T662" s="7">
        <v>20</v>
      </c>
    </row>
    <row r="663" spans="1:20" x14ac:dyDescent="0.25">
      <c r="A663" s="3"/>
    </row>
    <row r="664" spans="1:20" x14ac:dyDescent="0.25">
      <c r="A664" s="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x14ac:dyDescent="0.25">
      <c r="A665" s="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x14ac:dyDescent="0.25">
      <c r="A666" s="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x14ac:dyDescent="0.25">
      <c r="A667" s="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x14ac:dyDescent="0.25">
      <c r="A669" s="20"/>
      <c r="B669" s="21" t="s">
        <v>25</v>
      </c>
      <c r="C669" s="22">
        <f t="shared" ref="C669:T669" si="12">SUM(C576:C668)</f>
        <v>3509</v>
      </c>
      <c r="D669" s="22">
        <f t="shared" si="12"/>
        <v>6175</v>
      </c>
      <c r="E669" s="22">
        <f t="shared" si="12"/>
        <v>810</v>
      </c>
      <c r="F669" s="22">
        <f t="shared" si="12"/>
        <v>2225</v>
      </c>
      <c r="G669" s="22">
        <f t="shared" si="12"/>
        <v>4120</v>
      </c>
      <c r="H669" s="22">
        <f t="shared" si="12"/>
        <v>7240</v>
      </c>
      <c r="I669" s="22">
        <f t="shared" si="12"/>
        <v>660</v>
      </c>
      <c r="J669" s="22">
        <f t="shared" si="12"/>
        <v>6059</v>
      </c>
      <c r="K669" s="22">
        <f t="shared" si="12"/>
        <v>220</v>
      </c>
      <c r="L669" s="22">
        <f t="shared" si="12"/>
        <v>233</v>
      </c>
      <c r="M669" s="22">
        <f t="shared" si="12"/>
        <v>21</v>
      </c>
      <c r="N669" s="22">
        <f t="shared" si="12"/>
        <v>67.5</v>
      </c>
      <c r="O669" s="22">
        <f t="shared" si="12"/>
        <v>100</v>
      </c>
      <c r="P669" s="22">
        <f t="shared" si="12"/>
        <v>0</v>
      </c>
      <c r="Q669" s="22"/>
      <c r="R669" s="22"/>
      <c r="S669" s="22">
        <f t="shared" si="12"/>
        <v>184</v>
      </c>
      <c r="T669" s="22">
        <f t="shared" si="12"/>
        <v>67</v>
      </c>
    </row>
    <row r="670" spans="1:20" x14ac:dyDescent="0.25">
      <c r="A670" s="17"/>
      <c r="B670" s="17" t="s">
        <v>28</v>
      </c>
      <c r="C670" s="17">
        <v>1499</v>
      </c>
      <c r="D670" s="17">
        <v>552</v>
      </c>
      <c r="E670" s="17">
        <v>0</v>
      </c>
      <c r="F670" s="17">
        <v>95</v>
      </c>
      <c r="G670" s="17">
        <v>272</v>
      </c>
      <c r="H670" s="17">
        <v>632</v>
      </c>
      <c r="I670" s="17">
        <v>510</v>
      </c>
      <c r="J670" s="17">
        <v>318</v>
      </c>
      <c r="K670" s="17">
        <v>3.8</v>
      </c>
      <c r="L670" s="17">
        <v>7.2</v>
      </c>
      <c r="M670" s="17">
        <v>0.7</v>
      </c>
      <c r="N670" s="17">
        <v>1.2</v>
      </c>
      <c r="O670" s="17">
        <v>0</v>
      </c>
      <c r="P670" s="17">
        <v>0</v>
      </c>
      <c r="Q670" s="17"/>
      <c r="R670" s="17"/>
      <c r="S670" s="17">
        <v>48</v>
      </c>
      <c r="T670" s="17">
        <v>27</v>
      </c>
    </row>
    <row r="671" spans="1:20" x14ac:dyDescent="0.25">
      <c r="A671" s="17"/>
      <c r="B671" s="17" t="s">
        <v>26</v>
      </c>
      <c r="C671" s="18">
        <f>C669/C670</f>
        <v>2.340893929286191</v>
      </c>
      <c r="D671" s="18">
        <f t="shared" ref="D671:S671" si="13">D669/D670</f>
        <v>11.186594202898551</v>
      </c>
      <c r="E671" s="18" t="e">
        <f t="shared" si="13"/>
        <v>#DIV/0!</v>
      </c>
      <c r="F671" s="18">
        <f t="shared" si="13"/>
        <v>23.421052631578949</v>
      </c>
      <c r="G671" s="18">
        <f t="shared" si="13"/>
        <v>15.147058823529411</v>
      </c>
      <c r="H671" s="18">
        <f t="shared" si="13"/>
        <v>11.455696202531646</v>
      </c>
      <c r="I671" s="18">
        <f t="shared" si="13"/>
        <v>1.2941176470588236</v>
      </c>
      <c r="J671" s="18">
        <f t="shared" si="13"/>
        <v>19.053459119496857</v>
      </c>
      <c r="K671" s="18">
        <f t="shared" si="13"/>
        <v>57.894736842105267</v>
      </c>
      <c r="L671" s="18">
        <f t="shared" si="13"/>
        <v>32.361111111111107</v>
      </c>
      <c r="M671" s="18">
        <f t="shared" si="13"/>
        <v>30.000000000000004</v>
      </c>
      <c r="N671" s="18">
        <f t="shared" si="13"/>
        <v>56.25</v>
      </c>
      <c r="O671" s="18" t="e">
        <f t="shared" si="13"/>
        <v>#DIV/0!</v>
      </c>
      <c r="P671" s="18" t="e">
        <f t="shared" si="13"/>
        <v>#DIV/0!</v>
      </c>
      <c r="Q671" s="18"/>
      <c r="R671" s="18"/>
      <c r="S671" s="18">
        <f t="shared" si="13"/>
        <v>3.8333333333333335</v>
      </c>
      <c r="T671" s="18">
        <f t="shared" ref="T671" si="14">T669/T670</f>
        <v>2.4814814814814814</v>
      </c>
    </row>
    <row r="672" spans="1:20" x14ac:dyDescent="0.25">
      <c r="A672" s="21"/>
      <c r="B672" s="21" t="s">
        <v>102</v>
      </c>
      <c r="C672" s="21">
        <f>C670*31</f>
        <v>46469</v>
      </c>
      <c r="D672" s="21">
        <f>D670*31</f>
        <v>17112</v>
      </c>
      <c r="E672" s="21">
        <f t="shared" ref="E672:T672" si="15">E670*31</f>
        <v>0</v>
      </c>
      <c r="F672" s="21">
        <f t="shared" si="15"/>
        <v>2945</v>
      </c>
      <c r="G672" s="21">
        <f t="shared" si="15"/>
        <v>8432</v>
      </c>
      <c r="H672" s="21">
        <f t="shared" si="15"/>
        <v>19592</v>
      </c>
      <c r="I672" s="21">
        <f t="shared" si="15"/>
        <v>15810</v>
      </c>
      <c r="J672" s="21">
        <f t="shared" si="15"/>
        <v>9858</v>
      </c>
      <c r="K672" s="21">
        <f t="shared" si="15"/>
        <v>117.8</v>
      </c>
      <c r="L672" s="21">
        <f t="shared" si="15"/>
        <v>223.20000000000002</v>
      </c>
      <c r="M672" s="21">
        <f t="shared" si="15"/>
        <v>21.7</v>
      </c>
      <c r="N672" s="21">
        <f t="shared" si="15"/>
        <v>37.199999999999996</v>
      </c>
      <c r="O672" s="21">
        <f t="shared" si="15"/>
        <v>0</v>
      </c>
      <c r="P672" s="21">
        <f t="shared" si="15"/>
        <v>0</v>
      </c>
      <c r="Q672" s="21"/>
      <c r="R672" s="21"/>
      <c r="S672" s="21">
        <f t="shared" si="15"/>
        <v>1488</v>
      </c>
      <c r="T672" s="21">
        <f t="shared" si="15"/>
        <v>837</v>
      </c>
    </row>
    <row r="673" spans="1:20" x14ac:dyDescent="0.25">
      <c r="A673" s="21"/>
      <c r="B673" s="21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7" spans="1:20" ht="26" x14ac:dyDescent="0.6">
      <c r="I677" s="34">
        <v>45901</v>
      </c>
    </row>
    <row r="678" spans="1:20" x14ac:dyDescent="0.25">
      <c r="A678" s="28"/>
      <c r="B678" s="28"/>
      <c r="C678" s="28"/>
      <c r="D678" s="28"/>
      <c r="E678" s="28"/>
      <c r="F678" s="7"/>
      <c r="G678" s="7"/>
      <c r="H678" s="7"/>
      <c r="I678" s="7"/>
      <c r="J678" s="7"/>
      <c r="K678" s="7"/>
      <c r="L678" s="7"/>
      <c r="M678" s="7"/>
      <c r="N678" s="7"/>
      <c r="O678" s="28"/>
      <c r="P678" s="28"/>
      <c r="Q678" s="28"/>
      <c r="R678" s="28"/>
      <c r="S678" s="28"/>
      <c r="T678" s="28"/>
    </row>
    <row r="679" spans="1:20" x14ac:dyDescent="0.25">
      <c r="A679" s="28"/>
      <c r="B679" s="28"/>
      <c r="C679" s="28"/>
      <c r="D679" s="28"/>
      <c r="E679" s="28"/>
      <c r="F679" s="7"/>
      <c r="G679" s="7"/>
      <c r="H679" s="7"/>
      <c r="I679" s="7"/>
      <c r="J679" s="7"/>
      <c r="K679" s="7"/>
      <c r="L679" s="7"/>
      <c r="M679" s="7"/>
      <c r="N679" s="7"/>
      <c r="O679" s="28"/>
      <c r="P679" s="28"/>
      <c r="Q679" s="28"/>
      <c r="R679" s="28"/>
      <c r="S679" s="28"/>
      <c r="T679" s="28"/>
    </row>
    <row r="680" spans="1:20" x14ac:dyDescent="0.25">
      <c r="A680" s="3">
        <v>45901</v>
      </c>
      <c r="B680" s="9" t="s">
        <v>0</v>
      </c>
      <c r="C680" s="10">
        <v>3800</v>
      </c>
      <c r="D680" s="9">
        <v>5050</v>
      </c>
      <c r="E680" s="7">
        <v>810</v>
      </c>
      <c r="F680" s="9">
        <v>2225</v>
      </c>
      <c r="G680" s="9">
        <v>4000</v>
      </c>
      <c r="H680" s="9">
        <v>7800</v>
      </c>
      <c r="I680" s="9">
        <v>950</v>
      </c>
      <c r="J680" s="9">
        <v>4200</v>
      </c>
      <c r="K680" s="9">
        <v>226</v>
      </c>
      <c r="L680" s="9">
        <v>227</v>
      </c>
      <c r="M680" s="9">
        <v>22.3</v>
      </c>
      <c r="N680" s="9">
        <v>67.7</v>
      </c>
      <c r="O680" s="9">
        <v>100</v>
      </c>
      <c r="P680" s="9">
        <v>0</v>
      </c>
      <c r="Q680" s="9"/>
      <c r="R680" s="9"/>
      <c r="S680" s="9">
        <v>144</v>
      </c>
      <c r="T680" s="9">
        <v>30</v>
      </c>
    </row>
    <row r="681" spans="1:20" x14ac:dyDescent="0.25">
      <c r="A681" s="3">
        <v>45901</v>
      </c>
      <c r="B681" s="7" t="s">
        <v>20</v>
      </c>
      <c r="C681" s="7">
        <v>-2800</v>
      </c>
      <c r="D681" s="7">
        <v>-875</v>
      </c>
      <c r="E681" s="7"/>
      <c r="F681" s="7">
        <v>-175</v>
      </c>
      <c r="G681" s="7">
        <v>-630</v>
      </c>
      <c r="H681" s="7">
        <v>-1190</v>
      </c>
      <c r="I681" s="7">
        <v>-770</v>
      </c>
      <c r="J681" s="7">
        <v>-560</v>
      </c>
      <c r="K681" s="7">
        <v>-7</v>
      </c>
      <c r="L681" s="7">
        <v>-21</v>
      </c>
      <c r="M681" s="7"/>
      <c r="N681" s="7">
        <v>-3.5</v>
      </c>
      <c r="O681" s="7"/>
      <c r="P681" s="7"/>
      <c r="Q681" s="7"/>
      <c r="R681" s="7"/>
      <c r="S681" s="7">
        <v>140</v>
      </c>
      <c r="T681" s="13"/>
    </row>
    <row r="682" spans="1:20" x14ac:dyDescent="0.25">
      <c r="A682" s="3">
        <v>45901</v>
      </c>
      <c r="B682" s="7" t="s">
        <v>33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>
        <v>-48</v>
      </c>
      <c r="T682" s="7">
        <v>-31</v>
      </c>
    </row>
    <row r="683" spans="1:20" x14ac:dyDescent="0.25">
      <c r="A683" s="3">
        <v>45901</v>
      </c>
      <c r="B683" s="7" t="s">
        <v>126</v>
      </c>
      <c r="C683" s="7">
        <v>-380</v>
      </c>
      <c r="D683" s="7">
        <v>-220</v>
      </c>
      <c r="E683" s="7"/>
      <c r="F683" s="7">
        <v>-25</v>
      </c>
      <c r="G683" s="7">
        <v>-100</v>
      </c>
      <c r="H683" s="7">
        <v>-175</v>
      </c>
      <c r="I683" s="7"/>
      <c r="J683" s="7">
        <v>-100</v>
      </c>
      <c r="K683" s="7">
        <v>-1</v>
      </c>
      <c r="L683" s="7">
        <v>-2</v>
      </c>
      <c r="M683" s="7">
        <v>-0.5</v>
      </c>
      <c r="N683" s="7"/>
      <c r="O683" s="7"/>
      <c r="P683" s="7"/>
      <c r="Q683" s="7"/>
      <c r="R683" s="7"/>
      <c r="S683" s="7"/>
      <c r="T683" s="7">
        <v>20</v>
      </c>
    </row>
    <row r="684" spans="1:20" x14ac:dyDescent="0.25">
      <c r="A684" s="3">
        <v>45902</v>
      </c>
      <c r="B684" s="7" t="s">
        <v>132</v>
      </c>
      <c r="C684" s="7">
        <v>-3040</v>
      </c>
      <c r="D684" s="7">
        <v>-1760</v>
      </c>
      <c r="E684" s="7"/>
      <c r="F684" s="7">
        <v>-200</v>
      </c>
      <c r="G684" s="7">
        <v>-800</v>
      </c>
      <c r="H684" s="7">
        <v>-1400</v>
      </c>
      <c r="I684" s="7"/>
      <c r="J684" s="7">
        <v>-800</v>
      </c>
      <c r="K684" s="7">
        <v>-8</v>
      </c>
      <c r="L684" s="7">
        <v>-16</v>
      </c>
      <c r="M684" s="7">
        <v>-4</v>
      </c>
      <c r="N684" s="7"/>
      <c r="O684" s="7"/>
      <c r="P684" s="7"/>
      <c r="Q684" s="7"/>
      <c r="R684" s="7"/>
      <c r="S684" s="7"/>
      <c r="T684" s="7">
        <v>160</v>
      </c>
    </row>
    <row r="685" spans="1:20" x14ac:dyDescent="0.25">
      <c r="A685" s="3">
        <v>45902</v>
      </c>
      <c r="B685" s="7" t="s">
        <v>33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>
        <v>-48</v>
      </c>
      <c r="T685" s="7">
        <v>-31</v>
      </c>
    </row>
    <row r="686" spans="1:20" x14ac:dyDescent="0.25">
      <c r="A686" s="3">
        <v>45902</v>
      </c>
      <c r="B686" s="7" t="s">
        <v>89</v>
      </c>
      <c r="C686" s="7">
        <v>12600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x14ac:dyDescent="0.25">
      <c r="A687" s="3">
        <v>45902</v>
      </c>
      <c r="B687" s="7" t="s">
        <v>89</v>
      </c>
      <c r="C687" s="7">
        <v>12240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x14ac:dyDescent="0.25">
      <c r="A688" s="3">
        <v>45902</v>
      </c>
      <c r="B688" s="7" t="s">
        <v>134</v>
      </c>
      <c r="C688" s="7">
        <v>569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x14ac:dyDescent="0.25">
      <c r="A689" s="3">
        <v>45902</v>
      </c>
      <c r="B689" s="7" t="s">
        <v>135</v>
      </c>
      <c r="C689" s="7">
        <v>401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x14ac:dyDescent="0.25">
      <c r="A690" s="3">
        <v>45903</v>
      </c>
      <c r="B690" s="7" t="s">
        <v>33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>
        <v>-48</v>
      </c>
      <c r="T690" s="7">
        <v>-31</v>
      </c>
    </row>
    <row r="691" spans="1:20" x14ac:dyDescent="0.25">
      <c r="A691" s="3">
        <v>45903</v>
      </c>
      <c r="B691" s="7" t="s">
        <v>54</v>
      </c>
      <c r="C691" s="7"/>
      <c r="D691" s="7"/>
      <c r="E691" s="7"/>
      <c r="F691" s="7"/>
      <c r="G691" s="7"/>
      <c r="H691" s="7"/>
      <c r="I691" s="7">
        <v>8000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x14ac:dyDescent="0.25">
      <c r="A692" s="3">
        <v>45904</v>
      </c>
      <c r="B692" s="7" t="s">
        <v>131</v>
      </c>
      <c r="C692" s="7"/>
      <c r="D692" s="7">
        <v>12300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x14ac:dyDescent="0.25">
      <c r="A693" s="3">
        <v>45904</v>
      </c>
      <c r="B693" s="7" t="s">
        <v>33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>
        <v>-48</v>
      </c>
      <c r="T693" s="7">
        <v>-31</v>
      </c>
    </row>
    <row r="694" spans="1:20" x14ac:dyDescent="0.25">
      <c r="A694" s="3">
        <v>45904</v>
      </c>
      <c r="B694" s="7" t="s">
        <v>96</v>
      </c>
      <c r="C694" s="7">
        <v>-3200</v>
      </c>
      <c r="D694" s="7">
        <v>-1000</v>
      </c>
      <c r="E694" s="7"/>
      <c r="F694" s="7">
        <v>-200</v>
      </c>
      <c r="G694" s="7">
        <v>-720</v>
      </c>
      <c r="H694" s="7">
        <v>-1360</v>
      </c>
      <c r="I694" s="7">
        <v>-880</v>
      </c>
      <c r="J694" s="7">
        <v>-640</v>
      </c>
      <c r="K694" s="7">
        <v>-8</v>
      </c>
      <c r="L694" s="7">
        <v>-24</v>
      </c>
      <c r="M694" s="7"/>
      <c r="N694" s="7">
        <v>-4</v>
      </c>
      <c r="O694" s="7"/>
      <c r="P694" s="7"/>
      <c r="Q694" s="7"/>
      <c r="R694" s="7"/>
      <c r="S694" s="7">
        <v>160</v>
      </c>
      <c r="T694" s="7"/>
    </row>
    <row r="695" spans="1:20" x14ac:dyDescent="0.25">
      <c r="A695" s="3">
        <v>45904</v>
      </c>
      <c r="B695" s="7" t="s">
        <v>122</v>
      </c>
      <c r="C695" s="7">
        <v>-1140</v>
      </c>
      <c r="D695" s="7">
        <v>-660</v>
      </c>
      <c r="E695" s="7"/>
      <c r="F695" s="7">
        <v>-75</v>
      </c>
      <c r="G695" s="7">
        <v>-300</v>
      </c>
      <c r="H695" s="7">
        <v>-525</v>
      </c>
      <c r="I695" s="7"/>
      <c r="J695" s="7">
        <v>-300</v>
      </c>
      <c r="K695" s="7">
        <v>-3</v>
      </c>
      <c r="L695" s="7">
        <v>-6</v>
      </c>
      <c r="M695" s="7">
        <v>-1.5</v>
      </c>
      <c r="N695" s="7"/>
      <c r="O695" s="7"/>
      <c r="P695" s="7"/>
      <c r="Q695" s="7"/>
      <c r="R695" s="7"/>
      <c r="S695" s="7"/>
      <c r="T695" s="7">
        <v>60</v>
      </c>
    </row>
    <row r="696" spans="1:20" x14ac:dyDescent="0.25">
      <c r="A696" s="3">
        <v>45905</v>
      </c>
      <c r="B696" s="7" t="s">
        <v>133</v>
      </c>
      <c r="C696" s="7">
        <v>12000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x14ac:dyDescent="0.25">
      <c r="A697" s="3">
        <v>45905</v>
      </c>
      <c r="B697" s="7" t="s">
        <v>33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>
        <v>-48</v>
      </c>
      <c r="T697" s="7">
        <v>-31</v>
      </c>
    </row>
    <row r="698" spans="1:20" x14ac:dyDescent="0.25">
      <c r="A698" s="3">
        <v>45905</v>
      </c>
      <c r="B698" s="7" t="s">
        <v>2</v>
      </c>
      <c r="C698" s="7">
        <v>-1600</v>
      </c>
      <c r="D698" s="7">
        <v>-500</v>
      </c>
      <c r="E698" s="7"/>
      <c r="F698" s="7">
        <v>-100</v>
      </c>
      <c r="G698" s="7">
        <v>-360</v>
      </c>
      <c r="H698" s="7">
        <v>-680</v>
      </c>
      <c r="I698" s="7">
        <v>-440</v>
      </c>
      <c r="J698" s="7">
        <v>-320</v>
      </c>
      <c r="K698" s="7">
        <v>-4</v>
      </c>
      <c r="L698" s="7">
        <v>-12</v>
      </c>
      <c r="M698" s="7"/>
      <c r="N698" s="7">
        <v>-2</v>
      </c>
      <c r="O698" s="7"/>
      <c r="P698" s="7"/>
      <c r="Q698" s="7"/>
      <c r="R698" s="7"/>
      <c r="S698" s="7">
        <v>80</v>
      </c>
      <c r="T698" s="7"/>
    </row>
    <row r="699" spans="1:20" x14ac:dyDescent="0.25">
      <c r="A699" s="3">
        <v>45905</v>
      </c>
      <c r="B699" s="7" t="s">
        <v>129</v>
      </c>
      <c r="C699" s="7">
        <v>-1520</v>
      </c>
      <c r="D699" s="7">
        <v>-880</v>
      </c>
      <c r="E699" s="7"/>
      <c r="F699" s="7">
        <v>-100</v>
      </c>
      <c r="G699" s="7">
        <v>-400</v>
      </c>
      <c r="H699" s="7">
        <v>-700</v>
      </c>
      <c r="I699" s="7"/>
      <c r="J699" s="7">
        <v>-400</v>
      </c>
      <c r="K699" s="7">
        <v>-4</v>
      </c>
      <c r="L699" s="7">
        <v>-8</v>
      </c>
      <c r="M699" s="7">
        <v>-2</v>
      </c>
      <c r="N699" s="7"/>
      <c r="O699" s="7"/>
      <c r="P699" s="7"/>
      <c r="Q699" s="7"/>
      <c r="R699" s="7"/>
      <c r="S699" s="7"/>
      <c r="T699" s="7">
        <v>80</v>
      </c>
    </row>
    <row r="700" spans="1:20" x14ac:dyDescent="0.25">
      <c r="A700" s="3">
        <v>45906</v>
      </c>
      <c r="B700" s="7" t="s">
        <v>33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>
        <v>-48</v>
      </c>
      <c r="T700" s="7">
        <v>-31</v>
      </c>
    </row>
    <row r="701" spans="1:20" x14ac:dyDescent="0.25">
      <c r="A701" s="3">
        <v>45906</v>
      </c>
      <c r="B701" s="7" t="s">
        <v>2</v>
      </c>
      <c r="C701" s="7">
        <v>-1600</v>
      </c>
      <c r="D701" s="7">
        <v>-500</v>
      </c>
      <c r="E701" s="7"/>
      <c r="F701" s="7">
        <v>-100</v>
      </c>
      <c r="G701" s="7">
        <v>-360</v>
      </c>
      <c r="H701" s="7">
        <v>-680</v>
      </c>
      <c r="I701" s="7">
        <v>-440</v>
      </c>
      <c r="J701" s="7">
        <v>-320</v>
      </c>
      <c r="K701" s="7">
        <v>-4</v>
      </c>
      <c r="L701" s="7">
        <v>-12</v>
      </c>
      <c r="M701" s="7"/>
      <c r="N701" s="7">
        <v>-2</v>
      </c>
      <c r="O701" s="7"/>
      <c r="P701" s="7"/>
      <c r="Q701" s="7"/>
      <c r="R701" s="7"/>
      <c r="S701" s="7">
        <v>80</v>
      </c>
      <c r="T701" s="7"/>
    </row>
    <row r="702" spans="1:20" x14ac:dyDescent="0.25">
      <c r="A702" s="3">
        <v>45907</v>
      </c>
      <c r="B702" s="7" t="s">
        <v>33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>
        <v>-48</v>
      </c>
      <c r="T702" s="7">
        <v>-31</v>
      </c>
    </row>
    <row r="703" spans="1:20" x14ac:dyDescent="0.25">
      <c r="A703" s="3">
        <v>45908</v>
      </c>
      <c r="B703" s="7" t="s">
        <v>33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>
        <v>-48</v>
      </c>
      <c r="T703" s="7">
        <v>-31</v>
      </c>
    </row>
    <row r="704" spans="1:20" x14ac:dyDescent="0.25">
      <c r="A704" s="3">
        <v>45909</v>
      </c>
      <c r="B704" s="7" t="s">
        <v>37</v>
      </c>
      <c r="C704" s="7">
        <v>215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x14ac:dyDescent="0.25">
      <c r="A705" s="3">
        <v>45909</v>
      </c>
      <c r="B705" s="7" t="s">
        <v>33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>
        <v>-48</v>
      </c>
      <c r="T705" s="7">
        <v>-31</v>
      </c>
    </row>
    <row r="706" spans="1:20" x14ac:dyDescent="0.25">
      <c r="A706" s="3">
        <v>45910</v>
      </c>
      <c r="B706" s="7" t="s">
        <v>33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>
        <v>-48</v>
      </c>
      <c r="T706" s="7">
        <v>-31</v>
      </c>
    </row>
    <row r="707" spans="1:20" x14ac:dyDescent="0.25">
      <c r="A707" s="3">
        <v>45911</v>
      </c>
      <c r="B707" s="7" t="s">
        <v>136</v>
      </c>
      <c r="C707" s="7"/>
      <c r="D707" s="7"/>
      <c r="E707" s="7"/>
      <c r="F707" s="7"/>
      <c r="G707" s="7"/>
      <c r="H707" s="7">
        <v>10000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x14ac:dyDescent="0.25">
      <c r="A708" s="3">
        <v>45911</v>
      </c>
      <c r="B708" s="7" t="s">
        <v>55</v>
      </c>
      <c r="C708" s="7"/>
      <c r="D708" s="7"/>
      <c r="E708" s="7"/>
      <c r="F708" s="7"/>
      <c r="G708" s="7"/>
      <c r="H708" s="7"/>
      <c r="I708" s="7"/>
      <c r="J708" s="7">
        <v>2400</v>
      </c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x14ac:dyDescent="0.25">
      <c r="A709" s="3">
        <v>45911</v>
      </c>
      <c r="B709" s="7" t="s">
        <v>33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>
        <v>-48</v>
      </c>
      <c r="T709" s="7">
        <v>-31</v>
      </c>
    </row>
    <row r="710" spans="1:20" x14ac:dyDescent="0.25">
      <c r="A710" s="3">
        <v>45911</v>
      </c>
      <c r="B710" s="7" t="s">
        <v>69</v>
      </c>
      <c r="C710" s="7">
        <v>-2400</v>
      </c>
      <c r="D710" s="7">
        <v>-775</v>
      </c>
      <c r="E710" s="7"/>
      <c r="F710" s="7">
        <v>-150</v>
      </c>
      <c r="G710" s="7">
        <v>-540</v>
      </c>
      <c r="H710" s="7">
        <v>-1020</v>
      </c>
      <c r="I710" s="7">
        <v>-660</v>
      </c>
      <c r="J710" s="7">
        <v>-240</v>
      </c>
      <c r="K710" s="7">
        <v>-6</v>
      </c>
      <c r="L710" s="7">
        <v>-18</v>
      </c>
      <c r="M710" s="7"/>
      <c r="N710" s="7">
        <v>-3</v>
      </c>
      <c r="O710" s="7"/>
      <c r="P710" s="7"/>
      <c r="Q710" s="7"/>
      <c r="R710" s="7"/>
      <c r="S710" s="7">
        <v>120</v>
      </c>
      <c r="T710" s="7"/>
    </row>
    <row r="711" spans="1:20" x14ac:dyDescent="0.25">
      <c r="A711" s="3">
        <v>45911</v>
      </c>
      <c r="B711" s="7" t="s">
        <v>124</v>
      </c>
      <c r="C711" s="7">
        <v>-760</v>
      </c>
      <c r="D711" s="7">
        <v>-440</v>
      </c>
      <c r="E711" s="7"/>
      <c r="F711" s="7">
        <v>-50</v>
      </c>
      <c r="G711" s="7">
        <v>-200</v>
      </c>
      <c r="H711" s="7">
        <v>-350</v>
      </c>
      <c r="I711" s="7"/>
      <c r="J711" s="7">
        <v>-200</v>
      </c>
      <c r="K711" s="7">
        <v>-2</v>
      </c>
      <c r="L711" s="7">
        <v>-4</v>
      </c>
      <c r="M711" s="7">
        <v>-1</v>
      </c>
      <c r="N711" s="7"/>
      <c r="O711" s="7"/>
      <c r="P711" s="7"/>
      <c r="Q711" s="7"/>
      <c r="R711" s="7"/>
      <c r="S711" s="7"/>
      <c r="T711" s="7">
        <v>40</v>
      </c>
    </row>
    <row r="712" spans="1:20" x14ac:dyDescent="0.25">
      <c r="A712" s="3">
        <v>45912</v>
      </c>
      <c r="B712" s="7" t="s">
        <v>33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>
        <v>-48</v>
      </c>
      <c r="T712" s="7">
        <v>-31</v>
      </c>
    </row>
    <row r="713" spans="1:20" x14ac:dyDescent="0.25">
      <c r="A713" s="3">
        <v>45912</v>
      </c>
      <c r="B713" s="7" t="s">
        <v>2</v>
      </c>
      <c r="C713" s="7">
        <v>-1600</v>
      </c>
      <c r="D713" s="7">
        <v>-500</v>
      </c>
      <c r="E713" s="7"/>
      <c r="F713" s="7">
        <v>-100</v>
      </c>
      <c r="G713" s="7">
        <v>-360</v>
      </c>
      <c r="H713" s="7">
        <v>-680</v>
      </c>
      <c r="I713" s="7">
        <v>-440</v>
      </c>
      <c r="J713" s="7">
        <v>-320</v>
      </c>
      <c r="K713" s="7">
        <v>-4</v>
      </c>
      <c r="L713" s="7">
        <v>-12</v>
      </c>
      <c r="M713" s="7"/>
      <c r="N713" s="7">
        <v>-2</v>
      </c>
      <c r="O713" s="7"/>
      <c r="P713" s="7"/>
      <c r="Q713" s="7"/>
      <c r="R713" s="7"/>
      <c r="S713" s="7">
        <v>80</v>
      </c>
      <c r="T713" s="7"/>
    </row>
    <row r="714" spans="1:20" x14ac:dyDescent="0.25">
      <c r="A714" s="3">
        <v>45912</v>
      </c>
      <c r="B714" s="7" t="s">
        <v>129</v>
      </c>
      <c r="C714" s="7">
        <v>-1520</v>
      </c>
      <c r="D714" s="7">
        <v>-880</v>
      </c>
      <c r="E714" s="7"/>
      <c r="F714" s="7">
        <v>-100</v>
      </c>
      <c r="G714" s="7">
        <v>-400</v>
      </c>
      <c r="H714" s="7">
        <v>-700</v>
      </c>
      <c r="I714" s="7"/>
      <c r="J714" s="7">
        <v>-400</v>
      </c>
      <c r="K714" s="7">
        <v>-4</v>
      </c>
      <c r="L714" s="7">
        <v>-8</v>
      </c>
      <c r="M714" s="7">
        <v>-2</v>
      </c>
      <c r="N714" s="7"/>
      <c r="O714" s="7"/>
      <c r="P714" s="7"/>
      <c r="Q714" s="7"/>
      <c r="R714" s="7"/>
      <c r="S714" s="7"/>
      <c r="T714" s="7">
        <v>80</v>
      </c>
    </row>
    <row r="715" spans="1:20" x14ac:dyDescent="0.25">
      <c r="A715" s="3">
        <v>45912</v>
      </c>
      <c r="B715" s="7" t="s">
        <v>8</v>
      </c>
      <c r="C715" s="7"/>
      <c r="D715" s="7"/>
      <c r="E715" s="7"/>
      <c r="F715" s="7"/>
      <c r="G715" s="7">
        <v>11000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x14ac:dyDescent="0.25">
      <c r="A716" s="3">
        <v>45913</v>
      </c>
      <c r="B716" s="7" t="s">
        <v>33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>
        <v>-48</v>
      </c>
      <c r="T716" s="7">
        <v>-31</v>
      </c>
    </row>
    <row r="717" spans="1:20" x14ac:dyDescent="0.25">
      <c r="A717" s="3">
        <v>45913</v>
      </c>
      <c r="B717" s="7" t="s">
        <v>124</v>
      </c>
      <c r="C717" s="7">
        <v>-760</v>
      </c>
      <c r="D717" s="7">
        <v>-440</v>
      </c>
      <c r="E717" s="7"/>
      <c r="F717" s="7">
        <v>-50</v>
      </c>
      <c r="G717" s="7">
        <v>-200</v>
      </c>
      <c r="H717" s="7">
        <v>-350</v>
      </c>
      <c r="I717" s="7"/>
      <c r="J717" s="7">
        <v>-200</v>
      </c>
      <c r="K717" s="7">
        <v>-2</v>
      </c>
      <c r="L717" s="7">
        <v>-4</v>
      </c>
      <c r="M717" s="7">
        <v>-1</v>
      </c>
      <c r="N717" s="7"/>
      <c r="O717" s="7"/>
      <c r="P717" s="7"/>
      <c r="Q717" s="7"/>
      <c r="R717" s="7"/>
      <c r="S717" s="7"/>
      <c r="T717" s="7">
        <v>40</v>
      </c>
    </row>
    <row r="718" spans="1:20" x14ac:dyDescent="0.25">
      <c r="A718" s="3">
        <v>45913</v>
      </c>
      <c r="B718" s="7" t="s">
        <v>81</v>
      </c>
      <c r="C718" s="7">
        <v>-1200</v>
      </c>
      <c r="D718" s="7">
        <v>-375</v>
      </c>
      <c r="E718" s="7"/>
      <c r="F718" s="7">
        <v>-75</v>
      </c>
      <c r="G718" s="7">
        <v>-270</v>
      </c>
      <c r="H718" s="7">
        <v>-510</v>
      </c>
      <c r="I718" s="7">
        <v>-330</v>
      </c>
      <c r="J718" s="7">
        <v>-240</v>
      </c>
      <c r="K718" s="7">
        <v>-3</v>
      </c>
      <c r="L718" s="7">
        <v>-9</v>
      </c>
      <c r="M718" s="7"/>
      <c r="N718" s="7">
        <v>-1.5</v>
      </c>
      <c r="O718" s="7"/>
      <c r="P718" s="7"/>
      <c r="Q718" s="7"/>
      <c r="R718" s="7"/>
      <c r="S718" s="7">
        <v>60</v>
      </c>
      <c r="T718" s="7"/>
    </row>
    <row r="719" spans="1:20" x14ac:dyDescent="0.25">
      <c r="A719" s="3">
        <v>45914</v>
      </c>
      <c r="B719" s="7" t="s">
        <v>33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>
        <v>-48</v>
      </c>
      <c r="T719" s="7">
        <v>-31</v>
      </c>
    </row>
    <row r="720" spans="1:20" x14ac:dyDescent="0.25">
      <c r="A720" s="3">
        <v>45915</v>
      </c>
      <c r="B720" s="7" t="s">
        <v>52</v>
      </c>
      <c r="C720" s="7">
        <v>-4000</v>
      </c>
      <c r="D720" s="7">
        <v>-1250</v>
      </c>
      <c r="E720" s="7"/>
      <c r="F720" s="7">
        <v>-250</v>
      </c>
      <c r="G720" s="7">
        <v>-900</v>
      </c>
      <c r="H720" s="7">
        <v>-1700</v>
      </c>
      <c r="I720" s="7">
        <v>-1100</v>
      </c>
      <c r="J720" s="7">
        <v>-800</v>
      </c>
      <c r="K720" s="7">
        <v>-10</v>
      </c>
      <c r="L720" s="7">
        <v>-30</v>
      </c>
      <c r="M720" s="7"/>
      <c r="N720" s="7">
        <v>-5</v>
      </c>
      <c r="O720" s="7"/>
      <c r="P720" s="7"/>
      <c r="Q720" s="7"/>
      <c r="R720" s="7"/>
      <c r="S720" s="7">
        <v>200</v>
      </c>
      <c r="T720" s="7"/>
    </row>
    <row r="721" spans="1:20" x14ac:dyDescent="0.25">
      <c r="A721" s="3">
        <v>45915</v>
      </c>
      <c r="B721" s="7" t="s">
        <v>33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>
        <v>-48</v>
      </c>
      <c r="T721" s="7">
        <v>-31</v>
      </c>
    </row>
    <row r="722" spans="1:20" x14ac:dyDescent="0.25">
      <c r="A722" s="3">
        <v>45916</v>
      </c>
      <c r="B722" s="7" t="s">
        <v>81</v>
      </c>
      <c r="C722" s="7">
        <v>-1200</v>
      </c>
      <c r="D722" s="7">
        <v>-375</v>
      </c>
      <c r="E722" s="7"/>
      <c r="F722" s="7">
        <v>-75</v>
      </c>
      <c r="G722" s="7">
        <v>-270</v>
      </c>
      <c r="H722" s="7">
        <v>-510</v>
      </c>
      <c r="I722" s="7">
        <v>-330</v>
      </c>
      <c r="J722" s="7">
        <v>-240</v>
      </c>
      <c r="K722" s="7">
        <v>-3</v>
      </c>
      <c r="L722" s="7">
        <v>-9</v>
      </c>
      <c r="M722" s="7"/>
      <c r="N722" s="7">
        <v>-1.5</v>
      </c>
      <c r="O722" s="7"/>
      <c r="P722" s="7"/>
      <c r="Q722" s="7"/>
      <c r="R722" s="7"/>
      <c r="S722" s="7">
        <v>60</v>
      </c>
      <c r="T722" s="7"/>
    </row>
    <row r="723" spans="1:20" x14ac:dyDescent="0.25">
      <c r="A723" s="3">
        <v>45916</v>
      </c>
      <c r="B723" s="7" t="s">
        <v>122</v>
      </c>
      <c r="C723" s="7">
        <v>-1140</v>
      </c>
      <c r="D723" s="7">
        <v>-660</v>
      </c>
      <c r="E723" s="7"/>
      <c r="F723" s="7">
        <v>-75</v>
      </c>
      <c r="G723" s="7">
        <v>-300</v>
      </c>
      <c r="H723" s="7">
        <v>-525</v>
      </c>
      <c r="I723" s="7"/>
      <c r="J723" s="7">
        <v>-300</v>
      </c>
      <c r="K723" s="7">
        <v>-3</v>
      </c>
      <c r="L723" s="7">
        <v>-6</v>
      </c>
      <c r="M723" s="7">
        <v>-1.5</v>
      </c>
      <c r="N723" s="7"/>
      <c r="O723" s="7"/>
      <c r="P723" s="7"/>
      <c r="Q723" s="7"/>
      <c r="R723" s="7"/>
      <c r="S723" s="7"/>
      <c r="T723" s="7">
        <v>60</v>
      </c>
    </row>
    <row r="724" spans="1:20" x14ac:dyDescent="0.25">
      <c r="A724" s="3">
        <v>45916</v>
      </c>
      <c r="B724" s="7" t="s">
        <v>33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>
        <v>-48</v>
      </c>
      <c r="T724" s="7">
        <v>-31</v>
      </c>
    </row>
    <row r="725" spans="1:20" x14ac:dyDescent="0.25">
      <c r="A725" s="3">
        <v>45917</v>
      </c>
      <c r="B725" s="7" t="s">
        <v>33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>
        <v>-48</v>
      </c>
      <c r="T725" s="7">
        <v>-31</v>
      </c>
    </row>
    <row r="726" spans="1:20" x14ac:dyDescent="0.25">
      <c r="A726" s="3">
        <v>45917</v>
      </c>
      <c r="B726" s="7" t="s">
        <v>129</v>
      </c>
      <c r="C726" s="7">
        <v>-1520</v>
      </c>
      <c r="D726" s="7">
        <v>-880</v>
      </c>
      <c r="E726" s="7"/>
      <c r="F726" s="7">
        <v>-100</v>
      </c>
      <c r="G726" s="7">
        <v>-400</v>
      </c>
      <c r="H726" s="7">
        <v>-700</v>
      </c>
      <c r="I726" s="7"/>
      <c r="J726" s="7">
        <v>-400</v>
      </c>
      <c r="K726" s="7">
        <v>-4</v>
      </c>
      <c r="L726" s="7">
        <v>-8</v>
      </c>
      <c r="M726" s="7">
        <v>-2</v>
      </c>
      <c r="N726" s="7"/>
      <c r="O726" s="7"/>
      <c r="P726" s="7"/>
      <c r="Q726" s="7"/>
      <c r="R726" s="7"/>
      <c r="S726" s="7"/>
      <c r="T726" s="7">
        <v>80</v>
      </c>
    </row>
    <row r="727" spans="1:20" x14ac:dyDescent="0.25">
      <c r="A727" s="3">
        <v>45917</v>
      </c>
      <c r="B727" s="7" t="s">
        <v>31</v>
      </c>
      <c r="C727" s="7">
        <v>-400</v>
      </c>
      <c r="D727" s="7">
        <v>-125</v>
      </c>
      <c r="E727" s="7"/>
      <c r="F727" s="7">
        <v>-25</v>
      </c>
      <c r="G727" s="7">
        <v>-90</v>
      </c>
      <c r="H727" s="7">
        <v>-250</v>
      </c>
      <c r="I727" s="7">
        <v>-110</v>
      </c>
      <c r="J727" s="7">
        <v>-80</v>
      </c>
      <c r="K727" s="7">
        <v>-1</v>
      </c>
      <c r="L727" s="7">
        <v>-3</v>
      </c>
      <c r="M727" s="7"/>
      <c r="N727" s="7">
        <v>-0.5</v>
      </c>
      <c r="O727" s="7"/>
      <c r="P727" s="7"/>
      <c r="S727" s="4">
        <v>20</v>
      </c>
      <c r="T727" s="7"/>
    </row>
    <row r="728" spans="1:20" x14ac:dyDescent="0.25">
      <c r="A728" s="3">
        <v>45918</v>
      </c>
      <c r="B728" s="7" t="s">
        <v>33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>
        <v>-48</v>
      </c>
      <c r="T728" s="7">
        <v>-31</v>
      </c>
    </row>
    <row r="729" spans="1:20" x14ac:dyDescent="0.25">
      <c r="A729" s="3">
        <v>45919</v>
      </c>
      <c r="B729" s="7" t="s">
        <v>33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>
        <v>-48</v>
      </c>
      <c r="T729" s="7">
        <v>-31</v>
      </c>
    </row>
    <row r="730" spans="1:20" x14ac:dyDescent="0.25">
      <c r="A730" s="3">
        <v>45919</v>
      </c>
      <c r="B730" s="7" t="s">
        <v>55</v>
      </c>
      <c r="C730" s="7"/>
      <c r="D730" s="7"/>
      <c r="E730" s="7"/>
      <c r="F730" s="7"/>
      <c r="G730" s="7"/>
      <c r="H730" s="7"/>
      <c r="I730" s="7"/>
      <c r="J730" s="7">
        <v>10000</v>
      </c>
      <c r="K730" s="7"/>
      <c r="L730" s="7"/>
      <c r="M730" s="7"/>
      <c r="N730" s="7"/>
      <c r="O730" s="7"/>
      <c r="P730" s="7"/>
      <c r="T730" s="7"/>
    </row>
    <row r="731" spans="1:20" x14ac:dyDescent="0.25">
      <c r="A731" s="3">
        <v>45919</v>
      </c>
      <c r="B731" s="7" t="s">
        <v>118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>
        <v>75</v>
      </c>
      <c r="N731" s="7"/>
      <c r="O731" s="7"/>
      <c r="P731" s="7"/>
      <c r="T731" s="7"/>
    </row>
    <row r="732" spans="1:20" x14ac:dyDescent="0.25">
      <c r="A732" s="3">
        <v>45919</v>
      </c>
      <c r="B732" s="7" t="s">
        <v>10</v>
      </c>
      <c r="C732" s="7"/>
      <c r="D732" s="7"/>
      <c r="E732" s="7"/>
      <c r="F732" s="7">
        <v>2500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T732" s="7"/>
    </row>
    <row r="733" spans="1:20" x14ac:dyDescent="0.25">
      <c r="A733" s="3">
        <v>45919</v>
      </c>
      <c r="B733" s="7" t="s">
        <v>1</v>
      </c>
      <c r="C733" s="7">
        <v>-2000</v>
      </c>
      <c r="D733" s="7">
        <v>-625</v>
      </c>
      <c r="E733" s="7"/>
      <c r="F733" s="7">
        <v>-125</v>
      </c>
      <c r="G733" s="7">
        <v>-450</v>
      </c>
      <c r="H733" s="7">
        <v>-850</v>
      </c>
      <c r="I733" s="7">
        <v>-550</v>
      </c>
      <c r="J733" s="7">
        <v>-400</v>
      </c>
      <c r="K733" s="7">
        <v>-5</v>
      </c>
      <c r="L733" s="7">
        <v>-15</v>
      </c>
      <c r="M733" s="7"/>
      <c r="N733" s="7">
        <v>-2.5</v>
      </c>
      <c r="O733" s="7"/>
      <c r="P733" s="7"/>
      <c r="Q733" s="7"/>
      <c r="R733" s="7"/>
      <c r="S733" s="7">
        <v>100</v>
      </c>
      <c r="T733" s="7"/>
    </row>
    <row r="734" spans="1:20" x14ac:dyDescent="0.25">
      <c r="A734" s="3">
        <v>45919</v>
      </c>
      <c r="B734" s="7" t="s">
        <v>13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>
        <v>25</v>
      </c>
      <c r="O734" s="7"/>
      <c r="P734" s="7"/>
      <c r="T734" s="7"/>
    </row>
    <row r="735" spans="1:20" x14ac:dyDescent="0.25">
      <c r="A735" s="3">
        <v>45919</v>
      </c>
      <c r="B735" s="7" t="s">
        <v>12</v>
      </c>
      <c r="C735" s="7"/>
      <c r="D735" s="7"/>
      <c r="E735" s="7"/>
      <c r="F735" s="7"/>
      <c r="G735" s="7"/>
      <c r="H735" s="7"/>
      <c r="I735" s="7"/>
      <c r="J735" s="7"/>
      <c r="K735" s="7"/>
      <c r="L735" s="7">
        <v>275</v>
      </c>
      <c r="M735" s="7"/>
      <c r="N735" s="7"/>
      <c r="O735" s="7"/>
      <c r="P735" s="7"/>
      <c r="T735" s="7"/>
    </row>
    <row r="736" spans="1:20" x14ac:dyDescent="0.25">
      <c r="A736" s="3">
        <v>45920</v>
      </c>
      <c r="B736" s="7" t="s">
        <v>1</v>
      </c>
      <c r="C736" s="7">
        <v>-2000</v>
      </c>
      <c r="D736" s="7">
        <v>-625</v>
      </c>
      <c r="E736" s="7"/>
      <c r="F736" s="7">
        <v>-125</v>
      </c>
      <c r="G736" s="7">
        <v>-450</v>
      </c>
      <c r="H736" s="7">
        <v>-850</v>
      </c>
      <c r="I736" s="7">
        <v>-550</v>
      </c>
      <c r="J736" s="7">
        <v>-400</v>
      </c>
      <c r="K736" s="7">
        <v>-5</v>
      </c>
      <c r="L736" s="7">
        <v>-15</v>
      </c>
      <c r="M736" s="7"/>
      <c r="N736" s="7">
        <v>-2.5</v>
      </c>
      <c r="O736" s="7"/>
      <c r="P736" s="7"/>
      <c r="Q736" s="7"/>
      <c r="R736" s="7"/>
      <c r="S736" s="7">
        <v>100</v>
      </c>
      <c r="T736" s="7"/>
    </row>
    <row r="737" spans="1:20" x14ac:dyDescent="0.25">
      <c r="A737" s="3">
        <v>45920</v>
      </c>
      <c r="B737" s="7" t="s">
        <v>122</v>
      </c>
      <c r="C737" s="7">
        <v>-1140</v>
      </c>
      <c r="D737" s="7">
        <v>-660</v>
      </c>
      <c r="E737" s="7"/>
      <c r="F737" s="7">
        <v>-75</v>
      </c>
      <c r="G737" s="7">
        <v>-300</v>
      </c>
      <c r="H737" s="7">
        <v>-525</v>
      </c>
      <c r="I737" s="7"/>
      <c r="J737" s="7">
        <v>-300</v>
      </c>
      <c r="K737" s="7">
        <v>-3</v>
      </c>
      <c r="L737" s="7">
        <v>-6</v>
      </c>
      <c r="M737" s="7">
        <v>-1.5</v>
      </c>
      <c r="N737" s="7">
        <v>-3</v>
      </c>
      <c r="O737" s="7"/>
      <c r="P737" s="7"/>
      <c r="Q737" s="7"/>
      <c r="R737" s="7"/>
      <c r="S737" s="7"/>
      <c r="T737" s="7">
        <v>60</v>
      </c>
    </row>
    <row r="738" spans="1:20" x14ac:dyDescent="0.25">
      <c r="A738" s="3">
        <v>45920</v>
      </c>
      <c r="B738" s="7" t="s">
        <v>33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>
        <v>-48</v>
      </c>
      <c r="T738" s="7">
        <v>-31</v>
      </c>
    </row>
    <row r="739" spans="1:20" x14ac:dyDescent="0.25">
      <c r="A739" s="3">
        <v>45921</v>
      </c>
      <c r="B739" s="7" t="s">
        <v>33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>
        <v>-48</v>
      </c>
      <c r="T739" s="7">
        <v>-31</v>
      </c>
    </row>
    <row r="740" spans="1:20" x14ac:dyDescent="0.25">
      <c r="A740" s="3">
        <v>45922</v>
      </c>
      <c r="B740" s="7" t="s">
        <v>33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>
        <v>-48</v>
      </c>
      <c r="T740" s="7">
        <v>-31</v>
      </c>
    </row>
    <row r="741" spans="1:20" x14ac:dyDescent="0.25">
      <c r="A741" s="3">
        <v>45922</v>
      </c>
      <c r="B741" s="7" t="s">
        <v>137</v>
      </c>
      <c r="C741" s="7">
        <v>976</v>
      </c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x14ac:dyDescent="0.25">
      <c r="A742" s="3">
        <v>45923</v>
      </c>
      <c r="B742" s="7" t="s">
        <v>33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>
        <v>-48</v>
      </c>
      <c r="T742" s="7">
        <v>-31</v>
      </c>
    </row>
    <row r="743" spans="1:20" x14ac:dyDescent="0.25">
      <c r="A743" s="3">
        <v>45923</v>
      </c>
      <c r="B743" s="7" t="s">
        <v>126</v>
      </c>
      <c r="C743" s="7">
        <v>-380</v>
      </c>
      <c r="D743" s="7">
        <v>-220</v>
      </c>
      <c r="E743" s="7"/>
      <c r="F743" s="7">
        <v>-25</v>
      </c>
      <c r="G743" s="7">
        <v>-100</v>
      </c>
      <c r="H743" s="7">
        <v>-175</v>
      </c>
      <c r="I743" s="7"/>
      <c r="J743" s="7">
        <v>-100</v>
      </c>
      <c r="K743" s="7">
        <v>-1</v>
      </c>
      <c r="L743" s="7">
        <v>-2</v>
      </c>
      <c r="M743" s="7">
        <v>-0.5</v>
      </c>
      <c r="N743" s="7"/>
      <c r="O743" s="7"/>
      <c r="P743" s="7"/>
      <c r="Q743" s="7"/>
      <c r="R743" s="7"/>
      <c r="S743" s="7"/>
      <c r="T743" s="7">
        <v>20</v>
      </c>
    </row>
    <row r="744" spans="1:20" x14ac:dyDescent="0.25">
      <c r="A744" s="3">
        <v>45923</v>
      </c>
      <c r="B744" s="7" t="s">
        <v>130</v>
      </c>
      <c r="C744" s="7">
        <v>114</v>
      </c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x14ac:dyDescent="0.25">
      <c r="A745" s="3">
        <v>45924</v>
      </c>
      <c r="B745" s="7" t="s">
        <v>33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>
        <v>-48</v>
      </c>
      <c r="T745" s="7">
        <v>-31</v>
      </c>
    </row>
    <row r="746" spans="1:20" x14ac:dyDescent="0.25">
      <c r="A746" s="3">
        <v>45924</v>
      </c>
      <c r="B746" s="7" t="s">
        <v>124</v>
      </c>
      <c r="C746" s="7">
        <v>-760</v>
      </c>
      <c r="D746" s="7">
        <v>-440</v>
      </c>
      <c r="E746" s="7"/>
      <c r="F746" s="7">
        <v>-50</v>
      </c>
      <c r="G746" s="7">
        <v>-200</v>
      </c>
      <c r="H746" s="7">
        <v>-350</v>
      </c>
      <c r="I746" s="7"/>
      <c r="J746" s="7">
        <v>-200</v>
      </c>
      <c r="K746" s="7">
        <v>-2</v>
      </c>
      <c r="L746" s="7">
        <v>-4</v>
      </c>
      <c r="M746" s="7">
        <v>-1</v>
      </c>
      <c r="N746" s="7"/>
      <c r="O746" s="7"/>
      <c r="P746" s="7"/>
      <c r="Q746" s="7"/>
      <c r="R746" s="7"/>
      <c r="S746" s="7"/>
      <c r="T746" s="7">
        <v>40</v>
      </c>
    </row>
    <row r="747" spans="1:20" x14ac:dyDescent="0.25">
      <c r="A747" s="3">
        <v>45925</v>
      </c>
      <c r="B747" s="7" t="s">
        <v>33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>
        <v>-48</v>
      </c>
      <c r="T747" s="7">
        <v>-31</v>
      </c>
    </row>
    <row r="748" spans="1:20" x14ac:dyDescent="0.25">
      <c r="A748" s="3">
        <v>45925</v>
      </c>
      <c r="B748" s="7" t="s">
        <v>89</v>
      </c>
      <c r="C748" s="7">
        <v>12446</v>
      </c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x14ac:dyDescent="0.25">
      <c r="A749" s="3">
        <v>45925</v>
      </c>
      <c r="B749" s="7" t="s">
        <v>136</v>
      </c>
      <c r="C749" s="7"/>
      <c r="D749" s="7"/>
      <c r="E749" s="7"/>
      <c r="F749" s="7"/>
      <c r="G749" s="7"/>
      <c r="H749" s="7">
        <v>10000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x14ac:dyDescent="0.25">
      <c r="A750" s="3">
        <v>45925</v>
      </c>
      <c r="B750" s="7" t="s">
        <v>131</v>
      </c>
      <c r="C750" s="7"/>
      <c r="D750" s="7">
        <v>2500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x14ac:dyDescent="0.25">
      <c r="A751" s="3">
        <v>45925</v>
      </c>
      <c r="B751" s="7" t="s">
        <v>139</v>
      </c>
      <c r="C751" s="7">
        <v>2058</v>
      </c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x14ac:dyDescent="0.25">
      <c r="A752" s="3">
        <v>45926</v>
      </c>
      <c r="B752" s="7" t="s">
        <v>33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>
        <v>-48</v>
      </c>
      <c r="T752" s="7">
        <v>-31</v>
      </c>
    </row>
    <row r="753" spans="1:20" x14ac:dyDescent="0.25">
      <c r="A753" s="3">
        <v>45926</v>
      </c>
      <c r="B753" s="7" t="s">
        <v>52</v>
      </c>
      <c r="C753" s="7">
        <v>-4000</v>
      </c>
      <c r="D753" s="7">
        <v>-1250</v>
      </c>
      <c r="E753" s="7"/>
      <c r="F753" s="7">
        <v>-250</v>
      </c>
      <c r="G753" s="7">
        <v>-900</v>
      </c>
      <c r="H753" s="7">
        <v>-1700</v>
      </c>
      <c r="I753" s="7">
        <v>-1100</v>
      </c>
      <c r="J753" s="7">
        <v>-800</v>
      </c>
      <c r="K753" s="7">
        <v>-10</v>
      </c>
      <c r="L753" s="7">
        <v>-30</v>
      </c>
      <c r="M753" s="7"/>
      <c r="N753" s="7">
        <v>-5</v>
      </c>
      <c r="O753" s="7"/>
      <c r="P753" s="7"/>
      <c r="Q753" s="7"/>
      <c r="R753" s="7"/>
      <c r="S753" s="7">
        <v>200</v>
      </c>
      <c r="T753" s="7"/>
    </row>
    <row r="754" spans="1:20" x14ac:dyDescent="0.25">
      <c r="A754" s="3">
        <v>45926</v>
      </c>
      <c r="B754" s="7" t="s">
        <v>129</v>
      </c>
      <c r="C754" s="7">
        <v>-1520</v>
      </c>
      <c r="D754" s="7">
        <v>-880</v>
      </c>
      <c r="E754" s="7"/>
      <c r="F754" s="7">
        <v>-100</v>
      </c>
      <c r="G754" s="7">
        <v>-400</v>
      </c>
      <c r="H754" s="7">
        <v>-700</v>
      </c>
      <c r="I754" s="7"/>
      <c r="J754" s="7">
        <v>-400</v>
      </c>
      <c r="K754" s="7">
        <v>-4</v>
      </c>
      <c r="L754" s="7">
        <v>-8</v>
      </c>
      <c r="M754" s="7">
        <v>-2</v>
      </c>
      <c r="N754" s="7">
        <v>-2</v>
      </c>
      <c r="O754" s="7"/>
      <c r="P754" s="7"/>
      <c r="Q754" s="7"/>
      <c r="R754" s="7"/>
      <c r="S754" s="7"/>
      <c r="T754" s="7">
        <v>80</v>
      </c>
    </row>
    <row r="755" spans="1:20" x14ac:dyDescent="0.25">
      <c r="A755" s="3">
        <v>45927</v>
      </c>
      <c r="B755" s="7" t="s">
        <v>138</v>
      </c>
      <c r="C755" s="7">
        <v>1246</v>
      </c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x14ac:dyDescent="0.25">
      <c r="A756" s="3">
        <v>45927</v>
      </c>
      <c r="B756" s="7" t="s">
        <v>33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>
        <v>-48</v>
      </c>
      <c r="T756" s="7">
        <v>-31</v>
      </c>
    </row>
    <row r="757" spans="1:20" x14ac:dyDescent="0.25">
      <c r="A757" s="3">
        <v>45927</v>
      </c>
      <c r="B757" s="7" t="s">
        <v>2</v>
      </c>
      <c r="C757" s="7">
        <v>-1600</v>
      </c>
      <c r="D757" s="7">
        <v>-500</v>
      </c>
      <c r="E757" s="7"/>
      <c r="F757" s="7">
        <v>-100</v>
      </c>
      <c r="G757" s="7">
        <v>-360</v>
      </c>
      <c r="H757" s="7">
        <v>-680</v>
      </c>
      <c r="I757" s="7">
        <v>-440</v>
      </c>
      <c r="J757" s="7">
        <v>-320</v>
      </c>
      <c r="K757" s="7">
        <v>-4</v>
      </c>
      <c r="L757" s="7">
        <v>-12</v>
      </c>
      <c r="M757" s="7"/>
      <c r="N757" s="7">
        <v>-2</v>
      </c>
      <c r="O757" s="7"/>
      <c r="P757" s="7"/>
      <c r="Q757" s="7"/>
      <c r="R757" s="7"/>
      <c r="S757" s="7">
        <v>80</v>
      </c>
      <c r="T757" s="7"/>
    </row>
    <row r="758" spans="1:20" x14ac:dyDescent="0.25">
      <c r="A758" s="3">
        <v>45927</v>
      </c>
      <c r="B758" s="7" t="s">
        <v>129</v>
      </c>
      <c r="C758" s="7">
        <v>-1520</v>
      </c>
      <c r="D758" s="7">
        <v>-880</v>
      </c>
      <c r="E758" s="7"/>
      <c r="F758" s="7">
        <v>-100</v>
      </c>
      <c r="G758" s="7">
        <v>-400</v>
      </c>
      <c r="H758" s="7">
        <v>-700</v>
      </c>
      <c r="I758" s="7"/>
      <c r="J758" s="7">
        <v>-400</v>
      </c>
      <c r="K758" s="7">
        <v>-4</v>
      </c>
      <c r="L758" s="7">
        <v>-8</v>
      </c>
      <c r="M758" s="7">
        <v>-2</v>
      </c>
      <c r="N758" s="7">
        <v>-2</v>
      </c>
      <c r="O758" s="7"/>
      <c r="P758" s="7"/>
      <c r="Q758" s="7"/>
      <c r="R758" s="7"/>
      <c r="S758" s="7"/>
      <c r="T758" s="7">
        <v>80</v>
      </c>
    </row>
    <row r="759" spans="1:20" x14ac:dyDescent="0.25">
      <c r="A759" s="3">
        <v>45928</v>
      </c>
      <c r="B759" s="7" t="s">
        <v>33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>
        <v>-48</v>
      </c>
      <c r="T759" s="7">
        <v>-31</v>
      </c>
    </row>
    <row r="760" spans="1:20" x14ac:dyDescent="0.25">
      <c r="A760" s="3">
        <v>45929</v>
      </c>
      <c r="B760" s="7" t="s">
        <v>33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>
        <v>-48</v>
      </c>
      <c r="T760" s="7">
        <v>-31</v>
      </c>
    </row>
    <row r="761" spans="1:20" x14ac:dyDescent="0.25">
      <c r="A761" s="3">
        <v>45930</v>
      </c>
      <c r="B761" s="7" t="s">
        <v>124</v>
      </c>
      <c r="C761" s="7">
        <v>-780</v>
      </c>
      <c r="D761" s="7">
        <v>-360</v>
      </c>
      <c r="E761" s="7"/>
      <c r="F761" s="7">
        <v>-50</v>
      </c>
      <c r="G761" s="7">
        <v>-200</v>
      </c>
      <c r="H761" s="7">
        <v>-310</v>
      </c>
      <c r="I761" s="7">
        <v>-80</v>
      </c>
      <c r="J761" s="7">
        <v>-220</v>
      </c>
      <c r="K761" s="7">
        <v>-2</v>
      </c>
      <c r="L761" s="7">
        <v>-4</v>
      </c>
      <c r="M761" s="7">
        <v>-1</v>
      </c>
      <c r="N761" s="7">
        <v>-1</v>
      </c>
      <c r="O761" s="7"/>
      <c r="P761" s="7"/>
      <c r="Q761" s="7"/>
      <c r="R761" s="7"/>
      <c r="S761" s="7"/>
      <c r="T761" s="7">
        <v>40</v>
      </c>
    </row>
    <row r="762" spans="1:20" x14ac:dyDescent="0.25">
      <c r="A762" s="3">
        <v>45930</v>
      </c>
      <c r="B762" s="7" t="s">
        <v>33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>
        <v>-48</v>
      </c>
      <c r="T762" s="7">
        <v>-31</v>
      </c>
    </row>
    <row r="763" spans="1:20" x14ac:dyDescent="0.25">
      <c r="A763" s="3">
        <v>45930</v>
      </c>
      <c r="B763" s="7" t="s">
        <v>54</v>
      </c>
      <c r="C763" s="7"/>
      <c r="D763" s="7"/>
      <c r="E763" s="7"/>
      <c r="F763" s="7"/>
      <c r="G763" s="7"/>
      <c r="H763" s="7"/>
      <c r="I763" s="7">
        <v>10000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x14ac:dyDescent="0.25">
      <c r="A764" s="3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x14ac:dyDescent="0.25">
      <c r="A766" s="20"/>
      <c r="B766" s="21" t="s">
        <v>25</v>
      </c>
      <c r="C766" s="22">
        <f t="shared" ref="C766:T766" si="16">SUM(C680:C765)</f>
        <v>11185</v>
      </c>
      <c r="D766" s="22">
        <f t="shared" si="16"/>
        <v>315</v>
      </c>
      <c r="E766" s="22">
        <f t="shared" si="16"/>
        <v>810</v>
      </c>
      <c r="F766" s="22">
        <f t="shared" si="16"/>
        <v>1700</v>
      </c>
      <c r="G766" s="22">
        <f t="shared" si="16"/>
        <v>3640</v>
      </c>
      <c r="H766" s="22">
        <f t="shared" si="16"/>
        <v>6955</v>
      </c>
      <c r="I766" s="22">
        <f t="shared" si="16"/>
        <v>10730</v>
      </c>
      <c r="J766" s="22">
        <f t="shared" si="16"/>
        <v>6200</v>
      </c>
      <c r="K766" s="22">
        <f t="shared" si="16"/>
        <v>105</v>
      </c>
      <c r="L766" s="22">
        <f t="shared" si="16"/>
        <v>186</v>
      </c>
      <c r="M766" s="22">
        <f t="shared" si="16"/>
        <v>73.8</v>
      </c>
      <c r="N766" s="22">
        <f t="shared" si="16"/>
        <v>47.7</v>
      </c>
      <c r="O766" s="22">
        <f t="shared" si="16"/>
        <v>100</v>
      </c>
      <c r="P766" s="22">
        <f t="shared" si="16"/>
        <v>0</v>
      </c>
      <c r="Q766" s="22"/>
      <c r="R766" s="22"/>
      <c r="S766" s="22">
        <f t="shared" si="16"/>
        <v>184</v>
      </c>
      <c r="T766" s="22">
        <f t="shared" si="16"/>
        <v>40</v>
      </c>
    </row>
    <row r="767" spans="1:20" x14ac:dyDescent="0.25">
      <c r="A767" s="17"/>
      <c r="B767" s="17" t="s">
        <v>28</v>
      </c>
      <c r="C767" s="17">
        <v>1499</v>
      </c>
      <c r="D767" s="17">
        <v>552</v>
      </c>
      <c r="E767" s="17">
        <v>0</v>
      </c>
      <c r="F767" s="17">
        <v>95</v>
      </c>
      <c r="G767" s="17">
        <v>272</v>
      </c>
      <c r="H767" s="17">
        <v>632</v>
      </c>
      <c r="I767" s="17">
        <v>510</v>
      </c>
      <c r="J767" s="17">
        <v>318</v>
      </c>
      <c r="K767" s="17">
        <v>3.8</v>
      </c>
      <c r="L767" s="17">
        <v>7.2</v>
      </c>
      <c r="M767" s="17">
        <v>0.7</v>
      </c>
      <c r="N767" s="17">
        <v>1.2</v>
      </c>
      <c r="O767" s="17">
        <v>0</v>
      </c>
      <c r="P767" s="17">
        <v>0</v>
      </c>
      <c r="Q767" s="17"/>
      <c r="R767" s="17"/>
      <c r="S767" s="17">
        <v>48</v>
      </c>
      <c r="T767" s="17">
        <v>31</v>
      </c>
    </row>
    <row r="768" spans="1:20" x14ac:dyDescent="0.25">
      <c r="A768" s="17"/>
      <c r="B768" s="17" t="s">
        <v>26</v>
      </c>
      <c r="C768" s="18">
        <f>C766/C767</f>
        <v>7.461641094062708</v>
      </c>
      <c r="D768" s="18">
        <f t="shared" ref="D768:S768" si="17">D766/D767</f>
        <v>0.57065217391304346</v>
      </c>
      <c r="E768" s="18" t="e">
        <f t="shared" si="17"/>
        <v>#DIV/0!</v>
      </c>
      <c r="F768" s="18">
        <f t="shared" si="17"/>
        <v>17.894736842105264</v>
      </c>
      <c r="G768" s="18">
        <f t="shared" si="17"/>
        <v>13.382352941176471</v>
      </c>
      <c r="H768" s="18">
        <f t="shared" si="17"/>
        <v>11.004746835443038</v>
      </c>
      <c r="I768" s="18">
        <f t="shared" si="17"/>
        <v>21.03921568627451</v>
      </c>
      <c r="J768" s="18">
        <f t="shared" si="17"/>
        <v>19.49685534591195</v>
      </c>
      <c r="K768" s="18">
        <f t="shared" si="17"/>
        <v>27.631578947368421</v>
      </c>
      <c r="L768" s="18">
        <f t="shared" si="17"/>
        <v>25.833333333333332</v>
      </c>
      <c r="M768" s="18">
        <f t="shared" si="17"/>
        <v>105.42857142857143</v>
      </c>
      <c r="N768" s="18">
        <f t="shared" si="17"/>
        <v>39.750000000000007</v>
      </c>
      <c r="O768" s="18" t="e">
        <f t="shared" si="17"/>
        <v>#DIV/0!</v>
      </c>
      <c r="P768" s="18" t="e">
        <f t="shared" si="17"/>
        <v>#DIV/0!</v>
      </c>
      <c r="Q768" s="18"/>
      <c r="R768" s="18"/>
      <c r="S768" s="18">
        <f t="shared" si="17"/>
        <v>3.8333333333333335</v>
      </c>
      <c r="T768" s="18">
        <f t="shared" ref="T768" si="18">T766/T767</f>
        <v>1.2903225806451613</v>
      </c>
    </row>
    <row r="769" spans="1:22" x14ac:dyDescent="0.25">
      <c r="A769" s="21"/>
      <c r="B769" s="21" t="s">
        <v>102</v>
      </c>
      <c r="C769" s="21">
        <f>C767*31</f>
        <v>46469</v>
      </c>
      <c r="D769" s="21">
        <f>D767*31</f>
        <v>17112</v>
      </c>
      <c r="E769" s="21">
        <f t="shared" ref="E769:T769" si="19">E767*31</f>
        <v>0</v>
      </c>
      <c r="F769" s="21">
        <f t="shared" si="19"/>
        <v>2945</v>
      </c>
      <c r="G769" s="21">
        <f t="shared" si="19"/>
        <v>8432</v>
      </c>
      <c r="H769" s="21">
        <f t="shared" si="19"/>
        <v>19592</v>
      </c>
      <c r="I769" s="21">
        <f t="shared" si="19"/>
        <v>15810</v>
      </c>
      <c r="J769" s="21">
        <f t="shared" si="19"/>
        <v>9858</v>
      </c>
      <c r="K769" s="21">
        <f t="shared" si="19"/>
        <v>117.8</v>
      </c>
      <c r="L769" s="21">
        <f t="shared" si="19"/>
        <v>223.20000000000002</v>
      </c>
      <c r="M769" s="21">
        <f t="shared" si="19"/>
        <v>21.7</v>
      </c>
      <c r="N769" s="21">
        <f t="shared" si="19"/>
        <v>37.199999999999996</v>
      </c>
      <c r="O769" s="21">
        <f t="shared" si="19"/>
        <v>0</v>
      </c>
      <c r="P769" s="21">
        <f t="shared" si="19"/>
        <v>0</v>
      </c>
      <c r="Q769" s="21"/>
      <c r="R769" s="21"/>
      <c r="S769" s="21">
        <f t="shared" si="19"/>
        <v>1488</v>
      </c>
      <c r="T769" s="21">
        <f t="shared" si="19"/>
        <v>961</v>
      </c>
    </row>
    <row r="772" spans="1:22" ht="26" x14ac:dyDescent="0.6">
      <c r="I772" s="34">
        <v>45931</v>
      </c>
    </row>
    <row r="773" spans="1:22" x14ac:dyDescent="0.25">
      <c r="A773" s="28"/>
      <c r="B773" s="28"/>
      <c r="C773" s="28"/>
      <c r="D773" s="28"/>
      <c r="E773" s="28"/>
      <c r="F773" s="7"/>
      <c r="G773" s="7"/>
      <c r="H773" s="7"/>
      <c r="I773" s="7"/>
      <c r="J773" s="7"/>
      <c r="K773" s="7"/>
      <c r="L773" s="7"/>
      <c r="M773" s="7"/>
      <c r="N773" s="7"/>
      <c r="O773" s="28"/>
      <c r="P773" s="28"/>
      <c r="Q773" s="28"/>
      <c r="R773" s="28"/>
      <c r="S773" s="28"/>
      <c r="T773" s="28"/>
    </row>
    <row r="774" spans="1:22" x14ac:dyDescent="0.25">
      <c r="A774" s="28"/>
      <c r="B774" s="28"/>
      <c r="C774" s="28"/>
      <c r="D774" s="28"/>
      <c r="E774" s="28"/>
      <c r="F774" s="7"/>
      <c r="G774" s="7"/>
      <c r="H774" s="7"/>
      <c r="I774" s="7"/>
      <c r="J774" s="7"/>
      <c r="K774" s="7"/>
      <c r="L774" s="7"/>
      <c r="M774" s="7"/>
      <c r="N774" s="7"/>
      <c r="O774" s="28"/>
      <c r="P774" s="28"/>
      <c r="Q774" s="28"/>
      <c r="R774" s="28"/>
      <c r="S774" s="28"/>
      <c r="T774" s="28"/>
    </row>
    <row r="775" spans="1:22" x14ac:dyDescent="0.25">
      <c r="A775" s="3">
        <v>45931</v>
      </c>
      <c r="B775" s="9" t="s">
        <v>0</v>
      </c>
      <c r="C775" s="10">
        <v>11000</v>
      </c>
      <c r="D775" s="9">
        <v>64</v>
      </c>
      <c r="E775" s="7">
        <v>810</v>
      </c>
      <c r="F775" s="9">
        <v>1700</v>
      </c>
      <c r="G775" s="9">
        <v>3532</v>
      </c>
      <c r="H775" s="9">
        <v>6950</v>
      </c>
      <c r="I775" s="9">
        <v>10700</v>
      </c>
      <c r="J775" s="9">
        <v>6160</v>
      </c>
      <c r="K775" s="9">
        <v>104</v>
      </c>
      <c r="L775" s="9">
        <v>184</v>
      </c>
      <c r="M775" s="9">
        <v>73.5</v>
      </c>
      <c r="N775" s="9">
        <v>47.5</v>
      </c>
      <c r="O775" s="9">
        <v>100</v>
      </c>
      <c r="P775" s="9">
        <v>0</v>
      </c>
      <c r="Q775" s="9"/>
      <c r="R775" s="9"/>
      <c r="S775" s="9">
        <v>96</v>
      </c>
      <c r="T775" s="9">
        <v>39</v>
      </c>
    </row>
    <row r="776" spans="1:22" x14ac:dyDescent="0.25">
      <c r="A776" s="3">
        <v>45931</v>
      </c>
      <c r="B776" s="7" t="s">
        <v>33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>
        <v>-48</v>
      </c>
      <c r="T776" s="7">
        <v>-31</v>
      </c>
    </row>
    <row r="777" spans="1:22" x14ac:dyDescent="0.25">
      <c r="A777" s="3">
        <v>45931</v>
      </c>
      <c r="B777" s="9" t="s">
        <v>140</v>
      </c>
      <c r="C777" s="38">
        <v>102</v>
      </c>
      <c r="D777" s="9"/>
      <c r="E777" s="7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2" x14ac:dyDescent="0.25">
      <c r="A778" s="3">
        <v>45932</v>
      </c>
      <c r="B778" s="9" t="s">
        <v>17</v>
      </c>
      <c r="C778" s="10"/>
      <c r="D778" s="9">
        <v>10610</v>
      </c>
      <c r="E778" s="7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2" x14ac:dyDescent="0.25">
      <c r="A779" s="3">
        <v>45932</v>
      </c>
      <c r="B779" s="9" t="s">
        <v>77</v>
      </c>
      <c r="C779" s="10"/>
      <c r="D779" s="9"/>
      <c r="E779" s="7"/>
      <c r="F779" s="9"/>
      <c r="G779" s="9"/>
      <c r="H779" s="9"/>
      <c r="I779" s="9"/>
      <c r="J779" s="9">
        <v>1520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2" x14ac:dyDescent="0.25">
      <c r="A780" s="3">
        <v>45932</v>
      </c>
      <c r="B780" s="7" t="s">
        <v>33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>
        <v>-48</v>
      </c>
      <c r="T780" s="7">
        <v>-31</v>
      </c>
    </row>
    <row r="781" spans="1:22" x14ac:dyDescent="0.25">
      <c r="A781" s="3">
        <v>45932</v>
      </c>
      <c r="B781" s="7" t="s">
        <v>81</v>
      </c>
      <c r="C781" s="7">
        <v>-1200</v>
      </c>
      <c r="D781" s="7">
        <v>-375</v>
      </c>
      <c r="E781" s="7"/>
      <c r="F781" s="7">
        <v>-75</v>
      </c>
      <c r="G781" s="7">
        <v>-270</v>
      </c>
      <c r="H781" s="7">
        <v>-510</v>
      </c>
      <c r="I781" s="7">
        <v>-330</v>
      </c>
      <c r="J781" s="7">
        <v>-240</v>
      </c>
      <c r="K781" s="7">
        <v>-3</v>
      </c>
      <c r="L781" s="7">
        <v>-9</v>
      </c>
      <c r="M781" s="7"/>
      <c r="N781" s="7">
        <v>-1.5</v>
      </c>
      <c r="O781" s="7"/>
      <c r="P781" s="7"/>
      <c r="Q781" s="7"/>
      <c r="R781" s="7"/>
      <c r="S781" s="7">
        <v>60</v>
      </c>
      <c r="T781" s="7"/>
      <c r="U781" s="4">
        <v>3</v>
      </c>
    </row>
    <row r="782" spans="1:22" x14ac:dyDescent="0.25">
      <c r="A782" s="3">
        <v>45932</v>
      </c>
      <c r="B782" s="7" t="s">
        <v>122</v>
      </c>
      <c r="C782" s="7">
        <v>-1170</v>
      </c>
      <c r="D782" s="7">
        <v>-540</v>
      </c>
      <c r="E782" s="7"/>
      <c r="F782" s="7">
        <v>-75</v>
      </c>
      <c r="G782" s="7">
        <v>-300</v>
      </c>
      <c r="H782" s="7">
        <v>-465</v>
      </c>
      <c r="I782" s="7">
        <v>-120</v>
      </c>
      <c r="J782" s="7">
        <v>-330</v>
      </c>
      <c r="K782" s="7">
        <v>-3</v>
      </c>
      <c r="L782" s="7">
        <v>-6</v>
      </c>
      <c r="M782" s="7">
        <v>-1.5</v>
      </c>
      <c r="N782" s="7">
        <v>-1.5</v>
      </c>
      <c r="O782" s="7"/>
      <c r="P782" s="7"/>
      <c r="Q782" s="7"/>
      <c r="R782" s="7"/>
      <c r="S782" s="7"/>
      <c r="T782" s="7">
        <v>60</v>
      </c>
      <c r="V782" s="4">
        <v>3</v>
      </c>
    </row>
    <row r="783" spans="1:22" x14ac:dyDescent="0.25">
      <c r="A783" s="3">
        <v>45933</v>
      </c>
      <c r="B783" s="7" t="s">
        <v>33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>
        <v>-48</v>
      </c>
      <c r="T783" s="7">
        <v>-31</v>
      </c>
    </row>
    <row r="784" spans="1:22" x14ac:dyDescent="0.25">
      <c r="A784" s="3">
        <v>45933</v>
      </c>
      <c r="B784" s="7" t="s">
        <v>20</v>
      </c>
      <c r="C784" s="7">
        <v>-2800</v>
      </c>
      <c r="D784" s="7">
        <v>-875</v>
      </c>
      <c r="E784" s="7"/>
      <c r="F784" s="7">
        <v>-175</v>
      </c>
      <c r="G784" s="7">
        <v>-630</v>
      </c>
      <c r="H784" s="7">
        <v>-1190</v>
      </c>
      <c r="I784" s="7">
        <v>-770</v>
      </c>
      <c r="J784" s="7">
        <v>-560</v>
      </c>
      <c r="K784" s="7">
        <v>-7</v>
      </c>
      <c r="L784" s="7">
        <v>-21</v>
      </c>
      <c r="M784" s="7"/>
      <c r="N784" s="7">
        <v>-3.5</v>
      </c>
      <c r="O784" s="7"/>
      <c r="P784" s="7"/>
      <c r="Q784" s="7"/>
      <c r="R784" s="7"/>
      <c r="S784" s="7">
        <v>140</v>
      </c>
      <c r="T784" s="7"/>
      <c r="U784" s="4">
        <v>7</v>
      </c>
    </row>
    <row r="785" spans="1:22" x14ac:dyDescent="0.25">
      <c r="A785" s="3">
        <v>45934</v>
      </c>
      <c r="B785" s="7" t="s">
        <v>33</v>
      </c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>
        <v>-48</v>
      </c>
      <c r="T785" s="7">
        <v>-31</v>
      </c>
    </row>
    <row r="786" spans="1:22" x14ac:dyDescent="0.25">
      <c r="A786" s="3">
        <v>45934</v>
      </c>
      <c r="B786" s="7" t="s">
        <v>142</v>
      </c>
      <c r="C786" s="7">
        <v>-2830</v>
      </c>
      <c r="D786" s="7">
        <v>-1260</v>
      </c>
      <c r="E786" s="7"/>
      <c r="F786" s="7">
        <v>-175</v>
      </c>
      <c r="G786" s="7">
        <v>-700</v>
      </c>
      <c r="H786" s="7">
        <v>-155</v>
      </c>
      <c r="I786" s="7">
        <v>-40</v>
      </c>
      <c r="J786" s="7">
        <v>-770</v>
      </c>
      <c r="K786" s="7">
        <v>-7</v>
      </c>
      <c r="L786" s="7">
        <v>-14</v>
      </c>
      <c r="M786" s="7">
        <v>-3.5</v>
      </c>
      <c r="N786" s="7">
        <v>-3.5</v>
      </c>
      <c r="O786" s="7"/>
      <c r="P786" s="7"/>
      <c r="Q786" s="7"/>
      <c r="R786" s="7"/>
      <c r="S786" s="7"/>
      <c r="T786" s="7">
        <v>140</v>
      </c>
      <c r="V786" s="4">
        <v>7</v>
      </c>
    </row>
    <row r="787" spans="1:22" x14ac:dyDescent="0.25">
      <c r="A787" s="3">
        <v>45935</v>
      </c>
      <c r="B787" s="7" t="s">
        <v>33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>
        <v>-48</v>
      </c>
      <c r="T787" s="7">
        <v>-31</v>
      </c>
    </row>
    <row r="788" spans="1:22" x14ac:dyDescent="0.25">
      <c r="A788" s="3">
        <v>45936</v>
      </c>
      <c r="B788" s="7" t="s">
        <v>33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>
        <v>-48</v>
      </c>
      <c r="T788" s="7">
        <v>-31</v>
      </c>
    </row>
    <row r="789" spans="1:22" x14ac:dyDescent="0.25">
      <c r="A789" s="3">
        <v>45936</v>
      </c>
      <c r="B789" s="7" t="s">
        <v>141</v>
      </c>
      <c r="C789" s="7">
        <v>1510</v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2" x14ac:dyDescent="0.25">
      <c r="A790" s="3">
        <v>45937</v>
      </c>
      <c r="B790" s="7" t="s">
        <v>33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>
        <v>-48</v>
      </c>
      <c r="T790" s="7">
        <v>-31</v>
      </c>
    </row>
    <row r="791" spans="1:22" x14ac:dyDescent="0.25">
      <c r="A791" s="3">
        <v>45937</v>
      </c>
      <c r="B791" s="7" t="s">
        <v>122</v>
      </c>
      <c r="C791" s="7">
        <v>-1170</v>
      </c>
      <c r="D791" s="7">
        <v>-540</v>
      </c>
      <c r="E791" s="7"/>
      <c r="F791" s="7">
        <v>-75</v>
      </c>
      <c r="G791" s="7">
        <v>-300</v>
      </c>
      <c r="H791" s="7">
        <v>-465</v>
      </c>
      <c r="I791" s="7">
        <v>-120</v>
      </c>
      <c r="J791" s="7">
        <v>-330</v>
      </c>
      <c r="K791" s="7">
        <v>-3</v>
      </c>
      <c r="L791" s="7">
        <v>-6</v>
      </c>
      <c r="M791" s="7">
        <v>-1.5</v>
      </c>
      <c r="N791" s="7">
        <v>-1.5</v>
      </c>
      <c r="O791" s="7"/>
      <c r="P791" s="7"/>
      <c r="Q791" s="7"/>
      <c r="R791" s="7"/>
      <c r="S791" s="7"/>
      <c r="T791" s="7">
        <v>60</v>
      </c>
      <c r="V791" s="4">
        <v>3</v>
      </c>
    </row>
    <row r="792" spans="1:22" x14ac:dyDescent="0.25">
      <c r="A792" s="3">
        <v>45937</v>
      </c>
      <c r="B792" s="7" t="s">
        <v>143</v>
      </c>
      <c r="C792" s="7">
        <v>3330</v>
      </c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2" x14ac:dyDescent="0.25">
      <c r="A793" s="3">
        <v>45937</v>
      </c>
      <c r="B793" s="7" t="s">
        <v>1</v>
      </c>
      <c r="C793" s="7">
        <v>-2000</v>
      </c>
      <c r="D793" s="7">
        <v>-625</v>
      </c>
      <c r="E793" s="7"/>
      <c r="F793" s="7">
        <v>-125</v>
      </c>
      <c r="G793" s="7">
        <v>-450</v>
      </c>
      <c r="H793" s="7">
        <v>-850</v>
      </c>
      <c r="I793" s="7">
        <v>-550</v>
      </c>
      <c r="J793" s="7">
        <v>-400</v>
      </c>
      <c r="K793" s="7">
        <v>-5</v>
      </c>
      <c r="L793" s="7">
        <v>-15</v>
      </c>
      <c r="M793" s="7"/>
      <c r="N793" s="7">
        <v>-2.5</v>
      </c>
      <c r="O793" s="7"/>
      <c r="P793" s="7"/>
      <c r="Q793" s="7"/>
      <c r="R793" s="7"/>
      <c r="S793" s="7">
        <v>100</v>
      </c>
      <c r="T793" s="7"/>
      <c r="U793" s="4">
        <v>5</v>
      </c>
    </row>
    <row r="794" spans="1:22" x14ac:dyDescent="0.25">
      <c r="A794" s="3">
        <v>45938</v>
      </c>
      <c r="B794" s="7" t="s">
        <v>33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>
        <v>-48</v>
      </c>
      <c r="T794" s="7">
        <v>-31</v>
      </c>
    </row>
    <row r="795" spans="1:22" x14ac:dyDescent="0.25">
      <c r="A795" s="3">
        <v>45938</v>
      </c>
      <c r="B795" s="7" t="s">
        <v>18</v>
      </c>
      <c r="C795" s="7"/>
      <c r="D795" s="7"/>
      <c r="E795" s="7"/>
      <c r="F795" s="7"/>
      <c r="G795" s="7"/>
      <c r="H795" s="7">
        <v>9500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2" x14ac:dyDescent="0.25">
      <c r="A796" s="3">
        <v>45938</v>
      </c>
      <c r="B796" s="7" t="s">
        <v>10</v>
      </c>
      <c r="C796" s="7"/>
      <c r="D796" s="7"/>
      <c r="E796" s="7"/>
      <c r="F796" s="7">
        <v>2500</v>
      </c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2" x14ac:dyDescent="0.25">
      <c r="A797" s="3">
        <v>45938</v>
      </c>
      <c r="B797" s="7" t="s">
        <v>37</v>
      </c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2" x14ac:dyDescent="0.25">
      <c r="A798" s="3">
        <v>45938</v>
      </c>
      <c r="B798" s="7" t="s">
        <v>1</v>
      </c>
      <c r="C798" s="7">
        <v>-2000</v>
      </c>
      <c r="D798" s="7">
        <v>-625</v>
      </c>
      <c r="E798" s="7"/>
      <c r="F798" s="7">
        <v>-125</v>
      </c>
      <c r="G798" s="7">
        <v>-450</v>
      </c>
      <c r="H798" s="7">
        <v>-850</v>
      </c>
      <c r="I798" s="7">
        <v>-550</v>
      </c>
      <c r="J798" s="7">
        <v>-400</v>
      </c>
      <c r="K798" s="7">
        <v>-5</v>
      </c>
      <c r="L798" s="7">
        <v>-15</v>
      </c>
      <c r="M798" s="7"/>
      <c r="N798" s="7">
        <v>-2.5</v>
      </c>
      <c r="O798" s="7"/>
      <c r="P798" s="7"/>
      <c r="Q798" s="7"/>
      <c r="R798" s="7"/>
      <c r="S798" s="7">
        <v>100</v>
      </c>
      <c r="T798" s="7"/>
      <c r="U798" s="4">
        <v>5</v>
      </c>
    </row>
    <row r="799" spans="1:22" x14ac:dyDescent="0.25">
      <c r="A799" s="3">
        <v>45938</v>
      </c>
      <c r="B799" s="7" t="s">
        <v>37</v>
      </c>
      <c r="C799" s="7">
        <v>12638</v>
      </c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2" x14ac:dyDescent="0.25">
      <c r="A800" s="3">
        <v>45938</v>
      </c>
      <c r="B800" s="7" t="s">
        <v>8</v>
      </c>
      <c r="C800" s="7"/>
      <c r="D800" s="7"/>
      <c r="E800" s="7"/>
      <c r="F800" s="7"/>
      <c r="G800" s="7">
        <v>11000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2" x14ac:dyDescent="0.25">
      <c r="A801" s="3">
        <v>45939</v>
      </c>
      <c r="B801" s="7" t="s">
        <v>1</v>
      </c>
      <c r="C801" s="7">
        <v>-2000</v>
      </c>
      <c r="D801" s="7">
        <v>-625</v>
      </c>
      <c r="E801" s="7"/>
      <c r="F801" s="7">
        <v>-125</v>
      </c>
      <c r="G801" s="7">
        <v>-450</v>
      </c>
      <c r="H801" s="7">
        <v>-850</v>
      </c>
      <c r="I801" s="7">
        <v>-550</v>
      </c>
      <c r="J801" s="7">
        <v>-400</v>
      </c>
      <c r="K801" s="7">
        <v>-5</v>
      </c>
      <c r="L801" s="7">
        <v>-15</v>
      </c>
      <c r="M801" s="7"/>
      <c r="N801" s="7">
        <v>-2.5</v>
      </c>
      <c r="O801" s="7"/>
      <c r="P801" s="7"/>
      <c r="Q801" s="7"/>
      <c r="R801" s="7"/>
      <c r="S801" s="7">
        <v>100</v>
      </c>
      <c r="T801" s="7"/>
      <c r="U801" s="4">
        <v>5</v>
      </c>
    </row>
    <row r="802" spans="1:22" x14ac:dyDescent="0.25">
      <c r="A802" s="3">
        <v>45939</v>
      </c>
      <c r="B802" s="7" t="s">
        <v>124</v>
      </c>
      <c r="C802" s="7">
        <v>-780</v>
      </c>
      <c r="D802" s="7">
        <v>-360</v>
      </c>
      <c r="E802" s="7"/>
      <c r="F802" s="7">
        <v>-50</v>
      </c>
      <c r="G802" s="7">
        <v>-200</v>
      </c>
      <c r="H802" s="7">
        <v>-310</v>
      </c>
      <c r="I802" s="7">
        <v>-80</v>
      </c>
      <c r="J802" s="7">
        <v>-220</v>
      </c>
      <c r="K802" s="7">
        <v>-2</v>
      </c>
      <c r="L802" s="7">
        <v>-4</v>
      </c>
      <c r="M802" s="7">
        <v>-1</v>
      </c>
      <c r="N802" s="7">
        <v>-1</v>
      </c>
      <c r="O802" s="7"/>
      <c r="P802" s="7"/>
      <c r="Q802" s="7"/>
      <c r="R802" s="7"/>
      <c r="S802" s="7"/>
      <c r="T802" s="7">
        <v>40</v>
      </c>
      <c r="V802" s="4">
        <v>2</v>
      </c>
    </row>
    <row r="803" spans="1:22" x14ac:dyDescent="0.25">
      <c r="A803" s="3">
        <v>45939</v>
      </c>
      <c r="B803" s="7" t="s">
        <v>33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>
        <v>-48</v>
      </c>
      <c r="T803" s="7">
        <v>-31</v>
      </c>
    </row>
    <row r="804" spans="1:22" x14ac:dyDescent="0.25">
      <c r="A804" s="3">
        <v>45940</v>
      </c>
      <c r="B804" s="7" t="s">
        <v>2</v>
      </c>
      <c r="C804" s="7">
        <v>-1600</v>
      </c>
      <c r="D804" s="7">
        <v>-500</v>
      </c>
      <c r="E804" s="7"/>
      <c r="F804" s="7">
        <v>-100</v>
      </c>
      <c r="G804" s="7">
        <v>-360</v>
      </c>
      <c r="H804" s="7">
        <v>-680</v>
      </c>
      <c r="I804" s="7">
        <v>-440</v>
      </c>
      <c r="J804" s="7">
        <v>-320</v>
      </c>
      <c r="K804" s="7">
        <v>-4</v>
      </c>
      <c r="L804" s="7">
        <v>-12</v>
      </c>
      <c r="M804" s="7"/>
      <c r="N804" s="7">
        <v>-2</v>
      </c>
      <c r="O804" s="7"/>
      <c r="P804" s="7"/>
      <c r="Q804" s="7"/>
      <c r="R804" s="7"/>
      <c r="S804" s="7">
        <v>80</v>
      </c>
      <c r="T804" s="7"/>
      <c r="U804" s="4">
        <v>4</v>
      </c>
    </row>
    <row r="805" spans="1:22" x14ac:dyDescent="0.25">
      <c r="A805" s="3">
        <v>45940</v>
      </c>
      <c r="B805" s="7" t="s">
        <v>33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>
        <v>-48</v>
      </c>
      <c r="T805" s="7">
        <v>-28</v>
      </c>
    </row>
    <row r="806" spans="1:22" x14ac:dyDescent="0.25">
      <c r="A806" s="3">
        <v>45940</v>
      </c>
      <c r="B806" s="7" t="s">
        <v>126</v>
      </c>
      <c r="C806" s="7">
        <v>-390</v>
      </c>
      <c r="D806" s="7">
        <v>-180</v>
      </c>
      <c r="E806" s="7"/>
      <c r="F806" s="7">
        <v>-25</v>
      </c>
      <c r="G806" s="7">
        <v>-100</v>
      </c>
      <c r="H806" s="7">
        <v>-155</v>
      </c>
      <c r="I806" s="7">
        <v>-40</v>
      </c>
      <c r="J806" s="7">
        <v>-110</v>
      </c>
      <c r="K806" s="7">
        <v>-1</v>
      </c>
      <c r="L806" s="7">
        <v>-2</v>
      </c>
      <c r="M806" s="7">
        <v>-0.5</v>
      </c>
      <c r="N806" s="7">
        <v>-0.5</v>
      </c>
      <c r="O806" s="7"/>
      <c r="P806" s="7"/>
      <c r="Q806" s="7"/>
      <c r="R806" s="7"/>
      <c r="S806" s="7"/>
      <c r="T806" s="7">
        <v>20</v>
      </c>
      <c r="V806" s="4">
        <v>1</v>
      </c>
    </row>
    <row r="807" spans="1:22" x14ac:dyDescent="0.25">
      <c r="A807" s="3">
        <v>45941</v>
      </c>
      <c r="B807" s="7" t="s">
        <v>33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>
        <v>-48</v>
      </c>
      <c r="T807" s="7">
        <v>-28</v>
      </c>
    </row>
    <row r="808" spans="1:22" x14ac:dyDescent="0.25">
      <c r="A808" s="3">
        <v>45941</v>
      </c>
      <c r="B808" s="7" t="s">
        <v>31</v>
      </c>
      <c r="C808" s="7">
        <v>-400</v>
      </c>
      <c r="D808" s="7">
        <v>-125</v>
      </c>
      <c r="E808" s="7"/>
      <c r="F808" s="7">
        <v>-25</v>
      </c>
      <c r="G808" s="7">
        <v>-90</v>
      </c>
      <c r="H808" s="7">
        <v>-250</v>
      </c>
      <c r="I808" s="7">
        <v>-110</v>
      </c>
      <c r="J808" s="7">
        <v>-80</v>
      </c>
      <c r="K808" s="7">
        <v>-1</v>
      </c>
      <c r="L808" s="7">
        <v>-3</v>
      </c>
      <c r="M808" s="7"/>
      <c r="N808" s="7">
        <v>-0.5</v>
      </c>
      <c r="O808" s="7"/>
      <c r="P808" s="7"/>
      <c r="S808" s="4">
        <v>20</v>
      </c>
      <c r="T808" s="7"/>
      <c r="U808" s="4">
        <v>1</v>
      </c>
    </row>
    <row r="809" spans="1:22" x14ac:dyDescent="0.25">
      <c r="A809" s="3">
        <v>45941</v>
      </c>
      <c r="B809" s="7" t="s">
        <v>127</v>
      </c>
      <c r="C809" s="7">
        <v>-2560</v>
      </c>
      <c r="D809" s="7">
        <v>-1080</v>
      </c>
      <c r="E809" s="7"/>
      <c r="F809" s="7">
        <v>-150</v>
      </c>
      <c r="G809" s="7">
        <v>-600</v>
      </c>
      <c r="H809" s="7">
        <v>-930</v>
      </c>
      <c r="I809" s="7">
        <v>-240</v>
      </c>
      <c r="J809" s="7">
        <v>-660</v>
      </c>
      <c r="K809" s="7">
        <v>-6</v>
      </c>
      <c r="L809" s="7">
        <v>-12</v>
      </c>
      <c r="M809" s="7">
        <v>-3</v>
      </c>
      <c r="N809" s="7">
        <v>-3</v>
      </c>
      <c r="O809" s="7"/>
      <c r="P809" s="7"/>
      <c r="Q809" s="7"/>
      <c r="R809" s="7"/>
      <c r="S809" s="7"/>
      <c r="T809" s="7">
        <v>120</v>
      </c>
      <c r="V809" s="4">
        <v>6</v>
      </c>
    </row>
    <row r="810" spans="1:22" x14ac:dyDescent="0.25">
      <c r="A810" s="3">
        <v>45942</v>
      </c>
      <c r="B810" s="7" t="s">
        <v>33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>
        <v>-48</v>
      </c>
      <c r="T810" s="7">
        <v>-28</v>
      </c>
    </row>
    <row r="811" spans="1:22" x14ac:dyDescent="0.25">
      <c r="A811" s="3">
        <v>45943</v>
      </c>
      <c r="B811" s="7" t="s">
        <v>33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>
        <v>-48</v>
      </c>
      <c r="T811" s="7">
        <v>-28</v>
      </c>
    </row>
    <row r="812" spans="1:22" x14ac:dyDescent="0.25">
      <c r="A812" s="3">
        <v>45943</v>
      </c>
      <c r="B812" s="7" t="s">
        <v>2</v>
      </c>
      <c r="C812" s="7">
        <v>-1600</v>
      </c>
      <c r="D812" s="7">
        <v>-500</v>
      </c>
      <c r="E812" s="7"/>
      <c r="F812" s="7">
        <v>-100</v>
      </c>
      <c r="G812" s="7">
        <v>-360</v>
      </c>
      <c r="H812" s="7">
        <v>-680</v>
      </c>
      <c r="I812" s="7">
        <v>-440</v>
      </c>
      <c r="J812" s="7">
        <v>-320</v>
      </c>
      <c r="K812" s="7">
        <v>-4</v>
      </c>
      <c r="L812" s="7">
        <v>-12</v>
      </c>
      <c r="M812" s="7"/>
      <c r="N812" s="7">
        <v>-2</v>
      </c>
      <c r="O812" s="7"/>
      <c r="P812" s="7"/>
      <c r="Q812" s="7"/>
      <c r="R812" s="7"/>
      <c r="S812" s="7">
        <v>80</v>
      </c>
      <c r="T812" s="7"/>
      <c r="U812" s="4">
        <v>4</v>
      </c>
    </row>
    <row r="813" spans="1:22" x14ac:dyDescent="0.25">
      <c r="A813" s="3">
        <v>45944</v>
      </c>
      <c r="B813" s="7" t="s">
        <v>124</v>
      </c>
      <c r="C813" s="7">
        <v>-780</v>
      </c>
      <c r="D813" s="7">
        <v>-360</v>
      </c>
      <c r="E813" s="7"/>
      <c r="F813" s="7">
        <v>-50</v>
      </c>
      <c r="G813" s="7">
        <v>-200</v>
      </c>
      <c r="H813" s="7">
        <v>-310</v>
      </c>
      <c r="I813" s="7">
        <v>-80</v>
      </c>
      <c r="J813" s="7">
        <v>-220</v>
      </c>
      <c r="K813" s="7">
        <v>-2</v>
      </c>
      <c r="L813" s="7">
        <v>-4</v>
      </c>
      <c r="M813" s="7">
        <v>-1</v>
      </c>
      <c r="N813" s="7">
        <v>-1</v>
      </c>
      <c r="O813" s="7"/>
      <c r="P813" s="7"/>
      <c r="Q813" s="7"/>
      <c r="R813" s="7"/>
      <c r="S813" s="7"/>
      <c r="T813" s="7">
        <v>40</v>
      </c>
      <c r="V813" s="4">
        <v>2</v>
      </c>
    </row>
    <row r="814" spans="1:22" x14ac:dyDescent="0.25">
      <c r="A814" s="3">
        <v>45944</v>
      </c>
      <c r="B814" s="7" t="s">
        <v>33</v>
      </c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>
        <v>-48</v>
      </c>
      <c r="T814" s="7">
        <v>-28</v>
      </c>
    </row>
    <row r="815" spans="1:22" x14ac:dyDescent="0.25">
      <c r="A815" s="3">
        <v>45945</v>
      </c>
      <c r="B815" s="7" t="s">
        <v>18</v>
      </c>
      <c r="C815" s="7"/>
      <c r="D815" s="7"/>
      <c r="E815" s="7"/>
      <c r="F815" s="7"/>
      <c r="G815" s="7"/>
      <c r="H815" s="7">
        <v>2500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2" x14ac:dyDescent="0.25">
      <c r="A816" s="3">
        <v>45945</v>
      </c>
      <c r="B816" s="7" t="s">
        <v>55</v>
      </c>
      <c r="C816" s="7"/>
      <c r="D816" s="7"/>
      <c r="E816" s="7"/>
      <c r="F816" s="7"/>
      <c r="G816" s="7"/>
      <c r="H816" s="7"/>
      <c r="I816" s="7"/>
      <c r="J816" s="7">
        <v>7710</v>
      </c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2" x14ac:dyDescent="0.25">
      <c r="A817" s="3">
        <v>45945</v>
      </c>
      <c r="B817" s="7" t="s">
        <v>17</v>
      </c>
      <c r="C817" s="7"/>
      <c r="D817" s="7">
        <v>9590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2" x14ac:dyDescent="0.25">
      <c r="A818" s="3">
        <v>45945</v>
      </c>
      <c r="B818" s="7" t="s">
        <v>129</v>
      </c>
      <c r="C818" s="7">
        <v>-1560</v>
      </c>
      <c r="D818" s="7">
        <v>-720</v>
      </c>
      <c r="E818" s="7"/>
      <c r="F818" s="7">
        <v>-100</v>
      </c>
      <c r="G818" s="7">
        <v>-400</v>
      </c>
      <c r="H818" s="7">
        <v>-620</v>
      </c>
      <c r="I818" s="7">
        <v>-160</v>
      </c>
      <c r="J818" s="7">
        <v>-440</v>
      </c>
      <c r="K818" s="7">
        <v>-4</v>
      </c>
      <c r="L818" s="7">
        <v>-8</v>
      </c>
      <c r="M818" s="7">
        <v>-2</v>
      </c>
      <c r="N818" s="7">
        <v>-2</v>
      </c>
      <c r="O818" s="7"/>
      <c r="P818" s="7"/>
      <c r="Q818" s="7"/>
      <c r="R818" s="7"/>
      <c r="S818" s="7"/>
      <c r="T818" s="7">
        <v>80</v>
      </c>
      <c r="V818" s="4">
        <v>4</v>
      </c>
    </row>
    <row r="819" spans="1:22" x14ac:dyDescent="0.25">
      <c r="A819" s="3">
        <v>45945</v>
      </c>
      <c r="B819" s="7" t="s">
        <v>33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>
        <v>-48</v>
      </c>
      <c r="T819" s="7">
        <v>-28</v>
      </c>
    </row>
    <row r="820" spans="1:22" x14ac:dyDescent="0.25">
      <c r="A820" s="3">
        <v>45945</v>
      </c>
      <c r="B820" s="7" t="s">
        <v>59</v>
      </c>
      <c r="C820" s="7">
        <v>-800</v>
      </c>
      <c r="D820" s="7">
        <v>-250</v>
      </c>
      <c r="E820" s="7"/>
      <c r="F820" s="7">
        <v>-50</v>
      </c>
      <c r="G820" s="7">
        <v>-180</v>
      </c>
      <c r="H820" s="7">
        <v>-340</v>
      </c>
      <c r="I820" s="7">
        <v>-220</v>
      </c>
      <c r="J820" s="7">
        <v>-160</v>
      </c>
      <c r="K820" s="7">
        <v>-2</v>
      </c>
      <c r="L820" s="7">
        <v>-6</v>
      </c>
      <c r="M820" s="7"/>
      <c r="N820" s="7">
        <v>-1</v>
      </c>
      <c r="O820" s="7"/>
      <c r="P820" s="7"/>
      <c r="Q820" s="7"/>
      <c r="R820" s="7"/>
      <c r="S820" s="7">
        <v>40</v>
      </c>
      <c r="T820" s="7"/>
      <c r="U820" s="4">
        <v>2</v>
      </c>
    </row>
    <row r="821" spans="1:22" x14ac:dyDescent="0.25">
      <c r="A821" s="3">
        <v>45946</v>
      </c>
      <c r="B821" s="7" t="s">
        <v>81</v>
      </c>
      <c r="C821" s="7">
        <v>-1200</v>
      </c>
      <c r="D821" s="7">
        <v>-375</v>
      </c>
      <c r="E821" s="7"/>
      <c r="F821" s="7">
        <v>-75</v>
      </c>
      <c r="G821" s="7">
        <v>-270</v>
      </c>
      <c r="H821" s="7">
        <v>-510</v>
      </c>
      <c r="I821" s="7">
        <v>-330</v>
      </c>
      <c r="J821" s="7">
        <v>-240</v>
      </c>
      <c r="K821" s="7">
        <v>-3</v>
      </c>
      <c r="L821" s="7">
        <v>-9</v>
      </c>
      <c r="M821" s="7"/>
      <c r="N821" s="7">
        <v>-1.5</v>
      </c>
      <c r="O821" s="7"/>
      <c r="P821" s="7"/>
      <c r="Q821" s="7"/>
      <c r="R821" s="7"/>
      <c r="S821" s="7">
        <v>60</v>
      </c>
      <c r="T821" s="7"/>
      <c r="U821" s="4">
        <v>3</v>
      </c>
    </row>
    <row r="822" spans="1:22" x14ac:dyDescent="0.25">
      <c r="A822" s="3">
        <v>45946</v>
      </c>
      <c r="B822" s="7" t="s">
        <v>33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>
        <v>-48</v>
      </c>
      <c r="T822" s="7">
        <v>-28</v>
      </c>
    </row>
    <row r="823" spans="1:22" x14ac:dyDescent="0.25">
      <c r="A823" s="3">
        <v>45947</v>
      </c>
      <c r="B823" s="7" t="s">
        <v>89</v>
      </c>
      <c r="C823" s="7">
        <v>12638</v>
      </c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2" x14ac:dyDescent="0.25">
      <c r="A824" s="3">
        <v>45947</v>
      </c>
      <c r="B824" s="7" t="s">
        <v>7</v>
      </c>
      <c r="C824" s="7"/>
      <c r="D824" s="7"/>
      <c r="E824" s="7"/>
      <c r="F824" s="7"/>
      <c r="G824" s="7"/>
      <c r="H824" s="7"/>
      <c r="I824" s="7"/>
      <c r="J824" s="7"/>
      <c r="K824" s="7">
        <v>200</v>
      </c>
      <c r="L824" s="7"/>
      <c r="M824" s="7"/>
      <c r="N824" s="7"/>
      <c r="O824" s="7"/>
      <c r="P824" s="7"/>
      <c r="Q824" s="7"/>
      <c r="R824" s="7"/>
      <c r="S824" s="7"/>
      <c r="T824" s="7"/>
    </row>
    <row r="825" spans="1:22" x14ac:dyDescent="0.25">
      <c r="A825" s="3">
        <v>45947</v>
      </c>
      <c r="B825" s="7" t="s">
        <v>12</v>
      </c>
      <c r="C825" s="7"/>
      <c r="D825" s="7"/>
      <c r="E825" s="7"/>
      <c r="F825" s="7"/>
      <c r="G825" s="7"/>
      <c r="H825" s="7"/>
      <c r="I825" s="7"/>
      <c r="J825" s="7"/>
      <c r="K825" s="7"/>
      <c r="L825" s="7">
        <v>24</v>
      </c>
      <c r="M825" s="7"/>
      <c r="N825" s="7"/>
      <c r="O825" s="7"/>
      <c r="P825" s="7"/>
      <c r="Q825" s="7"/>
      <c r="R825" s="7"/>
      <c r="S825" s="7"/>
      <c r="T825" s="7"/>
    </row>
    <row r="826" spans="1:22" x14ac:dyDescent="0.25">
      <c r="A826" s="3">
        <v>45947</v>
      </c>
      <c r="B826" s="7" t="s">
        <v>81</v>
      </c>
      <c r="C826" s="7">
        <v>-1200</v>
      </c>
      <c r="D826" s="7">
        <v>-375</v>
      </c>
      <c r="E826" s="7"/>
      <c r="F826" s="7">
        <v>-75</v>
      </c>
      <c r="G826" s="7">
        <v>-270</v>
      </c>
      <c r="H826" s="7">
        <v>-510</v>
      </c>
      <c r="I826" s="7">
        <v>-330</v>
      </c>
      <c r="J826" s="7">
        <v>-240</v>
      </c>
      <c r="K826" s="7">
        <v>-3</v>
      </c>
      <c r="L826" s="7">
        <v>-9</v>
      </c>
      <c r="M826" s="7"/>
      <c r="N826" s="7">
        <v>-1.5</v>
      </c>
      <c r="O826" s="7"/>
      <c r="P826" s="7"/>
      <c r="Q826" s="7"/>
      <c r="R826" s="7"/>
      <c r="S826" s="7">
        <v>60</v>
      </c>
      <c r="T826" s="7"/>
      <c r="U826" s="4">
        <v>3</v>
      </c>
    </row>
    <row r="827" spans="1:22" x14ac:dyDescent="0.25">
      <c r="A827" s="3">
        <v>45947</v>
      </c>
      <c r="B827" s="7" t="s">
        <v>33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>
        <v>-48</v>
      </c>
      <c r="T827" s="7">
        <v>-29</v>
      </c>
    </row>
    <row r="828" spans="1:22" x14ac:dyDescent="0.25">
      <c r="A828" s="3">
        <v>45948</v>
      </c>
      <c r="B828" s="7" t="s">
        <v>144</v>
      </c>
      <c r="C828" s="7">
        <v>404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2" x14ac:dyDescent="0.25">
      <c r="A829" s="3">
        <v>45948</v>
      </c>
      <c r="B829" s="7" t="s">
        <v>69</v>
      </c>
      <c r="C829" s="7">
        <v>-2400</v>
      </c>
      <c r="D829" s="7">
        <v>-775</v>
      </c>
      <c r="E829" s="7"/>
      <c r="F829" s="7">
        <v>-150</v>
      </c>
      <c r="G829" s="7">
        <v>-540</v>
      </c>
      <c r="H829" s="7">
        <v>-1020</v>
      </c>
      <c r="I829" s="7">
        <v>-660</v>
      </c>
      <c r="J829" s="7">
        <v>-240</v>
      </c>
      <c r="K829" s="7">
        <v>-6</v>
      </c>
      <c r="L829" s="7">
        <v>-18</v>
      </c>
      <c r="M829" s="7"/>
      <c r="N829" s="7">
        <v>-3</v>
      </c>
      <c r="O829" s="7"/>
      <c r="P829" s="7"/>
      <c r="Q829" s="7"/>
      <c r="R829" s="7"/>
      <c r="S829" s="7">
        <v>120</v>
      </c>
      <c r="T829" s="7"/>
      <c r="U829" s="4">
        <v>6</v>
      </c>
    </row>
    <row r="830" spans="1:22" x14ac:dyDescent="0.25">
      <c r="A830" s="3">
        <v>45948</v>
      </c>
      <c r="B830" s="7" t="s">
        <v>122</v>
      </c>
      <c r="C830" s="7">
        <v>-1170</v>
      </c>
      <c r="D830" s="7">
        <v>-540</v>
      </c>
      <c r="E830" s="7"/>
      <c r="F830" s="7">
        <v>-75</v>
      </c>
      <c r="G830" s="7">
        <v>-300</v>
      </c>
      <c r="H830" s="7">
        <v>-465</v>
      </c>
      <c r="I830" s="7">
        <v>-120</v>
      </c>
      <c r="J830" s="7">
        <v>-330</v>
      </c>
      <c r="K830" s="7">
        <v>-3</v>
      </c>
      <c r="L830" s="7">
        <v>-6</v>
      </c>
      <c r="M830" s="7">
        <v>-1.5</v>
      </c>
      <c r="N830" s="7">
        <v>-1.5</v>
      </c>
      <c r="O830" s="7"/>
      <c r="P830" s="7"/>
      <c r="Q830" s="7"/>
      <c r="R830" s="7"/>
      <c r="S830" s="7"/>
      <c r="T830" s="7">
        <v>60</v>
      </c>
      <c r="V830" s="4">
        <v>3</v>
      </c>
    </row>
    <row r="831" spans="1:22" x14ac:dyDescent="0.25">
      <c r="A831" s="3">
        <v>45948</v>
      </c>
      <c r="B831" s="7" t="s">
        <v>33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>
        <v>-48</v>
      </c>
      <c r="T831" s="7">
        <v>-29</v>
      </c>
    </row>
    <row r="832" spans="1:22" x14ac:dyDescent="0.25">
      <c r="A832" s="3">
        <v>45949</v>
      </c>
      <c r="B832" s="7" t="s">
        <v>89</v>
      </c>
      <c r="C832" s="7">
        <v>12870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2" x14ac:dyDescent="0.25">
      <c r="A833" s="3">
        <v>45949</v>
      </c>
      <c r="B833" s="7" t="s">
        <v>33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>
        <v>-48</v>
      </c>
      <c r="T833" s="7">
        <v>-29</v>
      </c>
    </row>
    <row r="834" spans="1:22" x14ac:dyDescent="0.25">
      <c r="A834" s="3">
        <v>45950</v>
      </c>
      <c r="B834" s="7" t="s">
        <v>13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>
        <v>50</v>
      </c>
      <c r="O834" s="7"/>
      <c r="P834" s="7"/>
      <c r="Q834" s="7"/>
      <c r="R834" s="7"/>
      <c r="S834" s="7"/>
      <c r="T834" s="7"/>
    </row>
    <row r="835" spans="1:22" x14ac:dyDescent="0.25">
      <c r="A835" s="3">
        <v>45950</v>
      </c>
      <c r="B835" s="7" t="s">
        <v>12</v>
      </c>
      <c r="C835" s="7"/>
      <c r="D835" s="7"/>
      <c r="E835" s="7"/>
      <c r="F835" s="7"/>
      <c r="G835" s="7"/>
      <c r="H835" s="7"/>
      <c r="I835" s="7"/>
      <c r="J835" s="7"/>
      <c r="K835" s="7"/>
      <c r="L835" s="7">
        <v>250</v>
      </c>
      <c r="M835" s="7"/>
      <c r="N835" s="7"/>
      <c r="O835" s="7"/>
      <c r="P835" s="7"/>
      <c r="Q835" s="7"/>
      <c r="R835" s="7"/>
      <c r="S835" s="7"/>
      <c r="T835" s="7"/>
    </row>
    <row r="836" spans="1:22" x14ac:dyDescent="0.25">
      <c r="A836" s="3">
        <v>45950</v>
      </c>
      <c r="B836" s="7" t="s">
        <v>33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>
        <v>-48</v>
      </c>
      <c r="T836" s="7">
        <v>-28</v>
      </c>
    </row>
    <row r="837" spans="1:22" x14ac:dyDescent="0.25">
      <c r="A837" s="3">
        <v>45951</v>
      </c>
      <c r="B837" s="7" t="s">
        <v>145</v>
      </c>
      <c r="C837" s="7">
        <v>-4000</v>
      </c>
      <c r="D837" s="7">
        <v>-1250</v>
      </c>
      <c r="E837" s="7"/>
      <c r="F837" s="7">
        <v>-250</v>
      </c>
      <c r="G837" s="7">
        <v>-900</v>
      </c>
      <c r="H837" s="7">
        <v>-1700</v>
      </c>
      <c r="I837" s="7">
        <v>-1100</v>
      </c>
      <c r="J837" s="7">
        <v>-800</v>
      </c>
      <c r="K837" s="7">
        <v>-10</v>
      </c>
      <c r="L837" s="7">
        <v>-30</v>
      </c>
      <c r="M837" s="7"/>
      <c r="N837" s="7">
        <v>-5</v>
      </c>
      <c r="O837" s="7"/>
      <c r="P837" s="7"/>
      <c r="Q837" s="7"/>
      <c r="R837" s="7"/>
      <c r="S837" s="7">
        <v>200</v>
      </c>
      <c r="T837" s="7"/>
      <c r="U837" s="4">
        <v>10</v>
      </c>
    </row>
    <row r="838" spans="1:22" x14ac:dyDescent="0.25">
      <c r="A838" s="3">
        <v>45951</v>
      </c>
      <c r="B838" s="7" t="s">
        <v>33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>
        <v>-48</v>
      </c>
      <c r="T838" s="7">
        <v>-28</v>
      </c>
    </row>
    <row r="839" spans="1:22" x14ac:dyDescent="0.25">
      <c r="A839" s="3">
        <v>45952</v>
      </c>
      <c r="B839" s="7" t="s">
        <v>33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>
        <v>-48</v>
      </c>
      <c r="T839" s="7">
        <v>-28</v>
      </c>
    </row>
    <row r="840" spans="1:22" x14ac:dyDescent="0.25">
      <c r="A840" s="3">
        <v>45952</v>
      </c>
      <c r="B840" s="7" t="s">
        <v>146</v>
      </c>
      <c r="C840" s="7">
        <v>-1950</v>
      </c>
      <c r="D840" s="7">
        <v>-900</v>
      </c>
      <c r="E840" s="7"/>
      <c r="F840" s="7">
        <v>-125</v>
      </c>
      <c r="G840" s="7">
        <v>-500</v>
      </c>
      <c r="H840" s="7">
        <v>-775</v>
      </c>
      <c r="I840" s="7">
        <v>-200</v>
      </c>
      <c r="J840" s="7">
        <v>-550</v>
      </c>
      <c r="K840" s="7">
        <v>-5</v>
      </c>
      <c r="L840" s="7">
        <v>-10</v>
      </c>
      <c r="M840" s="7">
        <v>-2.5</v>
      </c>
      <c r="N840" s="7">
        <v>-2.5</v>
      </c>
      <c r="O840" s="7"/>
      <c r="P840" s="7"/>
      <c r="Q840" s="7"/>
      <c r="R840" s="7"/>
      <c r="S840" s="7"/>
      <c r="T840" s="7">
        <v>100</v>
      </c>
      <c r="V840" s="4">
        <v>5</v>
      </c>
    </row>
    <row r="841" spans="1:22" ht="14.5" x14ac:dyDescent="0.35">
      <c r="A841" s="3">
        <v>45952</v>
      </c>
      <c r="B841" s="7" t="s">
        <v>147</v>
      </c>
      <c r="C841" s="7">
        <v>266</v>
      </c>
      <c r="D841" s="7"/>
      <c r="E841" s="7"/>
      <c r="F841" s="7"/>
      <c r="G841" s="7"/>
      <c r="H841" s="7"/>
      <c r="I841" s="7"/>
      <c r="J841" s="7"/>
      <c r="K841" s="7"/>
      <c r="L841" s="7"/>
      <c r="M841" s="37"/>
      <c r="N841" s="7"/>
      <c r="O841" s="7"/>
      <c r="P841" s="7"/>
      <c r="Q841" s="7"/>
      <c r="R841" s="7"/>
      <c r="S841" s="7"/>
      <c r="T841" s="7"/>
    </row>
    <row r="842" spans="1:22" x14ac:dyDescent="0.25">
      <c r="A842" s="3">
        <v>45953</v>
      </c>
      <c r="B842" s="7" t="s">
        <v>129</v>
      </c>
      <c r="C842" s="7">
        <v>-1560</v>
      </c>
      <c r="D842" s="7">
        <v>-720</v>
      </c>
      <c r="E842" s="7"/>
      <c r="F842" s="7">
        <v>-100</v>
      </c>
      <c r="G842" s="7">
        <v>-400</v>
      </c>
      <c r="H842" s="7">
        <v>-620</v>
      </c>
      <c r="I842" s="7">
        <v>-160</v>
      </c>
      <c r="J842" s="7">
        <v>-440</v>
      </c>
      <c r="K842" s="7">
        <v>-4</v>
      </c>
      <c r="L842" s="7">
        <v>-8</v>
      </c>
      <c r="M842" s="7">
        <v>-2</v>
      </c>
      <c r="N842" s="7">
        <v>-2</v>
      </c>
      <c r="O842" s="7"/>
      <c r="P842" s="7"/>
      <c r="Q842" s="7"/>
      <c r="R842" s="7"/>
      <c r="S842" s="7"/>
      <c r="T842" s="7">
        <v>80</v>
      </c>
      <c r="V842" s="4">
        <v>4</v>
      </c>
    </row>
    <row r="843" spans="1:22" x14ac:dyDescent="0.25">
      <c r="A843" s="3">
        <v>45953</v>
      </c>
      <c r="B843" s="7" t="s">
        <v>140</v>
      </c>
      <c r="C843" s="7">
        <v>327</v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2" x14ac:dyDescent="0.25">
      <c r="A844" s="3">
        <v>45953</v>
      </c>
      <c r="B844" s="7" t="s">
        <v>33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>
        <v>-48</v>
      </c>
      <c r="T844" s="7">
        <v>-26</v>
      </c>
    </row>
    <row r="845" spans="1:22" x14ac:dyDescent="0.25">
      <c r="A845" s="3">
        <v>45954</v>
      </c>
      <c r="B845" s="7" t="s">
        <v>33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>
        <v>-48</v>
      </c>
      <c r="T845" s="7">
        <v>-26</v>
      </c>
    </row>
    <row r="846" spans="1:22" x14ac:dyDescent="0.25">
      <c r="A846" s="3">
        <v>45954</v>
      </c>
      <c r="B846" s="7" t="s">
        <v>69</v>
      </c>
      <c r="C846" s="7">
        <v>-2400</v>
      </c>
      <c r="D846" s="7">
        <v>-775</v>
      </c>
      <c r="E846" s="7"/>
      <c r="F846" s="7">
        <v>-150</v>
      </c>
      <c r="G846" s="7">
        <v>-540</v>
      </c>
      <c r="H846" s="7">
        <v>-1020</v>
      </c>
      <c r="I846" s="7">
        <v>-660</v>
      </c>
      <c r="J846" s="7">
        <v>-240</v>
      </c>
      <c r="K846" s="7">
        <v>-6</v>
      </c>
      <c r="L846" s="7">
        <v>-18</v>
      </c>
      <c r="M846" s="7"/>
      <c r="N846" s="7">
        <v>-3</v>
      </c>
      <c r="O846" s="7"/>
      <c r="P846" s="7"/>
      <c r="Q846" s="7"/>
      <c r="R846" s="7"/>
      <c r="S846" s="7">
        <v>120</v>
      </c>
      <c r="T846" s="7"/>
      <c r="U846" s="4">
        <v>6</v>
      </c>
    </row>
    <row r="847" spans="1:22" x14ac:dyDescent="0.25">
      <c r="A847" s="3">
        <v>45955</v>
      </c>
      <c r="B847" s="7" t="s">
        <v>33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>
        <v>-48</v>
      </c>
      <c r="T847" s="7">
        <v>-27</v>
      </c>
    </row>
    <row r="848" spans="1:22" x14ac:dyDescent="0.25">
      <c r="A848" s="3">
        <v>45956</v>
      </c>
      <c r="B848" s="7" t="s">
        <v>33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>
        <v>-48</v>
      </c>
      <c r="T848" s="7">
        <v>-27</v>
      </c>
    </row>
    <row r="849" spans="1:22" x14ac:dyDescent="0.25">
      <c r="A849" s="3">
        <v>45957</v>
      </c>
      <c r="B849" s="7" t="s">
        <v>33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>
        <v>-48</v>
      </c>
      <c r="T849" s="7">
        <v>-27</v>
      </c>
    </row>
    <row r="850" spans="1:22" x14ac:dyDescent="0.25">
      <c r="A850" s="3">
        <v>45957</v>
      </c>
      <c r="B850" s="7" t="s">
        <v>20</v>
      </c>
      <c r="C850" s="7">
        <v>-2800</v>
      </c>
      <c r="D850" s="7">
        <v>-875</v>
      </c>
      <c r="E850" s="7"/>
      <c r="F850" s="7">
        <v>-175</v>
      </c>
      <c r="G850" s="7">
        <v>-630</v>
      </c>
      <c r="H850" s="7">
        <v>-1190</v>
      </c>
      <c r="I850" s="7">
        <v>-770</v>
      </c>
      <c r="J850" s="7">
        <v>-560</v>
      </c>
      <c r="K850" s="7">
        <v>-7</v>
      </c>
      <c r="L850" s="7">
        <v>-21</v>
      </c>
      <c r="M850" s="7"/>
      <c r="N850" s="7">
        <v>-3.5</v>
      </c>
      <c r="O850" s="7"/>
      <c r="P850" s="7"/>
      <c r="Q850" s="7"/>
      <c r="R850" s="7"/>
      <c r="S850" s="7">
        <v>140</v>
      </c>
      <c r="T850" s="7"/>
      <c r="U850" s="4">
        <v>7</v>
      </c>
    </row>
    <row r="851" spans="1:22" x14ac:dyDescent="0.25">
      <c r="A851" s="3">
        <v>45958</v>
      </c>
      <c r="B851" s="7" t="s">
        <v>33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>
        <v>-48</v>
      </c>
      <c r="T851" s="7">
        <v>-27</v>
      </c>
    </row>
    <row r="852" spans="1:22" x14ac:dyDescent="0.25">
      <c r="A852" s="3">
        <v>45958</v>
      </c>
      <c r="B852" s="7" t="s">
        <v>146</v>
      </c>
      <c r="C852" s="7">
        <v>-1950</v>
      </c>
      <c r="D852" s="7">
        <v>-900</v>
      </c>
      <c r="E852" s="7"/>
      <c r="F852" s="7">
        <v>-125</v>
      </c>
      <c r="G852" s="7">
        <v>-500</v>
      </c>
      <c r="H852" s="7">
        <v>-775</v>
      </c>
      <c r="I852" s="7">
        <v>-200</v>
      </c>
      <c r="J852" s="7">
        <v>-550</v>
      </c>
      <c r="K852" s="7">
        <v>-5</v>
      </c>
      <c r="L852" s="7">
        <v>-10</v>
      </c>
      <c r="M852" s="7">
        <v>-2.5</v>
      </c>
      <c r="N852" s="7">
        <v>-2.5</v>
      </c>
      <c r="O852" s="7"/>
      <c r="P852" s="7"/>
      <c r="Q852" s="7"/>
      <c r="R852" s="7"/>
      <c r="S852" s="7"/>
      <c r="T852" s="7">
        <v>100</v>
      </c>
      <c r="V852" s="4">
        <v>5</v>
      </c>
    </row>
    <row r="853" spans="1:22" x14ac:dyDescent="0.25">
      <c r="A853" s="3">
        <v>45958</v>
      </c>
      <c r="B853" s="7" t="s">
        <v>59</v>
      </c>
      <c r="C853" s="7">
        <v>-800</v>
      </c>
      <c r="D853" s="7">
        <v>-250</v>
      </c>
      <c r="E853" s="7"/>
      <c r="F853" s="7">
        <v>-50</v>
      </c>
      <c r="G853" s="7">
        <v>-180</v>
      </c>
      <c r="H853" s="7">
        <v>-340</v>
      </c>
      <c r="I853" s="7">
        <v>-220</v>
      </c>
      <c r="J853" s="7">
        <v>-160</v>
      </c>
      <c r="K853" s="7">
        <v>-2</v>
      </c>
      <c r="L853" s="7">
        <v>-6</v>
      </c>
      <c r="M853" s="7"/>
      <c r="N853" s="7">
        <v>-1</v>
      </c>
      <c r="O853" s="7"/>
      <c r="P853" s="7"/>
      <c r="Q853" s="7"/>
      <c r="R853" s="7"/>
      <c r="S853" s="7">
        <v>40</v>
      </c>
      <c r="T853" s="7"/>
      <c r="U853" s="4">
        <v>2</v>
      </c>
    </row>
    <row r="854" spans="1:22" x14ac:dyDescent="0.25">
      <c r="A854" s="3">
        <v>45959</v>
      </c>
      <c r="B854" s="7" t="s">
        <v>33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>
        <v>-48</v>
      </c>
      <c r="T854" s="7">
        <v>-27</v>
      </c>
    </row>
    <row r="855" spans="1:22" x14ac:dyDescent="0.25">
      <c r="A855" s="3">
        <v>45959</v>
      </c>
      <c r="B855" s="7" t="s">
        <v>193</v>
      </c>
      <c r="C855" s="7">
        <v>425</v>
      </c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2" x14ac:dyDescent="0.25">
      <c r="A856" s="3">
        <v>45960</v>
      </c>
      <c r="B856" s="7" t="s">
        <v>18</v>
      </c>
      <c r="C856" s="7"/>
      <c r="D856" s="7"/>
      <c r="E856" s="7"/>
      <c r="F856" s="7"/>
      <c r="G856" s="7"/>
      <c r="H856" s="7">
        <v>10000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2" x14ac:dyDescent="0.25">
      <c r="A857" s="3">
        <v>45960</v>
      </c>
      <c r="B857" s="7" t="s">
        <v>35</v>
      </c>
      <c r="C857" s="7"/>
      <c r="D857" s="7"/>
      <c r="E857" s="7"/>
      <c r="F857" s="7">
        <v>2500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2" x14ac:dyDescent="0.25">
      <c r="A858" s="3">
        <v>45960</v>
      </c>
      <c r="B858" s="7" t="s">
        <v>33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>
        <v>-48</v>
      </c>
      <c r="T858" s="7">
        <v>-28</v>
      </c>
    </row>
    <row r="859" spans="1:22" x14ac:dyDescent="0.25">
      <c r="A859" s="3">
        <v>45961</v>
      </c>
      <c r="B859" s="7" t="s">
        <v>133</v>
      </c>
      <c r="C859" s="7">
        <v>12690</v>
      </c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2" x14ac:dyDescent="0.25">
      <c r="A860" s="3">
        <v>45961</v>
      </c>
      <c r="B860" s="7" t="s">
        <v>96</v>
      </c>
      <c r="C860" s="7">
        <v>-3200</v>
      </c>
      <c r="D860" s="7">
        <v>-1000</v>
      </c>
      <c r="E860" s="7"/>
      <c r="F860" s="7">
        <v>-200</v>
      </c>
      <c r="G860" s="7">
        <v>-720</v>
      </c>
      <c r="H860" s="7">
        <v>-1360</v>
      </c>
      <c r="I860" s="7">
        <v>-880</v>
      </c>
      <c r="J860" s="7">
        <v>-640</v>
      </c>
      <c r="K860" s="7">
        <v>-8</v>
      </c>
      <c r="L860" s="7">
        <v>-24</v>
      </c>
      <c r="M860" s="7"/>
      <c r="N860" s="7">
        <v>-4</v>
      </c>
      <c r="O860" s="7"/>
      <c r="P860" s="7"/>
      <c r="Q860" s="7"/>
      <c r="R860" s="7"/>
      <c r="S860" s="7">
        <v>160</v>
      </c>
      <c r="T860" s="7"/>
      <c r="U860" s="4">
        <v>8</v>
      </c>
    </row>
    <row r="861" spans="1:22" x14ac:dyDescent="0.25">
      <c r="A861" s="3">
        <v>45961</v>
      </c>
      <c r="B861" s="7" t="s">
        <v>33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>
        <v>-48</v>
      </c>
      <c r="T861" s="7">
        <v>-28</v>
      </c>
    </row>
    <row r="862" spans="1:22" x14ac:dyDescent="0.25">
      <c r="A862" s="3">
        <v>45961</v>
      </c>
      <c r="B862" s="7" t="s">
        <v>195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>
        <v>-4.5</v>
      </c>
      <c r="N862" s="7"/>
      <c r="O862" s="7"/>
      <c r="P862" s="7"/>
      <c r="Q862" s="7"/>
      <c r="R862" s="7"/>
      <c r="S862" s="7"/>
      <c r="T862" s="7"/>
    </row>
    <row r="863" spans="1:22" x14ac:dyDescent="0.25">
      <c r="A863" s="3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2" x14ac:dyDescent="0.25">
      <c r="A864" s="3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 x14ac:dyDescent="0.25">
      <c r="A866" s="20"/>
      <c r="B866" s="21" t="s">
        <v>25</v>
      </c>
      <c r="C866" s="22">
        <f t="shared" ref="C866:T866" si="20">SUM(C775:C865)</f>
        <v>17930</v>
      </c>
      <c r="D866" s="22">
        <f t="shared" si="20"/>
        <v>1989</v>
      </c>
      <c r="E866" s="22">
        <f t="shared" si="20"/>
        <v>810</v>
      </c>
      <c r="F866" s="22">
        <f t="shared" si="20"/>
        <v>3550</v>
      </c>
      <c r="G866" s="22">
        <f t="shared" si="20"/>
        <v>2742</v>
      </c>
      <c r="H866" s="22">
        <f t="shared" si="20"/>
        <v>9055</v>
      </c>
      <c r="I866" s="22">
        <f t="shared" si="20"/>
        <v>230</v>
      </c>
      <c r="J866" s="22">
        <f t="shared" si="20"/>
        <v>4440</v>
      </c>
      <c r="K866" s="22">
        <f t="shared" si="20"/>
        <v>178</v>
      </c>
      <c r="L866" s="22">
        <f t="shared" si="20"/>
        <v>125</v>
      </c>
      <c r="M866" s="22">
        <f t="shared" si="20"/>
        <v>46.5</v>
      </c>
      <c r="N866" s="22">
        <f t="shared" si="20"/>
        <v>34.5</v>
      </c>
      <c r="O866" s="22">
        <f t="shared" si="20"/>
        <v>100</v>
      </c>
      <c r="P866" s="22">
        <f t="shared" si="20"/>
        <v>0</v>
      </c>
      <c r="Q866" s="22"/>
      <c r="R866" s="22"/>
      <c r="S866" s="22">
        <f t="shared" si="20"/>
        <v>228</v>
      </c>
      <c r="T866" s="22">
        <f t="shared" si="20"/>
        <v>50</v>
      </c>
    </row>
    <row r="867" spans="1:20" x14ac:dyDescent="0.25">
      <c r="A867" s="17"/>
      <c r="B867" s="17" t="s">
        <v>28</v>
      </c>
      <c r="C867" s="17">
        <v>1565</v>
      </c>
      <c r="D867" s="17">
        <v>579</v>
      </c>
      <c r="E867" s="17">
        <v>0</v>
      </c>
      <c r="F867" s="17">
        <v>99</v>
      </c>
      <c r="G867" s="17">
        <v>371</v>
      </c>
      <c r="H867" s="17">
        <v>648</v>
      </c>
      <c r="I867" s="17">
        <v>326</v>
      </c>
      <c r="J867" s="17">
        <v>364</v>
      </c>
      <c r="K867" s="17">
        <v>4</v>
      </c>
      <c r="L867" s="17">
        <v>10.3</v>
      </c>
      <c r="M867" s="17">
        <v>0.81</v>
      </c>
      <c r="N867" s="17">
        <v>2</v>
      </c>
      <c r="O867" s="17">
        <v>0</v>
      </c>
      <c r="P867" s="17">
        <v>0</v>
      </c>
      <c r="Q867" s="17"/>
      <c r="R867" s="17"/>
      <c r="S867" s="17">
        <v>48</v>
      </c>
      <c r="T867" s="17">
        <v>27</v>
      </c>
    </row>
    <row r="868" spans="1:20" x14ac:dyDescent="0.25">
      <c r="A868" s="17"/>
      <c r="B868" s="17" t="s">
        <v>26</v>
      </c>
      <c r="C868" s="18">
        <f>C866/C867</f>
        <v>11.456869009584665</v>
      </c>
      <c r="D868" s="18">
        <f t="shared" ref="D868:S868" si="21">D866/D867</f>
        <v>3.4352331606217619</v>
      </c>
      <c r="E868" s="18" t="e">
        <f t="shared" si="21"/>
        <v>#DIV/0!</v>
      </c>
      <c r="F868" s="18">
        <f t="shared" si="21"/>
        <v>35.858585858585862</v>
      </c>
      <c r="G868" s="18">
        <f t="shared" si="21"/>
        <v>7.3908355795148246</v>
      </c>
      <c r="H868" s="18">
        <f t="shared" si="21"/>
        <v>13.973765432098766</v>
      </c>
      <c r="I868" s="18">
        <f t="shared" si="21"/>
        <v>0.70552147239263807</v>
      </c>
      <c r="J868" s="18">
        <f t="shared" si="21"/>
        <v>12.197802197802197</v>
      </c>
      <c r="K868" s="18">
        <f t="shared" si="21"/>
        <v>44.5</v>
      </c>
      <c r="L868" s="18">
        <f t="shared" si="21"/>
        <v>12.135922330097086</v>
      </c>
      <c r="M868" s="18">
        <f t="shared" si="21"/>
        <v>57.407407407407405</v>
      </c>
      <c r="N868" s="18">
        <f t="shared" si="21"/>
        <v>17.25</v>
      </c>
      <c r="O868" s="18" t="e">
        <f t="shared" si="21"/>
        <v>#DIV/0!</v>
      </c>
      <c r="P868" s="18" t="e">
        <f t="shared" si="21"/>
        <v>#DIV/0!</v>
      </c>
      <c r="Q868" s="18"/>
      <c r="R868" s="18"/>
      <c r="S868" s="18">
        <f t="shared" si="21"/>
        <v>4.75</v>
      </c>
      <c r="T868" s="18">
        <f t="shared" ref="T868" si="22">T866/T867</f>
        <v>1.8518518518518519</v>
      </c>
    </row>
    <row r="869" spans="1:20" x14ac:dyDescent="0.25">
      <c r="A869" s="21"/>
      <c r="B869" s="21" t="s">
        <v>102</v>
      </c>
      <c r="C869" s="21">
        <f>C867*31</f>
        <v>48515</v>
      </c>
      <c r="D869" s="21">
        <f>D867*31</f>
        <v>17949</v>
      </c>
      <c r="E869" s="21">
        <f t="shared" ref="E869:T869" si="23">E867*31</f>
        <v>0</v>
      </c>
      <c r="F869" s="21">
        <f t="shared" si="23"/>
        <v>3069</v>
      </c>
      <c r="G869" s="21">
        <f t="shared" si="23"/>
        <v>11501</v>
      </c>
      <c r="H869" s="21">
        <f t="shared" si="23"/>
        <v>20088</v>
      </c>
      <c r="I869" s="21">
        <f t="shared" si="23"/>
        <v>10106</v>
      </c>
      <c r="J869" s="21">
        <f t="shared" si="23"/>
        <v>11284</v>
      </c>
      <c r="K869" s="21">
        <f t="shared" si="23"/>
        <v>124</v>
      </c>
      <c r="L869" s="21">
        <f t="shared" si="23"/>
        <v>319.3</v>
      </c>
      <c r="M869" s="21">
        <f t="shared" si="23"/>
        <v>25.110000000000003</v>
      </c>
      <c r="N869" s="21">
        <f t="shared" si="23"/>
        <v>62</v>
      </c>
      <c r="O869" s="21">
        <f t="shared" si="23"/>
        <v>0</v>
      </c>
      <c r="P869" s="21">
        <f t="shared" si="23"/>
        <v>0</v>
      </c>
      <c r="Q869" s="21"/>
      <c r="R869" s="21"/>
      <c r="S869" s="21">
        <f t="shared" si="23"/>
        <v>1488</v>
      </c>
      <c r="T869" s="21">
        <f t="shared" si="23"/>
        <v>837</v>
      </c>
    </row>
    <row r="870" spans="1:20" x14ac:dyDescent="0.2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</row>
    <row r="871" spans="1:20" x14ac:dyDescent="0.2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</row>
    <row r="872" spans="1:20" x14ac:dyDescent="0.2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</row>
    <row r="876" spans="1:20" ht="26" x14ac:dyDescent="0.6">
      <c r="I876" s="34">
        <v>45962</v>
      </c>
    </row>
    <row r="877" spans="1:20" x14ac:dyDescent="0.25">
      <c r="A877" s="28"/>
      <c r="B877" s="28"/>
      <c r="C877" s="28"/>
      <c r="D877" s="28"/>
      <c r="E877" s="28"/>
      <c r="F877" s="7"/>
      <c r="G877" s="7"/>
      <c r="H877" s="7"/>
      <c r="I877" s="7"/>
      <c r="J877" s="7"/>
      <c r="K877" s="7"/>
      <c r="L877" s="7"/>
      <c r="M877" s="7"/>
      <c r="N877" s="7"/>
      <c r="O877" s="28"/>
      <c r="P877" s="28"/>
      <c r="Q877" s="28"/>
      <c r="R877" s="28"/>
      <c r="S877" s="28"/>
      <c r="T877" s="28"/>
    </row>
    <row r="878" spans="1:20" x14ac:dyDescent="0.25">
      <c r="A878" s="28"/>
      <c r="B878" s="28"/>
      <c r="C878" s="28"/>
      <c r="D878" s="28"/>
      <c r="E878" s="28"/>
      <c r="F878" s="7"/>
      <c r="G878" s="7"/>
      <c r="H878" s="7"/>
      <c r="I878" s="7"/>
      <c r="J878" s="7"/>
      <c r="K878" s="7"/>
      <c r="L878" s="7"/>
      <c r="M878" s="7"/>
      <c r="N878" s="7"/>
      <c r="O878" s="28"/>
      <c r="P878" s="28"/>
      <c r="Q878" s="28"/>
      <c r="R878" s="28"/>
      <c r="S878" s="28"/>
      <c r="T878" s="28"/>
    </row>
    <row r="879" spans="1:20" x14ac:dyDescent="0.25">
      <c r="A879" s="3">
        <v>45962</v>
      </c>
      <c r="B879" s="9" t="s">
        <v>0</v>
      </c>
      <c r="C879" s="10">
        <v>15930</v>
      </c>
      <c r="D879" s="9">
        <v>2120</v>
      </c>
      <c r="E879" s="7">
        <v>810</v>
      </c>
      <c r="F879" s="9">
        <v>3550</v>
      </c>
      <c r="G879" s="9">
        <v>2970</v>
      </c>
      <c r="H879" s="9">
        <v>8615</v>
      </c>
      <c r="I879" s="9">
        <v>250</v>
      </c>
      <c r="J879" s="9">
        <v>4480</v>
      </c>
      <c r="K879" s="9">
        <v>178</v>
      </c>
      <c r="L879" s="9">
        <v>118</v>
      </c>
      <c r="M879" s="9">
        <v>46.5</v>
      </c>
      <c r="N879" s="9">
        <v>33.5</v>
      </c>
      <c r="O879" s="9">
        <v>100</v>
      </c>
      <c r="P879" s="9">
        <v>0</v>
      </c>
      <c r="Q879" s="9"/>
      <c r="R879" s="9"/>
      <c r="S879" s="9">
        <v>228</v>
      </c>
      <c r="T879" s="9">
        <v>74</v>
      </c>
    </row>
    <row r="880" spans="1:20" x14ac:dyDescent="0.25">
      <c r="A880" s="3">
        <v>45962</v>
      </c>
      <c r="B880" s="7" t="s">
        <v>33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>
        <v>-48</v>
      </c>
      <c r="T880" s="7">
        <v>-28</v>
      </c>
    </row>
    <row r="881" spans="1:20" x14ac:dyDescent="0.25">
      <c r="A881" s="3">
        <v>45962</v>
      </c>
      <c r="B881" s="7" t="s">
        <v>54</v>
      </c>
      <c r="C881" s="7"/>
      <c r="D881" s="7"/>
      <c r="E881" s="7"/>
      <c r="F881" s="7"/>
      <c r="G881" s="7"/>
      <c r="H881" s="7"/>
      <c r="I881" s="7">
        <v>10000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x14ac:dyDescent="0.25">
      <c r="A882" s="3">
        <v>45962</v>
      </c>
      <c r="B882" s="7" t="s">
        <v>129</v>
      </c>
      <c r="C882" s="7">
        <v>-1560</v>
      </c>
      <c r="D882" s="7">
        <v>-720</v>
      </c>
      <c r="E882" s="7"/>
      <c r="F882" s="7">
        <v>-100</v>
      </c>
      <c r="G882" s="7">
        <v>-400</v>
      </c>
      <c r="H882" s="7">
        <v>-620</v>
      </c>
      <c r="I882" s="7">
        <v>-160</v>
      </c>
      <c r="J882" s="7">
        <v>-440</v>
      </c>
      <c r="K882" s="7">
        <v>-4</v>
      </c>
      <c r="L882" s="7">
        <v>-8</v>
      </c>
      <c r="M882" s="7">
        <v>-2</v>
      </c>
      <c r="N882" s="7">
        <v>-2</v>
      </c>
      <c r="O882" s="7"/>
      <c r="P882" s="7"/>
      <c r="Q882" s="7"/>
      <c r="R882" s="7"/>
      <c r="S882" s="7"/>
      <c r="T882" s="7">
        <v>80</v>
      </c>
    </row>
    <row r="883" spans="1:20" x14ac:dyDescent="0.25">
      <c r="A883" s="3">
        <v>45963</v>
      </c>
      <c r="B883" s="7" t="s">
        <v>33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>
        <v>-48</v>
      </c>
      <c r="T883" s="7">
        <v>-28</v>
      </c>
    </row>
    <row r="884" spans="1:20" x14ac:dyDescent="0.25">
      <c r="A884" s="3">
        <v>45963</v>
      </c>
      <c r="B884" s="7" t="s">
        <v>194</v>
      </c>
      <c r="C884" s="7">
        <v>103</v>
      </c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 x14ac:dyDescent="0.25">
      <c r="A885" s="3">
        <v>45963</v>
      </c>
      <c r="B885" s="7" t="s">
        <v>17</v>
      </c>
      <c r="C885" s="7"/>
      <c r="D885" s="7">
        <v>12000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 x14ac:dyDescent="0.25">
      <c r="A886" s="3">
        <v>45964</v>
      </c>
      <c r="B886" s="7" t="s">
        <v>122</v>
      </c>
      <c r="C886" s="7">
        <v>-1170</v>
      </c>
      <c r="D886" s="7">
        <v>-540</v>
      </c>
      <c r="E886" s="7"/>
      <c r="F886" s="7">
        <v>-75</v>
      </c>
      <c r="G886" s="7">
        <v>-300</v>
      </c>
      <c r="H886" s="7">
        <v>-465</v>
      </c>
      <c r="I886" s="7">
        <v>-120</v>
      </c>
      <c r="J886" s="7">
        <v>-330</v>
      </c>
      <c r="K886" s="7">
        <v>-3</v>
      </c>
      <c r="L886" s="7">
        <v>-6</v>
      </c>
      <c r="M886" s="7">
        <v>-1.5</v>
      </c>
      <c r="N886" s="7">
        <v>-1.5</v>
      </c>
      <c r="O886" s="7"/>
      <c r="P886" s="7"/>
      <c r="Q886" s="7"/>
      <c r="R886" s="7"/>
      <c r="S886" s="7"/>
      <c r="T886" s="7">
        <v>60</v>
      </c>
    </row>
    <row r="887" spans="1:20" x14ac:dyDescent="0.25">
      <c r="A887" s="3">
        <v>45964</v>
      </c>
      <c r="B887" s="7" t="s">
        <v>33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>
        <v>-48</v>
      </c>
      <c r="T887" s="7">
        <v>-29</v>
      </c>
    </row>
    <row r="888" spans="1:20" x14ac:dyDescent="0.25">
      <c r="A888" s="3">
        <v>45964</v>
      </c>
      <c r="B888" s="7" t="s">
        <v>31</v>
      </c>
      <c r="C888" s="7">
        <v>-400</v>
      </c>
      <c r="D888" s="7">
        <v>-125</v>
      </c>
      <c r="E888" s="7"/>
      <c r="F888" s="7">
        <v>-25</v>
      </c>
      <c r="G888" s="7">
        <v>-90</v>
      </c>
      <c r="H888" s="7">
        <v>-250</v>
      </c>
      <c r="I888" s="7">
        <v>-110</v>
      </c>
      <c r="J888" s="7">
        <v>-80</v>
      </c>
      <c r="K888" s="7">
        <v>-1</v>
      </c>
      <c r="L888" s="7">
        <v>-3</v>
      </c>
      <c r="M888" s="7"/>
      <c r="N888" s="7">
        <v>-0.5</v>
      </c>
      <c r="O888" s="7"/>
      <c r="P888" s="7"/>
      <c r="S888" s="4">
        <v>20</v>
      </c>
      <c r="T888" s="7"/>
    </row>
    <row r="889" spans="1:20" x14ac:dyDescent="0.25">
      <c r="A889" s="3">
        <v>45964</v>
      </c>
      <c r="B889" s="7" t="s">
        <v>89</v>
      </c>
      <c r="C889" s="7">
        <v>11700</v>
      </c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 x14ac:dyDescent="0.25">
      <c r="A890" s="3">
        <v>45965</v>
      </c>
      <c r="B890" s="7" t="s">
        <v>8</v>
      </c>
      <c r="C890" s="7"/>
      <c r="D890" s="7"/>
      <c r="E890" s="7"/>
      <c r="F890" s="7"/>
      <c r="G890" s="7">
        <v>11000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 x14ac:dyDescent="0.25">
      <c r="A891" s="3">
        <v>45965</v>
      </c>
      <c r="B891" s="7" t="s">
        <v>33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>
        <v>-48</v>
      </c>
      <c r="T891" s="7">
        <v>-29</v>
      </c>
    </row>
    <row r="892" spans="1:20" x14ac:dyDescent="0.25">
      <c r="A892" s="3">
        <v>45965</v>
      </c>
      <c r="B892" s="7" t="s">
        <v>69</v>
      </c>
      <c r="C892" s="7">
        <v>-2400</v>
      </c>
      <c r="D892" s="7">
        <v>-775</v>
      </c>
      <c r="E892" s="7"/>
      <c r="F892" s="7">
        <v>-150</v>
      </c>
      <c r="G892" s="7">
        <v>-540</v>
      </c>
      <c r="H892" s="7">
        <v>-1020</v>
      </c>
      <c r="I892" s="7">
        <v>-660</v>
      </c>
      <c r="J892" s="7">
        <v>-240</v>
      </c>
      <c r="K892" s="7">
        <v>-6</v>
      </c>
      <c r="L892" s="7">
        <v>-18</v>
      </c>
      <c r="M892" s="7"/>
      <c r="N892" s="7">
        <v>-3</v>
      </c>
      <c r="O892" s="7"/>
      <c r="P892" s="7"/>
      <c r="Q892" s="7"/>
      <c r="R892" s="7"/>
      <c r="S892" s="7">
        <v>120</v>
      </c>
      <c r="T892" s="7"/>
    </row>
    <row r="893" spans="1:20" x14ac:dyDescent="0.25">
      <c r="A893" s="3">
        <v>45966</v>
      </c>
      <c r="B893" s="7" t="s">
        <v>33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>
        <v>-48</v>
      </c>
      <c r="T893" s="7">
        <v>-29</v>
      </c>
    </row>
    <row r="894" spans="1:20" x14ac:dyDescent="0.25">
      <c r="A894" s="3">
        <v>45966</v>
      </c>
      <c r="B894" s="7" t="s">
        <v>18</v>
      </c>
      <c r="C894" s="7"/>
      <c r="D894" s="7"/>
      <c r="E894" s="7"/>
      <c r="F894" s="7"/>
      <c r="G894" s="7"/>
      <c r="H894" s="7">
        <v>8100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 x14ac:dyDescent="0.25">
      <c r="A895" s="3">
        <v>45966</v>
      </c>
      <c r="B895" s="7" t="s">
        <v>55</v>
      </c>
      <c r="C895" s="7"/>
      <c r="D895" s="7"/>
      <c r="E895" s="7"/>
      <c r="F895" s="7"/>
      <c r="G895" s="7"/>
      <c r="H895" s="7"/>
      <c r="I895" s="7"/>
      <c r="J895" s="7">
        <v>4400</v>
      </c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 x14ac:dyDescent="0.25">
      <c r="A896" s="3">
        <v>45967</v>
      </c>
      <c r="B896" s="7" t="s">
        <v>33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>
        <v>-48</v>
      </c>
      <c r="T896" s="7">
        <v>-29</v>
      </c>
    </row>
    <row r="897" spans="1:20" x14ac:dyDescent="0.25">
      <c r="A897" s="3">
        <v>45968</v>
      </c>
      <c r="B897" s="7" t="s">
        <v>33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>
        <v>-48</v>
      </c>
      <c r="T897" s="7">
        <v>-29</v>
      </c>
    </row>
    <row r="898" spans="1:20" x14ac:dyDescent="0.25">
      <c r="A898" s="3">
        <v>45968</v>
      </c>
      <c r="B898" s="7" t="s">
        <v>122</v>
      </c>
      <c r="C898" s="7">
        <v>-1170</v>
      </c>
      <c r="D898" s="7">
        <v>-540</v>
      </c>
      <c r="E898" s="7"/>
      <c r="F898" s="7">
        <v>-75</v>
      </c>
      <c r="G898" s="7">
        <v>-300</v>
      </c>
      <c r="H898" s="7">
        <v>-465</v>
      </c>
      <c r="I898" s="7">
        <v>-120</v>
      </c>
      <c r="J898" s="7">
        <v>-330</v>
      </c>
      <c r="K898" s="7">
        <v>-3</v>
      </c>
      <c r="L898" s="7">
        <v>-6</v>
      </c>
      <c r="M898" s="7">
        <v>-1.5</v>
      </c>
      <c r="N898" s="7">
        <v>-1.5</v>
      </c>
      <c r="O898" s="7"/>
      <c r="P898" s="7"/>
      <c r="Q898" s="7"/>
      <c r="R898" s="7"/>
      <c r="S898" s="7"/>
      <c r="T898" s="7">
        <v>60</v>
      </c>
    </row>
    <row r="899" spans="1:20" x14ac:dyDescent="0.25">
      <c r="A899" s="3">
        <v>45968</v>
      </c>
      <c r="B899" s="7" t="s">
        <v>2</v>
      </c>
      <c r="C899" s="7">
        <v>-1600</v>
      </c>
      <c r="D899" s="7">
        <v>-500</v>
      </c>
      <c r="E899" s="7"/>
      <c r="F899" s="7">
        <v>-100</v>
      </c>
      <c r="G899" s="7">
        <v>-360</v>
      </c>
      <c r="H899" s="7">
        <v>-680</v>
      </c>
      <c r="I899" s="7">
        <v>-440</v>
      </c>
      <c r="J899" s="7">
        <v>-320</v>
      </c>
      <c r="K899" s="7">
        <v>-4</v>
      </c>
      <c r="L899" s="7">
        <v>-12</v>
      </c>
      <c r="M899" s="7"/>
      <c r="N899" s="7">
        <v>-2</v>
      </c>
      <c r="O899" s="7"/>
      <c r="P899" s="7"/>
      <c r="Q899" s="7"/>
      <c r="R899" s="7"/>
      <c r="S899" s="7">
        <v>80</v>
      </c>
      <c r="T899" s="7"/>
    </row>
    <row r="900" spans="1:20" x14ac:dyDescent="0.25">
      <c r="A900" s="3">
        <v>45969</v>
      </c>
      <c r="B900" s="7" t="s">
        <v>1</v>
      </c>
      <c r="C900" s="7">
        <v>-2000</v>
      </c>
      <c r="D900" s="7">
        <v>-625</v>
      </c>
      <c r="E900" s="7"/>
      <c r="F900" s="7">
        <v>-125</v>
      </c>
      <c r="G900" s="7">
        <v>-450</v>
      </c>
      <c r="H900" s="7">
        <v>-850</v>
      </c>
      <c r="I900" s="7">
        <v>-550</v>
      </c>
      <c r="J900" s="7">
        <v>-400</v>
      </c>
      <c r="K900" s="7">
        <v>-5</v>
      </c>
      <c r="L900" s="7">
        <v>-15</v>
      </c>
      <c r="M900" s="7"/>
      <c r="N900" s="7">
        <v>-2.5</v>
      </c>
      <c r="O900" s="7"/>
      <c r="P900" s="7"/>
      <c r="Q900" s="7"/>
      <c r="R900" s="7"/>
      <c r="S900" s="7">
        <v>100</v>
      </c>
      <c r="T900" s="7"/>
    </row>
    <row r="901" spans="1:20" x14ac:dyDescent="0.25">
      <c r="A901" s="3">
        <v>45969</v>
      </c>
      <c r="B901" s="7" t="s">
        <v>126</v>
      </c>
      <c r="C901" s="7">
        <v>-390</v>
      </c>
      <c r="D901" s="7">
        <v>-180</v>
      </c>
      <c r="E901" s="7"/>
      <c r="F901" s="7">
        <v>-25</v>
      </c>
      <c r="G901" s="7">
        <v>-100</v>
      </c>
      <c r="H901" s="7">
        <v>-155</v>
      </c>
      <c r="I901" s="7">
        <v>-40</v>
      </c>
      <c r="J901" s="7">
        <v>-110</v>
      </c>
      <c r="K901" s="7">
        <v>-1</v>
      </c>
      <c r="L901" s="7">
        <v>-2</v>
      </c>
      <c r="M901" s="7">
        <v>-0.5</v>
      </c>
      <c r="N901" s="7">
        <v>-0.5</v>
      </c>
      <c r="O901" s="7"/>
      <c r="P901" s="7"/>
      <c r="Q901" s="7"/>
      <c r="R901" s="7"/>
      <c r="S901" s="7"/>
      <c r="T901" s="7">
        <v>20</v>
      </c>
    </row>
    <row r="902" spans="1:20" x14ac:dyDescent="0.25">
      <c r="A902" s="3">
        <v>45969</v>
      </c>
      <c r="B902" s="7" t="s">
        <v>33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>
        <v>-48</v>
      </c>
      <c r="T902" s="7">
        <v>-30</v>
      </c>
    </row>
    <row r="903" spans="1:20" x14ac:dyDescent="0.25">
      <c r="A903" s="3">
        <v>45970</v>
      </c>
      <c r="B903" s="7" t="s">
        <v>33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>
        <v>-48</v>
      </c>
      <c r="T903" s="7">
        <v>-30</v>
      </c>
    </row>
    <row r="904" spans="1:20" x14ac:dyDescent="0.25">
      <c r="A904" s="3">
        <v>45970</v>
      </c>
      <c r="B904" s="7" t="s">
        <v>200</v>
      </c>
      <c r="C904" s="7">
        <v>13180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 x14ac:dyDescent="0.25">
      <c r="A905" s="3">
        <v>45971</v>
      </c>
      <c r="B905" s="7" t="s">
        <v>33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>
        <v>-48</v>
      </c>
      <c r="T905" s="7">
        <v>-30</v>
      </c>
    </row>
    <row r="906" spans="1:20" x14ac:dyDescent="0.25">
      <c r="A906" s="3">
        <v>45971</v>
      </c>
      <c r="B906" s="7" t="s">
        <v>146</v>
      </c>
      <c r="C906" s="7">
        <v>-1950</v>
      </c>
      <c r="D906" s="7">
        <v>-900</v>
      </c>
      <c r="E906" s="7"/>
      <c r="F906" s="7">
        <v>-125</v>
      </c>
      <c r="G906" s="7">
        <v>-500</v>
      </c>
      <c r="H906" s="7">
        <v>-775</v>
      </c>
      <c r="I906" s="7">
        <v>-200</v>
      </c>
      <c r="J906" s="7">
        <v>-550</v>
      </c>
      <c r="K906" s="7">
        <v>-5</v>
      </c>
      <c r="L906" s="7">
        <v>-10</v>
      </c>
      <c r="M906" s="7">
        <v>-2.5</v>
      </c>
      <c r="N906" s="7">
        <v>-2.5</v>
      </c>
      <c r="O906" s="7"/>
      <c r="P906" s="7"/>
      <c r="Q906" s="7"/>
      <c r="R906" s="7"/>
      <c r="S906" s="7"/>
      <c r="T906" s="7">
        <v>100</v>
      </c>
    </row>
    <row r="907" spans="1:20" x14ac:dyDescent="0.25">
      <c r="A907" s="3">
        <v>45972</v>
      </c>
      <c r="B907" s="7" t="s">
        <v>33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>
        <v>-48</v>
      </c>
      <c r="T907" s="7">
        <v>-30</v>
      </c>
    </row>
    <row r="908" spans="1:20" x14ac:dyDescent="0.25">
      <c r="A908" s="3">
        <v>45973</v>
      </c>
      <c r="B908" s="7" t="s">
        <v>96</v>
      </c>
      <c r="C908" s="7">
        <v>-3200</v>
      </c>
      <c r="D908" s="7">
        <v>-1000</v>
      </c>
      <c r="E908" s="7"/>
      <c r="F908" s="7">
        <v>-200</v>
      </c>
      <c r="G908" s="7">
        <v>-720</v>
      </c>
      <c r="H908" s="7">
        <v>-1360</v>
      </c>
      <c r="I908" s="7">
        <v>-880</v>
      </c>
      <c r="J908" s="7">
        <v>-640</v>
      </c>
      <c r="K908" s="7">
        <v>-8</v>
      </c>
      <c r="L908" s="7">
        <v>-24</v>
      </c>
      <c r="M908" s="7"/>
      <c r="N908" s="7">
        <v>-4</v>
      </c>
      <c r="O908" s="7"/>
      <c r="P908" s="7"/>
      <c r="Q908" s="7"/>
      <c r="R908" s="7"/>
      <c r="S908" s="7">
        <v>160</v>
      </c>
      <c r="T908" s="7"/>
    </row>
    <row r="909" spans="1:20" x14ac:dyDescent="0.25">
      <c r="A909" s="3">
        <v>45973</v>
      </c>
      <c r="B909" s="7" t="s">
        <v>33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>
        <v>-48</v>
      </c>
      <c r="T909" s="7">
        <v>-31</v>
      </c>
    </row>
    <row r="910" spans="1:20" x14ac:dyDescent="0.25">
      <c r="A910" s="3">
        <v>45974</v>
      </c>
      <c r="B910" s="7" t="s">
        <v>33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>
        <v>-48</v>
      </c>
      <c r="T910" s="7">
        <v>-30</v>
      </c>
    </row>
    <row r="911" spans="1:20" x14ac:dyDescent="0.25">
      <c r="A911" s="3">
        <v>45974</v>
      </c>
      <c r="B911" s="7" t="s">
        <v>122</v>
      </c>
      <c r="C911" s="7">
        <v>-1170</v>
      </c>
      <c r="D911" s="7">
        <v>-540</v>
      </c>
      <c r="E911" s="7"/>
      <c r="F911" s="7">
        <v>-75</v>
      </c>
      <c r="G911" s="7">
        <v>-300</v>
      </c>
      <c r="H911" s="7">
        <v>-465</v>
      </c>
      <c r="I911" s="7">
        <v>-120</v>
      </c>
      <c r="J911" s="7">
        <v>-330</v>
      </c>
      <c r="K911" s="7">
        <v>-3</v>
      </c>
      <c r="L911" s="7">
        <v>-9</v>
      </c>
      <c r="M911" s="7">
        <v>-1.5</v>
      </c>
      <c r="N911" s="7">
        <v>-1.5</v>
      </c>
      <c r="O911" s="7"/>
      <c r="P911" s="7"/>
      <c r="Q911" s="7"/>
      <c r="R911" s="7"/>
      <c r="S911" s="7"/>
      <c r="T911" s="7">
        <v>60</v>
      </c>
    </row>
    <row r="912" spans="1:20" x14ac:dyDescent="0.25">
      <c r="A912" s="3">
        <v>45974</v>
      </c>
      <c r="B912" s="7" t="s">
        <v>12</v>
      </c>
      <c r="C912" s="7"/>
      <c r="D912" s="7"/>
      <c r="E912" s="7"/>
      <c r="F912" s="7"/>
      <c r="G912" s="7"/>
      <c r="H912" s="7"/>
      <c r="I912" s="7"/>
      <c r="J912" s="7"/>
      <c r="K912" s="7"/>
      <c r="L912" s="7">
        <v>250</v>
      </c>
      <c r="M912" s="7"/>
      <c r="N912" s="7"/>
      <c r="O912" s="7"/>
      <c r="P912" s="7"/>
      <c r="Q912" s="7"/>
      <c r="R912" s="7"/>
      <c r="S912" s="7"/>
      <c r="T912" s="7"/>
    </row>
    <row r="913" spans="1:20" x14ac:dyDescent="0.25">
      <c r="A913" s="3">
        <v>45974</v>
      </c>
      <c r="B913" s="7" t="s">
        <v>13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>
        <v>50</v>
      </c>
      <c r="O913" s="7"/>
      <c r="P913" s="7"/>
      <c r="Q913" s="7"/>
      <c r="R913" s="7"/>
      <c r="S913" s="7"/>
      <c r="T913" s="7"/>
    </row>
    <row r="914" spans="1:20" x14ac:dyDescent="0.25">
      <c r="A914" s="3">
        <v>45975</v>
      </c>
      <c r="B914" s="7" t="s">
        <v>33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>
        <v>-48</v>
      </c>
      <c r="T914" s="7">
        <v>-30</v>
      </c>
    </row>
    <row r="915" spans="1:20" x14ac:dyDescent="0.25">
      <c r="A915" s="3">
        <v>45975</v>
      </c>
      <c r="B915" s="7" t="s">
        <v>122</v>
      </c>
      <c r="C915" s="7">
        <v>-1170</v>
      </c>
      <c r="D915" s="7">
        <v>-540</v>
      </c>
      <c r="E915" s="7"/>
      <c r="F915" s="7">
        <v>-75</v>
      </c>
      <c r="G915" s="7">
        <v>-300</v>
      </c>
      <c r="H915" s="7">
        <v>-465</v>
      </c>
      <c r="I915" s="7">
        <v>-120</v>
      </c>
      <c r="J915" s="7">
        <v>-330</v>
      </c>
      <c r="K915" s="7">
        <v>-3</v>
      </c>
      <c r="L915" s="7">
        <v>-9</v>
      </c>
      <c r="M915" s="7">
        <v>-1.5</v>
      </c>
      <c r="N915" s="7">
        <v>-1.5</v>
      </c>
      <c r="O915" s="7"/>
      <c r="P915" s="7"/>
      <c r="Q915" s="7"/>
      <c r="R915" s="7"/>
      <c r="S915" s="7"/>
      <c r="T915" s="7">
        <v>60</v>
      </c>
    </row>
    <row r="916" spans="1:20" x14ac:dyDescent="0.25">
      <c r="A916" s="3">
        <v>45975</v>
      </c>
      <c r="B916" s="7" t="s">
        <v>2</v>
      </c>
      <c r="C916" s="7">
        <v>-1600</v>
      </c>
      <c r="D916" s="7">
        <v>-500</v>
      </c>
      <c r="E916" s="7"/>
      <c r="F916" s="7">
        <v>-100</v>
      </c>
      <c r="G916" s="7">
        <v>-360</v>
      </c>
      <c r="H916" s="7">
        <v>-680</v>
      </c>
      <c r="I916" s="7">
        <v>-440</v>
      </c>
      <c r="J916" s="7">
        <v>-320</v>
      </c>
      <c r="K916" s="7">
        <v>-4</v>
      </c>
      <c r="L916" s="7">
        <v>-12</v>
      </c>
      <c r="M916" s="7"/>
      <c r="N916" s="7">
        <v>-2</v>
      </c>
      <c r="O916" s="7"/>
      <c r="P916" s="7"/>
      <c r="Q916" s="7"/>
      <c r="R916" s="7"/>
      <c r="S916" s="7">
        <v>80</v>
      </c>
      <c r="T916" s="7"/>
    </row>
    <row r="917" spans="1:20" x14ac:dyDescent="0.25">
      <c r="A917" s="3">
        <v>45975</v>
      </c>
      <c r="B917" s="7" t="s">
        <v>205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>
        <v>20</v>
      </c>
      <c r="R917" s="7"/>
      <c r="S917" s="7"/>
      <c r="T917" s="7"/>
    </row>
    <row r="918" spans="1:20" x14ac:dyDescent="0.25">
      <c r="A918" s="3">
        <v>45976</v>
      </c>
      <c r="B918" s="7" t="s">
        <v>33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>
        <v>-48</v>
      </c>
      <c r="T918" s="7">
        <v>-30</v>
      </c>
    </row>
    <row r="919" spans="1:20" x14ac:dyDescent="0.25">
      <c r="A919" s="3">
        <v>45976</v>
      </c>
      <c r="B919" s="7" t="s">
        <v>20</v>
      </c>
      <c r="C919" s="7">
        <v>-2800</v>
      </c>
      <c r="D919" s="7">
        <v>-875</v>
      </c>
      <c r="E919" s="7"/>
      <c r="F919" s="7">
        <v>-175</v>
      </c>
      <c r="G919" s="7">
        <v>-630</v>
      </c>
      <c r="H919" s="7">
        <v>-1190</v>
      </c>
      <c r="I919" s="7">
        <v>-770</v>
      </c>
      <c r="J919" s="7">
        <v>-560</v>
      </c>
      <c r="K919" s="7">
        <v>-7</v>
      </c>
      <c r="L919" s="7">
        <v>-21</v>
      </c>
      <c r="M919" s="7"/>
      <c r="N919" s="7">
        <v>-3.5</v>
      </c>
      <c r="O919" s="7"/>
      <c r="P919" s="7"/>
      <c r="Q919" s="7"/>
      <c r="R919" s="7"/>
      <c r="S919" s="7">
        <v>140</v>
      </c>
      <c r="T919" s="7"/>
    </row>
    <row r="920" spans="1:20" x14ac:dyDescent="0.25">
      <c r="A920" s="3">
        <v>45977</v>
      </c>
      <c r="B920" s="7" t="s">
        <v>33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>
        <v>-48</v>
      </c>
      <c r="T920" s="7">
        <v>-30</v>
      </c>
    </row>
    <row r="921" spans="1:20" x14ac:dyDescent="0.25">
      <c r="A921" s="3">
        <v>45978</v>
      </c>
      <c r="B921" s="7" t="s">
        <v>127</v>
      </c>
      <c r="C921" s="7">
        <v>-2340</v>
      </c>
      <c r="D921" s="7">
        <v>-1080</v>
      </c>
      <c r="E921" s="7"/>
      <c r="F921" s="7">
        <v>-150</v>
      </c>
      <c r="G921" s="7">
        <v>-600</v>
      </c>
      <c r="H921" s="7">
        <v>-930</v>
      </c>
      <c r="I921" s="7">
        <v>-240</v>
      </c>
      <c r="J921" s="7">
        <v>-660</v>
      </c>
      <c r="K921" s="7">
        <v>-6</v>
      </c>
      <c r="L921" s="7">
        <v>-18</v>
      </c>
      <c r="M921" s="7">
        <v>-3</v>
      </c>
      <c r="N921" s="7">
        <v>-3</v>
      </c>
      <c r="O921" s="7"/>
      <c r="P921" s="7"/>
      <c r="Q921" s="7"/>
      <c r="R921" s="7"/>
      <c r="S921" s="7"/>
      <c r="T921" s="7">
        <v>120</v>
      </c>
    </row>
    <row r="922" spans="1:20" x14ac:dyDescent="0.25">
      <c r="A922" s="3">
        <v>45978</v>
      </c>
      <c r="B922" s="7" t="s">
        <v>33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>
        <v>-48</v>
      </c>
      <c r="T922" s="7">
        <v>-30</v>
      </c>
    </row>
    <row r="923" spans="1:20" x14ac:dyDescent="0.25">
      <c r="A923" s="3">
        <v>45979</v>
      </c>
      <c r="B923" s="7" t="s">
        <v>52</v>
      </c>
      <c r="C923" s="7">
        <v>-4000</v>
      </c>
      <c r="D923" s="7">
        <v>-1250</v>
      </c>
      <c r="E923" s="7"/>
      <c r="F923" s="7">
        <v>-250</v>
      </c>
      <c r="G923" s="7">
        <v>-900</v>
      </c>
      <c r="H923" s="7">
        <v>-1700</v>
      </c>
      <c r="I923" s="7">
        <v>-1100</v>
      </c>
      <c r="J923" s="7">
        <v>-800</v>
      </c>
      <c r="K923" s="7">
        <v>-10</v>
      </c>
      <c r="L923" s="7">
        <v>-30</v>
      </c>
      <c r="M923" s="7"/>
      <c r="N923" s="7">
        <v>-5</v>
      </c>
      <c r="O923" s="7"/>
      <c r="P923" s="7"/>
      <c r="Q923" s="7">
        <v>-1</v>
      </c>
      <c r="R923" s="7"/>
      <c r="S923" s="7">
        <v>200</v>
      </c>
      <c r="T923" s="7"/>
    </row>
    <row r="924" spans="1:20" x14ac:dyDescent="0.25">
      <c r="A924" s="3">
        <v>45979</v>
      </c>
      <c r="B924" s="7" t="s">
        <v>17</v>
      </c>
      <c r="C924" s="7"/>
      <c r="D924" s="7">
        <v>9000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spans="1:20" x14ac:dyDescent="0.25">
      <c r="A925" s="3">
        <v>45979</v>
      </c>
      <c r="B925" s="7" t="s">
        <v>33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>
        <v>-48</v>
      </c>
      <c r="T925" s="7">
        <v>-30</v>
      </c>
    </row>
    <row r="926" spans="1:20" x14ac:dyDescent="0.25">
      <c r="A926" s="3">
        <v>45979</v>
      </c>
      <c r="B926" s="7" t="s">
        <v>126</v>
      </c>
      <c r="C926" s="7">
        <v>-390</v>
      </c>
      <c r="D926" s="7">
        <v>-180</v>
      </c>
      <c r="E926" s="7"/>
      <c r="F926" s="7">
        <v>-25</v>
      </c>
      <c r="G926" s="7">
        <v>-100</v>
      </c>
      <c r="H926" s="7">
        <v>-155</v>
      </c>
      <c r="I926" s="7">
        <v>-40</v>
      </c>
      <c r="J926" s="7">
        <v>-110</v>
      </c>
      <c r="K926" s="7">
        <v>-1</v>
      </c>
      <c r="L926" s="7">
        <v>-3</v>
      </c>
      <c r="M926" s="7">
        <v>-0.5</v>
      </c>
      <c r="N926" s="7">
        <v>-0.5</v>
      </c>
      <c r="O926" s="7"/>
      <c r="P926" s="7"/>
      <c r="Q926" s="7"/>
      <c r="R926" s="7"/>
      <c r="S926" s="7"/>
      <c r="T926" s="7">
        <v>20</v>
      </c>
    </row>
    <row r="927" spans="1:20" x14ac:dyDescent="0.25">
      <c r="A927" s="3">
        <v>45980</v>
      </c>
      <c r="B927" s="7" t="s">
        <v>33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>
        <v>-48</v>
      </c>
      <c r="T927" s="7">
        <v>-29</v>
      </c>
    </row>
    <row r="928" spans="1:20" x14ac:dyDescent="0.25">
      <c r="A928" s="3">
        <v>45981</v>
      </c>
      <c r="B928" s="7" t="s">
        <v>33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>
        <v>-48</v>
      </c>
      <c r="T928" s="7">
        <v>-31</v>
      </c>
    </row>
    <row r="929" spans="1:20" x14ac:dyDescent="0.25">
      <c r="A929" s="3">
        <v>45981</v>
      </c>
      <c r="B929" s="7" t="s">
        <v>146</v>
      </c>
      <c r="C929" s="7">
        <v>-1950</v>
      </c>
      <c r="D929" s="7">
        <v>-900</v>
      </c>
      <c r="E929" s="7"/>
      <c r="F929" s="7">
        <v>-125</v>
      </c>
      <c r="G929" s="7">
        <v>-500</v>
      </c>
      <c r="H929" s="7">
        <v>-775</v>
      </c>
      <c r="I929" s="7">
        <v>-200</v>
      </c>
      <c r="J929" s="7">
        <v>-550</v>
      </c>
      <c r="K929" s="7">
        <v>-5</v>
      </c>
      <c r="L929" s="7">
        <v>-15</v>
      </c>
      <c r="M929" s="7">
        <v>-2.5</v>
      </c>
      <c r="N929" s="7">
        <v>-2.5</v>
      </c>
      <c r="O929" s="7"/>
      <c r="P929" s="7"/>
      <c r="Q929" s="7"/>
      <c r="R929" s="7"/>
      <c r="S929" s="7"/>
      <c r="T929" s="7">
        <v>100</v>
      </c>
    </row>
    <row r="930" spans="1:20" x14ac:dyDescent="0.25">
      <c r="A930" s="3">
        <v>45982</v>
      </c>
      <c r="B930" s="7" t="s">
        <v>33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>
        <v>-48</v>
      </c>
      <c r="T930" s="7">
        <v>-32</v>
      </c>
    </row>
    <row r="931" spans="1:20" x14ac:dyDescent="0.25">
      <c r="A931" s="3">
        <v>45983</v>
      </c>
      <c r="B931" s="7" t="s">
        <v>33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>
        <v>-48</v>
      </c>
      <c r="T931" s="7">
        <v>-31</v>
      </c>
    </row>
    <row r="932" spans="1:20" x14ac:dyDescent="0.25">
      <c r="A932" s="3">
        <v>45984</v>
      </c>
      <c r="B932" s="7" t="s">
        <v>33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>
        <v>-48</v>
      </c>
      <c r="T932" s="7">
        <v>-31</v>
      </c>
    </row>
    <row r="933" spans="1:20" x14ac:dyDescent="0.25">
      <c r="A933" s="3">
        <v>45984</v>
      </c>
      <c r="B933" s="7" t="s">
        <v>89</v>
      </c>
      <c r="C933" s="7">
        <v>13220</v>
      </c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spans="1:20" x14ac:dyDescent="0.25">
      <c r="A934" s="3">
        <v>45985</v>
      </c>
      <c r="B934" s="7" t="s">
        <v>33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>
        <v>-48</v>
      </c>
      <c r="T934" s="7">
        <v>-31</v>
      </c>
    </row>
    <row r="935" spans="1:20" x14ac:dyDescent="0.25">
      <c r="A935" s="3">
        <v>45985</v>
      </c>
      <c r="B935" s="7" t="s">
        <v>20</v>
      </c>
      <c r="C935" s="7">
        <v>-2800</v>
      </c>
      <c r="D935" s="7">
        <v>-875</v>
      </c>
      <c r="E935" s="7"/>
      <c r="F935" s="7">
        <v>-175</v>
      </c>
      <c r="G935" s="7">
        <v>-630</v>
      </c>
      <c r="H935" s="7">
        <v>-1190</v>
      </c>
      <c r="I935" s="7">
        <v>-770</v>
      </c>
      <c r="J935" s="7">
        <v>-560</v>
      </c>
      <c r="K935" s="7">
        <v>-7</v>
      </c>
      <c r="L935" s="7">
        <v>-21</v>
      </c>
      <c r="M935" s="7"/>
      <c r="N935" s="7">
        <v>-3.5</v>
      </c>
      <c r="O935" s="7"/>
      <c r="P935" s="7"/>
      <c r="Q935" s="7">
        <v>-3.5</v>
      </c>
      <c r="R935" s="7"/>
      <c r="S935" s="7">
        <v>140</v>
      </c>
      <c r="T935" s="7"/>
    </row>
    <row r="936" spans="1:20" x14ac:dyDescent="0.25">
      <c r="A936" s="3">
        <v>45986</v>
      </c>
      <c r="B936" s="7" t="s">
        <v>126</v>
      </c>
      <c r="C936" s="7">
        <v>-390</v>
      </c>
      <c r="D936" s="7">
        <v>-180</v>
      </c>
      <c r="E936" s="7"/>
      <c r="F936" s="7">
        <v>-25</v>
      </c>
      <c r="G936" s="7">
        <v>-100</v>
      </c>
      <c r="H936" s="7">
        <v>-155</v>
      </c>
      <c r="I936" s="7">
        <v>-40</v>
      </c>
      <c r="J936" s="7">
        <v>-110</v>
      </c>
      <c r="K936" s="7">
        <v>-1</v>
      </c>
      <c r="L936" s="7">
        <v>-3</v>
      </c>
      <c r="M936" s="7">
        <v>-0.5</v>
      </c>
      <c r="N936" s="7">
        <v>-0.5</v>
      </c>
      <c r="O936" s="7"/>
      <c r="P936" s="7"/>
      <c r="Q936" s="7"/>
      <c r="R936" s="7"/>
      <c r="S936" s="7"/>
      <c r="T936" s="7">
        <v>20</v>
      </c>
    </row>
    <row r="937" spans="1:20" x14ac:dyDescent="0.25">
      <c r="A937" s="3">
        <v>45986</v>
      </c>
      <c r="B937" s="7" t="s">
        <v>1</v>
      </c>
      <c r="C937" s="7">
        <v>-2000</v>
      </c>
      <c r="D937" s="7">
        <v>-625</v>
      </c>
      <c r="E937" s="7"/>
      <c r="F937" s="7">
        <v>-125</v>
      </c>
      <c r="G937" s="7">
        <v>-450</v>
      </c>
      <c r="H937" s="7">
        <v>-850</v>
      </c>
      <c r="I937" s="7">
        <v>-550</v>
      </c>
      <c r="J937" s="7">
        <v>-400</v>
      </c>
      <c r="K937" s="7">
        <v>-5</v>
      </c>
      <c r="L937" s="7">
        <v>-15</v>
      </c>
      <c r="M937" s="7"/>
      <c r="N937" s="7">
        <v>-2.5</v>
      </c>
      <c r="O937" s="7"/>
      <c r="P937" s="7"/>
      <c r="Q937" s="7">
        <v>-2.5</v>
      </c>
      <c r="R937" s="7"/>
      <c r="S937" s="7">
        <v>100</v>
      </c>
      <c r="T937" s="7"/>
    </row>
    <row r="938" spans="1:20" x14ac:dyDescent="0.25">
      <c r="A938" s="3">
        <v>45986</v>
      </c>
      <c r="B938" s="7" t="s">
        <v>33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>
        <v>-48</v>
      </c>
      <c r="T938" s="7">
        <v>-31</v>
      </c>
    </row>
    <row r="939" spans="1:20" x14ac:dyDescent="0.25">
      <c r="A939" s="3">
        <v>45987</v>
      </c>
      <c r="B939" s="7" t="s">
        <v>127</v>
      </c>
      <c r="C939" s="7">
        <v>-2340</v>
      </c>
      <c r="D939" s="7">
        <v>-1080</v>
      </c>
      <c r="E939" s="7"/>
      <c r="F939" s="7">
        <v>-150</v>
      </c>
      <c r="G939" s="7">
        <v>-600</v>
      </c>
      <c r="H939" s="7">
        <v>-930</v>
      </c>
      <c r="I939" s="7">
        <v>-240</v>
      </c>
      <c r="J939" s="7">
        <v>-660</v>
      </c>
      <c r="K939" s="7">
        <v>-6</v>
      </c>
      <c r="L939" s="7">
        <v>-18</v>
      </c>
      <c r="M939" s="7">
        <v>-3</v>
      </c>
      <c r="N939" s="7">
        <v>-3</v>
      </c>
      <c r="O939" s="7"/>
      <c r="P939" s="7"/>
      <c r="Q939" s="7"/>
      <c r="R939" s="7"/>
      <c r="S939" s="7"/>
      <c r="T939" s="7">
        <v>120</v>
      </c>
    </row>
    <row r="940" spans="1:20" x14ac:dyDescent="0.25">
      <c r="A940" s="3">
        <v>45987</v>
      </c>
      <c r="B940" s="7" t="s">
        <v>33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>
        <v>-48</v>
      </c>
      <c r="T940" s="7">
        <v>-31</v>
      </c>
    </row>
    <row r="941" spans="1:20" x14ac:dyDescent="0.25">
      <c r="A941" s="3">
        <v>45987</v>
      </c>
      <c r="B941" s="7" t="s">
        <v>18</v>
      </c>
      <c r="C941" s="7"/>
      <c r="D941" s="7"/>
      <c r="E941" s="7"/>
      <c r="F941" s="7"/>
      <c r="G941" s="7"/>
      <c r="H941" s="7">
        <v>6400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spans="1:20" x14ac:dyDescent="0.25">
      <c r="A942" s="3">
        <v>45987</v>
      </c>
      <c r="B942" s="7" t="s">
        <v>55</v>
      </c>
      <c r="C942" s="7"/>
      <c r="D942" s="7"/>
      <c r="E942" s="7"/>
      <c r="F942" s="7"/>
      <c r="G942" s="7"/>
      <c r="H942" s="7"/>
      <c r="I942" s="7"/>
      <c r="J942" s="7">
        <v>3440</v>
      </c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spans="1:20" x14ac:dyDescent="0.25">
      <c r="A943" s="3">
        <v>45987</v>
      </c>
      <c r="B943" s="7" t="s">
        <v>35</v>
      </c>
      <c r="C943" s="7"/>
      <c r="D943" s="7"/>
      <c r="E943" s="7"/>
      <c r="F943" s="7">
        <v>2500</v>
      </c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spans="1:20" x14ac:dyDescent="0.25">
      <c r="A944" s="3">
        <v>45987</v>
      </c>
      <c r="B944" s="7" t="s">
        <v>210</v>
      </c>
      <c r="C944" s="7">
        <v>478</v>
      </c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spans="1:20" x14ac:dyDescent="0.25">
      <c r="A945" s="3">
        <v>45988</v>
      </c>
      <c r="B945" s="7" t="s">
        <v>33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>
        <v>-48</v>
      </c>
      <c r="T945" s="7">
        <v>-31</v>
      </c>
    </row>
    <row r="946" spans="1:20" x14ac:dyDescent="0.25">
      <c r="A946" s="3">
        <v>45988</v>
      </c>
      <c r="B946" s="7" t="s">
        <v>146</v>
      </c>
      <c r="C946" s="7">
        <v>-1950</v>
      </c>
      <c r="D946" s="7">
        <v>-900</v>
      </c>
      <c r="E946" s="7"/>
      <c r="F946" s="7">
        <v>-125</v>
      </c>
      <c r="G946" s="7">
        <v>-500</v>
      </c>
      <c r="H946" s="7">
        <v>-775</v>
      </c>
      <c r="I946" s="7">
        <v>-200</v>
      </c>
      <c r="J946" s="7">
        <v>-550</v>
      </c>
      <c r="K946" s="7">
        <v>-5</v>
      </c>
      <c r="L946" s="7">
        <v>-15</v>
      </c>
      <c r="M946" s="7">
        <v>-2.5</v>
      </c>
      <c r="N946" s="7">
        <v>-2.5</v>
      </c>
      <c r="O946" s="7"/>
      <c r="P946" s="7"/>
      <c r="Q946" s="7"/>
      <c r="R946" s="7"/>
      <c r="S946" s="7"/>
      <c r="T946" s="7">
        <v>100</v>
      </c>
    </row>
    <row r="947" spans="1:20" x14ac:dyDescent="0.25">
      <c r="A947" s="3">
        <v>45989</v>
      </c>
      <c r="B947" s="7" t="s">
        <v>33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>
        <v>-48</v>
      </c>
      <c r="T947" s="7">
        <v>-31</v>
      </c>
    </row>
    <row r="948" spans="1:20" x14ac:dyDescent="0.25">
      <c r="A948" s="3">
        <v>45990</v>
      </c>
      <c r="B948" s="7" t="s">
        <v>33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>
        <v>-48</v>
      </c>
      <c r="T948" s="7">
        <v>-31</v>
      </c>
    </row>
    <row r="949" spans="1:20" x14ac:dyDescent="0.25">
      <c r="A949" s="3">
        <v>45990</v>
      </c>
      <c r="B949" s="7" t="s">
        <v>145</v>
      </c>
      <c r="C949" s="7">
        <v>-4000</v>
      </c>
      <c r="D949" s="7">
        <v>-1250</v>
      </c>
      <c r="E949" s="7"/>
      <c r="F949" s="7">
        <v>-250</v>
      </c>
      <c r="G949" s="7">
        <v>-900</v>
      </c>
      <c r="H949" s="7">
        <v>-1700</v>
      </c>
      <c r="I949" s="7">
        <v>-1100</v>
      </c>
      <c r="J949" s="7">
        <v>-800</v>
      </c>
      <c r="K949" s="7">
        <v>-10</v>
      </c>
      <c r="L949" s="7">
        <v>-30</v>
      </c>
      <c r="M949" s="7"/>
      <c r="N949" s="7">
        <v>-5</v>
      </c>
      <c r="O949" s="7"/>
      <c r="P949" s="7"/>
      <c r="Q949" s="7">
        <v>-5</v>
      </c>
      <c r="R949" s="7"/>
      <c r="S949" s="7">
        <v>200</v>
      </c>
      <c r="T949" s="7"/>
    </row>
    <row r="950" spans="1:20" x14ac:dyDescent="0.25">
      <c r="A950" s="3">
        <v>45990</v>
      </c>
      <c r="B950" s="7" t="s">
        <v>54</v>
      </c>
      <c r="C950" s="7"/>
      <c r="D950" s="7"/>
      <c r="E950" s="7"/>
      <c r="F950" s="7" t="s">
        <v>198</v>
      </c>
      <c r="G950" s="7"/>
      <c r="H950" s="7"/>
      <c r="I950" s="7">
        <v>11000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spans="1:20" x14ac:dyDescent="0.25">
      <c r="A951" s="3">
        <v>45991</v>
      </c>
      <c r="B951" s="7" t="s">
        <v>33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>
        <v>-48</v>
      </c>
      <c r="T951" s="7">
        <v>-31</v>
      </c>
    </row>
    <row r="952" spans="1:20" x14ac:dyDescent="0.25">
      <c r="A952" s="3">
        <v>45991</v>
      </c>
      <c r="B952" s="7" t="s">
        <v>89</v>
      </c>
      <c r="C952" s="7">
        <v>12820</v>
      </c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spans="1:20" x14ac:dyDescent="0.25">
      <c r="A953" s="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spans="1:20" x14ac:dyDescent="0.25">
      <c r="A954" s="3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spans="1:20" x14ac:dyDescent="0.25">
      <c r="A955" s="3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spans="1:20" x14ac:dyDescent="0.25">
      <c r="A956" s="3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spans="1:20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spans="1:20" x14ac:dyDescent="0.25">
      <c r="A958" s="20"/>
      <c r="B958" s="21" t="s">
        <v>25</v>
      </c>
      <c r="C958" s="22">
        <f t="shared" ref="C958:T958" si="24">SUM(C879:C957)</f>
        <v>22691</v>
      </c>
      <c r="D958" s="22">
        <f t="shared" si="24"/>
        <v>6440</v>
      </c>
      <c r="E958" s="22">
        <f t="shared" si="24"/>
        <v>810</v>
      </c>
      <c r="F958" s="22">
        <f t="shared" si="24"/>
        <v>3225</v>
      </c>
      <c r="G958" s="22">
        <f t="shared" si="24"/>
        <v>3340</v>
      </c>
      <c r="H958" s="22">
        <f t="shared" si="24"/>
        <v>4515</v>
      </c>
      <c r="I958" s="22">
        <f t="shared" si="24"/>
        <v>12040</v>
      </c>
      <c r="J958" s="22">
        <f t="shared" si="24"/>
        <v>2140</v>
      </c>
      <c r="K958" s="22">
        <f t="shared" si="24"/>
        <v>65</v>
      </c>
      <c r="L958" s="22">
        <f t="shared" si="24"/>
        <v>45</v>
      </c>
      <c r="M958" s="22">
        <f t="shared" si="24"/>
        <v>23.5</v>
      </c>
      <c r="N958" s="22">
        <f t="shared" si="24"/>
        <v>27</v>
      </c>
      <c r="O958" s="22">
        <f t="shared" si="24"/>
        <v>100</v>
      </c>
      <c r="P958" s="22">
        <f t="shared" si="24"/>
        <v>0</v>
      </c>
      <c r="Q958" s="22">
        <f t="shared" si="24"/>
        <v>8</v>
      </c>
      <c r="R958" s="22"/>
      <c r="S958" s="22">
        <f t="shared" si="24"/>
        <v>128</v>
      </c>
      <c r="T958" s="22">
        <f t="shared" si="24"/>
        <v>91</v>
      </c>
    </row>
    <row r="959" spans="1:20" x14ac:dyDescent="0.25">
      <c r="A959" s="17"/>
      <c r="B959" s="17" t="s">
        <v>28</v>
      </c>
      <c r="C959" s="17">
        <v>1565</v>
      </c>
      <c r="D959" s="17">
        <v>579</v>
      </c>
      <c r="E959" s="17">
        <v>0</v>
      </c>
      <c r="F959" s="17">
        <v>99</v>
      </c>
      <c r="G959" s="17">
        <v>371</v>
      </c>
      <c r="H959" s="17">
        <v>648</v>
      </c>
      <c r="I959" s="17">
        <v>326</v>
      </c>
      <c r="J959" s="17">
        <v>364</v>
      </c>
      <c r="K959" s="17">
        <v>4</v>
      </c>
      <c r="L959" s="17">
        <v>10.3</v>
      </c>
      <c r="M959" s="17">
        <v>0.81</v>
      </c>
      <c r="N959" s="17">
        <v>2</v>
      </c>
      <c r="O959" s="17">
        <v>0</v>
      </c>
      <c r="P959" s="17">
        <v>0</v>
      </c>
      <c r="Q959" s="17"/>
      <c r="R959" s="17"/>
      <c r="S959" s="17">
        <v>48</v>
      </c>
      <c r="T959" s="17">
        <v>31</v>
      </c>
    </row>
    <row r="960" spans="1:20" x14ac:dyDescent="0.25">
      <c r="A960" s="17"/>
      <c r="B960" s="17" t="s">
        <v>26</v>
      </c>
      <c r="C960" s="18">
        <f>C958/C959</f>
        <v>14.499041533546325</v>
      </c>
      <c r="D960" s="18">
        <f t="shared" ref="D960:T960" si="25">D958/D959</f>
        <v>11.122625215889464</v>
      </c>
      <c r="E960" s="18" t="e">
        <f t="shared" si="25"/>
        <v>#DIV/0!</v>
      </c>
      <c r="F960" s="18">
        <f t="shared" si="25"/>
        <v>32.575757575757578</v>
      </c>
      <c r="G960" s="18">
        <f t="shared" si="25"/>
        <v>9.0026954177897576</v>
      </c>
      <c r="H960" s="18">
        <f t="shared" si="25"/>
        <v>6.9675925925925926</v>
      </c>
      <c r="I960" s="18">
        <f t="shared" si="25"/>
        <v>36.932515337423311</v>
      </c>
      <c r="J960" s="18">
        <f t="shared" si="25"/>
        <v>5.8791208791208796</v>
      </c>
      <c r="K960" s="18">
        <f t="shared" si="25"/>
        <v>16.25</v>
      </c>
      <c r="L960" s="18">
        <f t="shared" si="25"/>
        <v>4.3689320388349513</v>
      </c>
      <c r="M960" s="18">
        <f t="shared" si="25"/>
        <v>29.012345679012345</v>
      </c>
      <c r="N960" s="18">
        <f t="shared" si="25"/>
        <v>13.5</v>
      </c>
      <c r="O960" s="18" t="e">
        <f t="shared" si="25"/>
        <v>#DIV/0!</v>
      </c>
      <c r="P960" s="18" t="e">
        <f t="shared" si="25"/>
        <v>#DIV/0!</v>
      </c>
      <c r="Q960" s="18"/>
      <c r="R960" s="18"/>
      <c r="S960" s="18">
        <f t="shared" si="25"/>
        <v>2.6666666666666665</v>
      </c>
      <c r="T960" s="18">
        <f t="shared" si="25"/>
        <v>2.935483870967742</v>
      </c>
    </row>
    <row r="961" spans="1:22" x14ac:dyDescent="0.25">
      <c r="A961" s="21"/>
      <c r="B961" s="21" t="s">
        <v>196</v>
      </c>
      <c r="C961" s="21">
        <f>C959*30</f>
        <v>46950</v>
      </c>
      <c r="D961" s="21">
        <f t="shared" ref="D961:T961" si="26">D959*30</f>
        <v>17370</v>
      </c>
      <c r="E961" s="21">
        <f t="shared" si="26"/>
        <v>0</v>
      </c>
      <c r="F961" s="21">
        <f t="shared" si="26"/>
        <v>2970</v>
      </c>
      <c r="G961" s="21">
        <f t="shared" si="26"/>
        <v>11130</v>
      </c>
      <c r="H961" s="21">
        <f t="shared" si="26"/>
        <v>19440</v>
      </c>
      <c r="I961" s="21">
        <f t="shared" si="26"/>
        <v>9780</v>
      </c>
      <c r="J961" s="21">
        <f t="shared" si="26"/>
        <v>10920</v>
      </c>
      <c r="K961" s="21">
        <f t="shared" si="26"/>
        <v>120</v>
      </c>
      <c r="L961" s="21">
        <f t="shared" si="26"/>
        <v>309</v>
      </c>
      <c r="M961" s="21">
        <f t="shared" si="26"/>
        <v>24.3</v>
      </c>
      <c r="N961" s="21">
        <f t="shared" si="26"/>
        <v>60</v>
      </c>
      <c r="O961" s="21">
        <f t="shared" si="26"/>
        <v>0</v>
      </c>
      <c r="P961" s="21">
        <f t="shared" si="26"/>
        <v>0</v>
      </c>
      <c r="Q961" s="21">
        <f t="shared" si="26"/>
        <v>0</v>
      </c>
      <c r="R961" s="21"/>
      <c r="S961" s="21">
        <f t="shared" si="26"/>
        <v>1440</v>
      </c>
      <c r="T961" s="21">
        <f t="shared" si="26"/>
        <v>930</v>
      </c>
    </row>
    <row r="965" spans="1:22" ht="26" x14ac:dyDescent="0.6">
      <c r="I965" s="34">
        <v>45992</v>
      </c>
    </row>
    <row r="966" spans="1:22" x14ac:dyDescent="0.25">
      <c r="A966" s="28"/>
      <c r="B966" s="28"/>
      <c r="C966" s="28"/>
      <c r="D966" s="28"/>
      <c r="E966" s="28"/>
      <c r="F966" s="7"/>
      <c r="G966" s="7"/>
      <c r="H966" s="7"/>
      <c r="I966" s="7"/>
      <c r="J966" s="7"/>
      <c r="K966" s="7"/>
      <c r="L966" s="7"/>
      <c r="M966" s="7"/>
      <c r="N966" s="7"/>
      <c r="O966" s="28"/>
      <c r="P966" s="28"/>
      <c r="Q966" s="28"/>
      <c r="R966" s="28"/>
      <c r="S966" s="28"/>
      <c r="T966" s="28"/>
    </row>
    <row r="967" spans="1:22" x14ac:dyDescent="0.25">
      <c r="A967" s="28"/>
      <c r="B967" s="28"/>
      <c r="C967" s="28"/>
      <c r="D967" s="28"/>
      <c r="E967" s="28"/>
      <c r="F967" s="7"/>
      <c r="G967" s="7"/>
      <c r="H967" s="7"/>
      <c r="I967" s="7"/>
      <c r="J967" s="7"/>
      <c r="K967" s="7"/>
      <c r="L967" s="7"/>
      <c r="M967" s="7"/>
      <c r="N967" s="7"/>
      <c r="O967" s="28"/>
      <c r="P967" s="28"/>
      <c r="Q967" s="28"/>
      <c r="R967" s="28"/>
      <c r="S967" s="28"/>
      <c r="T967" s="28"/>
    </row>
    <row r="968" spans="1:22" x14ac:dyDescent="0.25">
      <c r="A968" s="3">
        <v>45992</v>
      </c>
      <c r="B968" s="9" t="s">
        <v>0</v>
      </c>
      <c r="C968" s="10">
        <v>22599</v>
      </c>
      <c r="D968" s="9">
        <v>6675</v>
      </c>
      <c r="E968" s="7">
        <v>810</v>
      </c>
      <c r="F968" s="9">
        <v>3225</v>
      </c>
      <c r="G968" s="9">
        <v>3395</v>
      </c>
      <c r="H968" s="9">
        <v>4550</v>
      </c>
      <c r="I968" s="9">
        <v>12050</v>
      </c>
      <c r="J968" s="9">
        <v>2320</v>
      </c>
      <c r="K968" s="9">
        <v>66</v>
      </c>
      <c r="L968" s="9">
        <v>46.7</v>
      </c>
      <c r="M968" s="9">
        <v>23.5</v>
      </c>
      <c r="N968" s="9">
        <v>25.5</v>
      </c>
      <c r="O968" s="9">
        <v>100</v>
      </c>
      <c r="P968" s="9">
        <v>0</v>
      </c>
      <c r="Q968" s="9">
        <v>8.8000000000000007</v>
      </c>
      <c r="R968" s="9">
        <v>0</v>
      </c>
      <c r="S968" s="9">
        <v>248</v>
      </c>
      <c r="T968" s="9">
        <v>61</v>
      </c>
    </row>
    <row r="969" spans="1:22" x14ac:dyDescent="0.25">
      <c r="A969" s="23">
        <v>45992</v>
      </c>
      <c r="B969" s="7" t="s">
        <v>127</v>
      </c>
      <c r="C969" s="7">
        <v>-2340</v>
      </c>
      <c r="D969" s="7">
        <v>-1080</v>
      </c>
      <c r="E969" s="7"/>
      <c r="F969" s="7">
        <v>-150</v>
      </c>
      <c r="G969" s="7">
        <v>-600</v>
      </c>
      <c r="H969" s="7">
        <v>-930</v>
      </c>
      <c r="I969" s="7">
        <v>-240</v>
      </c>
      <c r="J969" s="7">
        <v>-660</v>
      </c>
      <c r="K969" s="7">
        <v>-6</v>
      </c>
      <c r="L969" s="7">
        <v>-18</v>
      </c>
      <c r="M969" s="7">
        <v>-3</v>
      </c>
      <c r="N969" s="7">
        <v>-3</v>
      </c>
      <c r="O969" s="7"/>
      <c r="P969" s="7"/>
      <c r="Q969" s="7"/>
      <c r="R969" s="7"/>
      <c r="S969" s="7"/>
      <c r="T969" s="7">
        <v>120</v>
      </c>
      <c r="V969" s="4">
        <v>6</v>
      </c>
    </row>
    <row r="970" spans="1:22" x14ac:dyDescent="0.25">
      <c r="A970" s="23">
        <v>45992</v>
      </c>
      <c r="B970" s="7" t="s">
        <v>59</v>
      </c>
      <c r="C970" s="7">
        <v>-800</v>
      </c>
      <c r="D970" s="7">
        <v>-250</v>
      </c>
      <c r="E970" s="7"/>
      <c r="F970" s="7">
        <v>-50</v>
      </c>
      <c r="G970" s="7">
        <v>-180</v>
      </c>
      <c r="H970" s="7">
        <v>-340</v>
      </c>
      <c r="I970" s="7">
        <v>-220</v>
      </c>
      <c r="J970" s="7">
        <v>-160</v>
      </c>
      <c r="K970" s="7">
        <v>-2</v>
      </c>
      <c r="L970" s="7">
        <v>-6</v>
      </c>
      <c r="M970" s="7"/>
      <c r="N970" s="7">
        <v>-1</v>
      </c>
      <c r="O970" s="7"/>
      <c r="P970" s="7"/>
      <c r="Q970" s="7">
        <v>-1</v>
      </c>
      <c r="R970" s="7">
        <v>-2</v>
      </c>
      <c r="S970" s="7">
        <v>40</v>
      </c>
      <c r="T970" s="9"/>
      <c r="U970" s="4">
        <v>2</v>
      </c>
    </row>
    <row r="971" spans="1:22" x14ac:dyDescent="0.25">
      <c r="A971" s="23">
        <v>45992</v>
      </c>
      <c r="B971" s="7" t="s">
        <v>33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>
        <v>-48</v>
      </c>
      <c r="T971" s="7">
        <v>-30</v>
      </c>
    </row>
    <row r="972" spans="1:22" x14ac:dyDescent="0.25">
      <c r="A972" s="23">
        <v>45993</v>
      </c>
      <c r="B972" s="7" t="s">
        <v>33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>
        <v>-44</v>
      </c>
      <c r="T972" s="7">
        <v>-30</v>
      </c>
    </row>
    <row r="973" spans="1:22" x14ac:dyDescent="0.25">
      <c r="A973" s="23">
        <v>45993</v>
      </c>
      <c r="B973" s="28" t="s">
        <v>215</v>
      </c>
      <c r="C973" s="38"/>
      <c r="D973" s="28"/>
      <c r="E973" s="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>
        <v>25</v>
      </c>
      <c r="S973" s="28"/>
      <c r="T973" s="28"/>
    </row>
    <row r="974" spans="1:22" x14ac:dyDescent="0.25">
      <c r="A974" s="23">
        <v>45993</v>
      </c>
      <c r="B974" s="7" t="s">
        <v>126</v>
      </c>
      <c r="C974" s="7">
        <v>-390</v>
      </c>
      <c r="D974" s="7">
        <v>-180</v>
      </c>
      <c r="E974" s="7"/>
      <c r="F974" s="7">
        <v>-25</v>
      </c>
      <c r="G974" s="7">
        <v>-100</v>
      </c>
      <c r="H974" s="7">
        <v>-155</v>
      </c>
      <c r="I974" s="7">
        <v>-40</v>
      </c>
      <c r="J974" s="7">
        <v>-110</v>
      </c>
      <c r="K974" s="7">
        <v>-1</v>
      </c>
      <c r="L974" s="7">
        <v>-3</v>
      </c>
      <c r="M974" s="7">
        <v>-0.5</v>
      </c>
      <c r="N974" s="7">
        <v>-0.5</v>
      </c>
      <c r="O974" s="7"/>
      <c r="P974" s="7"/>
      <c r="Q974" s="7"/>
      <c r="R974" s="7"/>
      <c r="S974" s="7"/>
      <c r="T974" s="7">
        <v>20</v>
      </c>
      <c r="V974" s="4">
        <v>1</v>
      </c>
    </row>
    <row r="975" spans="1:22" x14ac:dyDescent="0.25">
      <c r="A975" s="23">
        <v>45994</v>
      </c>
      <c r="B975" s="7" t="s">
        <v>33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>
        <v>-44</v>
      </c>
      <c r="T975" s="7">
        <v>-30</v>
      </c>
    </row>
    <row r="976" spans="1:22" x14ac:dyDescent="0.25">
      <c r="A976" s="23">
        <v>45994</v>
      </c>
      <c r="B976" s="7" t="s">
        <v>216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>
        <v>50</v>
      </c>
      <c r="O976" s="7"/>
      <c r="P976" s="7"/>
      <c r="Q976" s="7"/>
      <c r="R976" s="7"/>
      <c r="S976" s="7"/>
      <c r="T976" s="7"/>
    </row>
    <row r="977" spans="1:22" x14ac:dyDescent="0.25">
      <c r="A977" s="23">
        <v>45994</v>
      </c>
      <c r="B977" s="7" t="s">
        <v>217</v>
      </c>
      <c r="C977" s="7"/>
      <c r="D977" s="7"/>
      <c r="E977" s="7"/>
      <c r="F977" s="7"/>
      <c r="G977" s="7"/>
      <c r="H977" s="7"/>
      <c r="I977" s="7"/>
      <c r="J977" s="7"/>
      <c r="K977" s="7">
        <v>200</v>
      </c>
      <c r="L977" s="7"/>
      <c r="M977" s="7"/>
      <c r="N977" s="7"/>
      <c r="O977" s="7"/>
      <c r="P977" s="7"/>
      <c r="Q977" s="7"/>
      <c r="R977" s="7"/>
      <c r="S977" s="7"/>
      <c r="T977" s="7"/>
    </row>
    <row r="978" spans="1:22" x14ac:dyDescent="0.25">
      <c r="A978" s="23">
        <v>45994</v>
      </c>
      <c r="B978" s="7" t="s">
        <v>12</v>
      </c>
      <c r="C978" s="7"/>
      <c r="D978" s="7"/>
      <c r="E978" s="7"/>
      <c r="F978" s="7"/>
      <c r="G978" s="7"/>
      <c r="H978" s="7"/>
      <c r="I978" s="7"/>
      <c r="J978" s="7"/>
      <c r="K978" s="7"/>
      <c r="L978" s="7">
        <v>250</v>
      </c>
      <c r="M978" s="7"/>
      <c r="N978" s="7"/>
      <c r="O978" s="7"/>
      <c r="P978" s="7"/>
      <c r="Q978" s="7"/>
      <c r="R978" s="7"/>
      <c r="S978" s="7"/>
      <c r="T978" s="7"/>
    </row>
    <row r="979" spans="1:22" x14ac:dyDescent="0.25">
      <c r="A979" s="23">
        <v>45995</v>
      </c>
      <c r="B979" s="7" t="s">
        <v>33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>
        <v>-44</v>
      </c>
      <c r="T979" s="7">
        <v>-30</v>
      </c>
    </row>
    <row r="980" spans="1:22" x14ac:dyDescent="0.25">
      <c r="A980" s="23">
        <v>45996</v>
      </c>
      <c r="B980" s="7" t="s">
        <v>146</v>
      </c>
      <c r="C980" s="7">
        <v>-2000</v>
      </c>
      <c r="D980" s="7">
        <v>-900</v>
      </c>
      <c r="E980" s="7"/>
      <c r="F980" s="7">
        <v>-125</v>
      </c>
      <c r="G980" s="7">
        <v>-500</v>
      </c>
      <c r="H980" s="7">
        <v>-775</v>
      </c>
      <c r="I980" s="7">
        <v>-200</v>
      </c>
      <c r="J980" s="7">
        <v>-550</v>
      </c>
      <c r="K980" s="7">
        <v>-5</v>
      </c>
      <c r="L980" s="7">
        <v>-15</v>
      </c>
      <c r="M980" s="7">
        <v>-2.5</v>
      </c>
      <c r="N980" s="7">
        <v>-2.5</v>
      </c>
      <c r="O980" s="7"/>
      <c r="P980" s="7"/>
      <c r="Q980" s="7"/>
      <c r="R980" s="7"/>
      <c r="S980" s="7"/>
      <c r="T980" s="7">
        <v>100</v>
      </c>
      <c r="V980" s="4">
        <v>5</v>
      </c>
    </row>
    <row r="981" spans="1:22" x14ac:dyDescent="0.25">
      <c r="A981" s="23">
        <v>45996</v>
      </c>
      <c r="B981" s="7" t="s">
        <v>81</v>
      </c>
      <c r="C981" s="7">
        <v>-1200</v>
      </c>
      <c r="D981" s="7">
        <v>-375</v>
      </c>
      <c r="E981" s="7"/>
      <c r="F981" s="7">
        <v>-75</v>
      </c>
      <c r="G981" s="7">
        <v>-270</v>
      </c>
      <c r="H981" s="7">
        <v>-510</v>
      </c>
      <c r="I981" s="7">
        <v>-330</v>
      </c>
      <c r="J981" s="7">
        <v>-240</v>
      </c>
      <c r="K981" s="7">
        <v>-3</v>
      </c>
      <c r="L981" s="7">
        <v>-9</v>
      </c>
      <c r="M981" s="7"/>
      <c r="N981" s="7">
        <v>-1.5</v>
      </c>
      <c r="O981" s="7"/>
      <c r="P981" s="7"/>
      <c r="Q981" s="7">
        <v>-1.5</v>
      </c>
      <c r="R981" s="7">
        <v>-3</v>
      </c>
      <c r="S981" s="7">
        <v>60</v>
      </c>
      <c r="T981" s="7"/>
      <c r="U981" s="4">
        <v>3</v>
      </c>
    </row>
    <row r="982" spans="1:22" x14ac:dyDescent="0.25">
      <c r="A982" s="23">
        <v>45996</v>
      </c>
      <c r="B982" s="7" t="s">
        <v>33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>
        <v>-44</v>
      </c>
      <c r="T982" s="7">
        <v>-30</v>
      </c>
    </row>
    <row r="983" spans="1:22" x14ac:dyDescent="0.25">
      <c r="A983" s="23">
        <v>45997</v>
      </c>
      <c r="B983" s="7" t="s">
        <v>69</v>
      </c>
      <c r="C983" s="7">
        <v>-2400</v>
      </c>
      <c r="D983" s="7">
        <v>-750</v>
      </c>
      <c r="E983" s="7"/>
      <c r="F983" s="7">
        <v>-150</v>
      </c>
      <c r="G983" s="7">
        <v>-540</v>
      </c>
      <c r="H983" s="7">
        <v>-1020</v>
      </c>
      <c r="I983" s="7">
        <v>-660</v>
      </c>
      <c r="J983" s="7">
        <v>-480</v>
      </c>
      <c r="K983" s="7">
        <v>-6</v>
      </c>
      <c r="L983" s="7">
        <v>-18</v>
      </c>
      <c r="M983" s="7"/>
      <c r="N983" s="7">
        <v>-3</v>
      </c>
      <c r="O983" s="7"/>
      <c r="P983" s="7"/>
      <c r="Q983" s="7">
        <v>-3</v>
      </c>
      <c r="R983" s="7">
        <v>-6</v>
      </c>
      <c r="S983" s="7">
        <v>120</v>
      </c>
      <c r="T983" s="7"/>
      <c r="U983" s="4">
        <v>6</v>
      </c>
    </row>
    <row r="984" spans="1:22" x14ac:dyDescent="0.25">
      <c r="A984" s="23">
        <v>45997</v>
      </c>
      <c r="B984" s="7" t="s">
        <v>22</v>
      </c>
      <c r="C984" s="7"/>
      <c r="D984" s="7">
        <v>12000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spans="1:22" x14ac:dyDescent="0.25">
      <c r="A985" s="23">
        <v>45997</v>
      </c>
      <c r="B985" s="7" t="s">
        <v>18</v>
      </c>
      <c r="C985" s="7"/>
      <c r="D985" s="7"/>
      <c r="E985" s="7"/>
      <c r="F985" s="7"/>
      <c r="G985" s="7"/>
      <c r="H985" s="7">
        <v>7950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spans="1:22" x14ac:dyDescent="0.25">
      <c r="A986" s="23">
        <v>45997</v>
      </c>
      <c r="B986" s="7" t="s">
        <v>55</v>
      </c>
      <c r="C986" s="7"/>
      <c r="D986" s="7"/>
      <c r="E986" s="7"/>
      <c r="F986" s="7"/>
      <c r="G986" s="7"/>
      <c r="H986" s="7"/>
      <c r="I986" s="7"/>
      <c r="J986" s="7">
        <v>4400</v>
      </c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spans="1:22" x14ac:dyDescent="0.25">
      <c r="A987" s="23">
        <v>45997</v>
      </c>
      <c r="B987" s="7" t="s">
        <v>33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>
        <v>-44</v>
      </c>
      <c r="T987" s="7">
        <v>-30</v>
      </c>
    </row>
    <row r="988" spans="1:22" x14ac:dyDescent="0.25">
      <c r="A988" s="23">
        <v>45998</v>
      </c>
      <c r="B988" s="7" t="s">
        <v>33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>
        <v>-44</v>
      </c>
      <c r="T988" s="7">
        <v>-30</v>
      </c>
    </row>
    <row r="989" spans="1:22" x14ac:dyDescent="0.25">
      <c r="A989" s="23">
        <v>45999</v>
      </c>
      <c r="B989" s="7" t="s">
        <v>81</v>
      </c>
      <c r="C989" s="7">
        <v>-1200</v>
      </c>
      <c r="D989" s="7">
        <v>-375</v>
      </c>
      <c r="E989" s="7"/>
      <c r="F989" s="7">
        <v>-75</v>
      </c>
      <c r="G989" s="7">
        <v>-270</v>
      </c>
      <c r="H989" s="7">
        <v>-510</v>
      </c>
      <c r="I989" s="7">
        <v>-330</v>
      </c>
      <c r="J989" s="7">
        <v>-240</v>
      </c>
      <c r="K989" s="7">
        <v>-3</v>
      </c>
      <c r="L989" s="7">
        <v>-9</v>
      </c>
      <c r="M989" s="7"/>
      <c r="N989" s="7">
        <v>-1.5</v>
      </c>
      <c r="O989" s="7"/>
      <c r="P989" s="7"/>
      <c r="Q989" s="7">
        <v>-1.5</v>
      </c>
      <c r="R989" s="7">
        <v>-3</v>
      </c>
      <c r="S989" s="7">
        <v>60</v>
      </c>
      <c r="T989" s="7"/>
      <c r="U989" s="4">
        <v>3</v>
      </c>
    </row>
    <row r="990" spans="1:22" x14ac:dyDescent="0.25">
      <c r="A990" s="23">
        <v>45999</v>
      </c>
      <c r="B990" s="7" t="s">
        <v>124</v>
      </c>
      <c r="C990" s="7">
        <v>-780</v>
      </c>
      <c r="D990" s="7">
        <v>-360</v>
      </c>
      <c r="E990" s="7"/>
      <c r="F990" s="7">
        <v>-50</v>
      </c>
      <c r="G990" s="7">
        <v>-200</v>
      </c>
      <c r="H990" s="7">
        <v>-310</v>
      </c>
      <c r="I990" s="7">
        <v>-80</v>
      </c>
      <c r="J990" s="7">
        <v>-220</v>
      </c>
      <c r="K990" s="7">
        <v>-2</v>
      </c>
      <c r="L990" s="7">
        <v>-6</v>
      </c>
      <c r="M990" s="7">
        <v>-1</v>
      </c>
      <c r="N990" s="7">
        <v>-1</v>
      </c>
      <c r="O990" s="7"/>
      <c r="P990" s="7"/>
      <c r="Q990" s="7"/>
      <c r="R990" s="7"/>
      <c r="S990" s="7"/>
      <c r="T990" s="7">
        <v>40</v>
      </c>
      <c r="V990" s="4">
        <v>2</v>
      </c>
    </row>
    <row r="991" spans="1:22" x14ac:dyDescent="0.25">
      <c r="A991" s="23">
        <v>45999</v>
      </c>
      <c r="B991" s="7" t="s">
        <v>33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>
        <v>-44</v>
      </c>
      <c r="T991" s="7">
        <v>-30</v>
      </c>
    </row>
    <row r="992" spans="1:22" x14ac:dyDescent="0.25">
      <c r="A992" s="23">
        <v>46000</v>
      </c>
      <c r="B992" s="7" t="s">
        <v>33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>
        <v>-44</v>
      </c>
      <c r="T992" s="7">
        <v>-30</v>
      </c>
    </row>
    <row r="993" spans="1:22" x14ac:dyDescent="0.25">
      <c r="A993" s="23">
        <v>46001</v>
      </c>
      <c r="B993" s="7" t="s">
        <v>81</v>
      </c>
      <c r="C993" s="7">
        <v>-1200</v>
      </c>
      <c r="D993" s="7">
        <v>-375</v>
      </c>
      <c r="E993" s="7"/>
      <c r="F993" s="7">
        <v>-75</v>
      </c>
      <c r="G993" s="7">
        <v>-270</v>
      </c>
      <c r="H993" s="7">
        <v>-510</v>
      </c>
      <c r="I993" s="7">
        <v>-330</v>
      </c>
      <c r="J993" s="7">
        <v>-240</v>
      </c>
      <c r="K993" s="7">
        <v>-3</v>
      </c>
      <c r="L993" s="7">
        <v>-9</v>
      </c>
      <c r="M993" s="7"/>
      <c r="N993" s="7">
        <v>-1.5</v>
      </c>
      <c r="O993" s="7"/>
      <c r="P993" s="7"/>
      <c r="Q993" s="7">
        <v>-1.5</v>
      </c>
      <c r="R993" s="7">
        <v>-3</v>
      </c>
      <c r="S993" s="7">
        <v>60</v>
      </c>
      <c r="T993" s="7"/>
      <c r="U993" s="4">
        <v>3</v>
      </c>
    </row>
    <row r="994" spans="1:22" x14ac:dyDescent="0.25">
      <c r="A994" s="23">
        <v>46001</v>
      </c>
      <c r="B994" s="7" t="s">
        <v>124</v>
      </c>
      <c r="C994" s="7">
        <v>-780</v>
      </c>
      <c r="D994" s="7">
        <v>-360</v>
      </c>
      <c r="E994" s="7"/>
      <c r="F994" s="7">
        <v>-50</v>
      </c>
      <c r="G994" s="7">
        <v>-200</v>
      </c>
      <c r="H994" s="7">
        <v>-310</v>
      </c>
      <c r="I994" s="7">
        <v>-80</v>
      </c>
      <c r="J994" s="7">
        <v>-220</v>
      </c>
      <c r="K994" s="7">
        <v>-2</v>
      </c>
      <c r="L994" s="7">
        <v>-6</v>
      </c>
      <c r="M994" s="7">
        <v>-1</v>
      </c>
      <c r="N994" s="7">
        <v>-1</v>
      </c>
      <c r="O994" s="7"/>
      <c r="P994" s="7"/>
      <c r="Q994" s="7"/>
      <c r="R994" s="7"/>
      <c r="S994" s="7"/>
      <c r="T994" s="7">
        <v>40</v>
      </c>
      <c r="V994" s="4">
        <v>2</v>
      </c>
    </row>
    <row r="995" spans="1:22" x14ac:dyDescent="0.25">
      <c r="A995" s="23">
        <v>46001</v>
      </c>
      <c r="B995" s="7" t="s">
        <v>33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>
        <v>-44</v>
      </c>
      <c r="T995" s="7">
        <v>-30</v>
      </c>
    </row>
    <row r="996" spans="1:22" x14ac:dyDescent="0.25">
      <c r="A996" s="23">
        <v>46001</v>
      </c>
      <c r="B996" s="7" t="s">
        <v>8</v>
      </c>
      <c r="C996" s="7"/>
      <c r="D996" s="7"/>
      <c r="E996" s="7"/>
      <c r="F996" s="7"/>
      <c r="G996" s="7">
        <v>11000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spans="1:22" x14ac:dyDescent="0.25">
      <c r="A997" s="23">
        <v>46002</v>
      </c>
      <c r="B997" s="7" t="s">
        <v>124</v>
      </c>
      <c r="C997" s="7">
        <v>-780</v>
      </c>
      <c r="D997" s="7">
        <v>-360</v>
      </c>
      <c r="E997" s="7"/>
      <c r="F997" s="7">
        <v>-50</v>
      </c>
      <c r="G997" s="7">
        <v>-200</v>
      </c>
      <c r="H997" s="7">
        <v>-310</v>
      </c>
      <c r="I997" s="7">
        <v>-80</v>
      </c>
      <c r="J997" s="7">
        <v>-220</v>
      </c>
      <c r="K997" s="7">
        <v>-2</v>
      </c>
      <c r="L997" s="7">
        <v>-6</v>
      </c>
      <c r="M997" s="7">
        <v>-1</v>
      </c>
      <c r="N997" s="7">
        <v>-1</v>
      </c>
      <c r="O997" s="7"/>
      <c r="P997" s="7"/>
      <c r="Q997" s="7"/>
      <c r="R997" s="7"/>
      <c r="S997" s="7"/>
      <c r="T997" s="7">
        <v>40</v>
      </c>
      <c r="V997" s="4">
        <v>2</v>
      </c>
    </row>
    <row r="998" spans="1:22" x14ac:dyDescent="0.25">
      <c r="A998" s="23">
        <v>46002</v>
      </c>
      <c r="B998" s="7" t="s">
        <v>33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>
        <v>-44</v>
      </c>
      <c r="T998" s="7">
        <v>-29</v>
      </c>
    </row>
    <row r="999" spans="1:22" x14ac:dyDescent="0.25">
      <c r="A999" s="23">
        <v>46003</v>
      </c>
      <c r="B999" s="7" t="s">
        <v>33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>
        <v>-44</v>
      </c>
      <c r="T999" s="7">
        <v>-29</v>
      </c>
    </row>
    <row r="1000" spans="1:22" x14ac:dyDescent="0.25">
      <c r="A1000" s="23">
        <v>46003</v>
      </c>
      <c r="B1000" s="7" t="s">
        <v>1</v>
      </c>
      <c r="C1000" s="7">
        <v>-2000</v>
      </c>
      <c r="D1000" s="7">
        <v>-625</v>
      </c>
      <c r="E1000" s="7"/>
      <c r="F1000" s="7">
        <v>-125</v>
      </c>
      <c r="G1000" s="7">
        <v>-450</v>
      </c>
      <c r="H1000" s="7">
        <v>-850</v>
      </c>
      <c r="I1000" s="7">
        <v>-550</v>
      </c>
      <c r="J1000" s="7">
        <v>-400</v>
      </c>
      <c r="K1000" s="7">
        <v>-5</v>
      </c>
      <c r="L1000" s="7">
        <v>-15</v>
      </c>
      <c r="M1000" s="7"/>
      <c r="N1000" s="7">
        <v>-2.5</v>
      </c>
      <c r="O1000" s="7"/>
      <c r="P1000" s="7"/>
      <c r="Q1000" s="7">
        <v>-1</v>
      </c>
      <c r="R1000" s="7">
        <v>-5</v>
      </c>
      <c r="S1000" s="7">
        <v>100</v>
      </c>
      <c r="T1000" s="7"/>
      <c r="U1000" s="4">
        <v>5</v>
      </c>
    </row>
    <row r="1001" spans="1:22" x14ac:dyDescent="0.25">
      <c r="A1001" s="23">
        <v>46003</v>
      </c>
      <c r="B1001" s="7" t="s">
        <v>122</v>
      </c>
      <c r="C1001" s="7">
        <v>-1200</v>
      </c>
      <c r="D1001" s="7">
        <v>-540</v>
      </c>
      <c r="E1001" s="7"/>
      <c r="F1001" s="7">
        <v>-75</v>
      </c>
      <c r="G1001" s="7">
        <v>-300</v>
      </c>
      <c r="H1001" s="7">
        <v>-465</v>
      </c>
      <c r="I1001" s="7">
        <v>-120</v>
      </c>
      <c r="J1001" s="7">
        <v>-330</v>
      </c>
      <c r="K1001" s="7">
        <v>-3</v>
      </c>
      <c r="L1001" s="7">
        <v>-9</v>
      </c>
      <c r="M1001" s="7">
        <v>-1.5</v>
      </c>
      <c r="N1001" s="7">
        <v>-1.5</v>
      </c>
      <c r="O1001" s="7"/>
      <c r="P1001" s="7"/>
      <c r="Q1001" s="7"/>
      <c r="R1001" s="7"/>
      <c r="S1001" s="7"/>
      <c r="T1001" s="7">
        <v>60</v>
      </c>
      <c r="V1001" s="4">
        <v>3</v>
      </c>
    </row>
    <row r="1002" spans="1:22" x14ac:dyDescent="0.25">
      <c r="A1002" s="23">
        <v>46003</v>
      </c>
      <c r="B1002" s="7" t="s">
        <v>205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>
        <v>20</v>
      </c>
      <c r="R1002" s="7"/>
      <c r="S1002" s="7"/>
      <c r="T1002" s="7"/>
    </row>
    <row r="1003" spans="1:22" x14ac:dyDescent="0.25">
      <c r="A1003" s="23">
        <v>46003</v>
      </c>
      <c r="B1003" s="7" t="s">
        <v>219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>
        <v>25</v>
      </c>
      <c r="S1003" s="7"/>
      <c r="T1003" s="7"/>
    </row>
    <row r="1004" spans="1:22" x14ac:dyDescent="0.25">
      <c r="A1004" s="23">
        <v>46004</v>
      </c>
      <c r="B1004" s="7" t="s">
        <v>33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>
        <v>-44</v>
      </c>
      <c r="T1004" s="7">
        <v>-30</v>
      </c>
    </row>
    <row r="1005" spans="1:22" x14ac:dyDescent="0.25">
      <c r="A1005" s="23">
        <v>46004</v>
      </c>
      <c r="B1005" s="7" t="s">
        <v>81</v>
      </c>
      <c r="C1005" s="7">
        <v>-1200</v>
      </c>
      <c r="D1005" s="7">
        <v>-375</v>
      </c>
      <c r="E1005" s="7"/>
      <c r="F1005" s="7">
        <v>-75</v>
      </c>
      <c r="G1005" s="7">
        <v>-270</v>
      </c>
      <c r="H1005" s="7">
        <v>-510</v>
      </c>
      <c r="I1005" s="7">
        <v>-330</v>
      </c>
      <c r="J1005" s="7">
        <v>-240</v>
      </c>
      <c r="K1005" s="7">
        <v>-3</v>
      </c>
      <c r="L1005" s="7">
        <v>-9</v>
      </c>
      <c r="M1005" s="7"/>
      <c r="N1005" s="7">
        <v>-1.5</v>
      </c>
      <c r="O1005" s="7"/>
      <c r="P1005" s="7"/>
      <c r="Q1005" s="7">
        <v>-1.5</v>
      </c>
      <c r="R1005" s="7">
        <v>-3</v>
      </c>
      <c r="S1005" s="7">
        <v>60</v>
      </c>
      <c r="T1005" s="7"/>
      <c r="U1005" s="4">
        <v>3</v>
      </c>
    </row>
    <row r="1006" spans="1:22" x14ac:dyDescent="0.25">
      <c r="A1006" s="23">
        <v>46005</v>
      </c>
      <c r="B1006" s="7" t="s">
        <v>33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>
        <v>-44</v>
      </c>
      <c r="T1006" s="7">
        <v>-29</v>
      </c>
    </row>
    <row r="1007" spans="1:22" x14ac:dyDescent="0.25">
      <c r="A1007" s="23">
        <v>46005</v>
      </c>
      <c r="B1007" s="7" t="s">
        <v>37</v>
      </c>
      <c r="C1007" s="7">
        <v>12600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</row>
    <row r="1008" spans="1:22" x14ac:dyDescent="0.25">
      <c r="A1008" s="23">
        <v>46006</v>
      </c>
      <c r="B1008" s="7" t="s">
        <v>97</v>
      </c>
      <c r="C1008" s="7">
        <v>-3600</v>
      </c>
      <c r="D1008" s="7">
        <v>-1125</v>
      </c>
      <c r="E1008" s="7"/>
      <c r="F1008" s="7">
        <v>-225</v>
      </c>
      <c r="G1008" s="7">
        <v>-810</v>
      </c>
      <c r="H1008" s="7">
        <v>-1530</v>
      </c>
      <c r="I1008" s="7">
        <v>-990</v>
      </c>
      <c r="J1008" s="7">
        <v>-720</v>
      </c>
      <c r="K1008" s="7">
        <v>-9</v>
      </c>
      <c r="L1008" s="7">
        <v>-27</v>
      </c>
      <c r="M1008" s="7"/>
      <c r="N1008" s="7">
        <v>-4.5</v>
      </c>
      <c r="O1008" s="7"/>
      <c r="P1008" s="7"/>
      <c r="Q1008" s="7">
        <v>-4.5</v>
      </c>
      <c r="R1008" s="7">
        <v>-9</v>
      </c>
      <c r="S1008" s="7">
        <v>180</v>
      </c>
      <c r="T1008" s="7"/>
      <c r="U1008" s="4">
        <v>9</v>
      </c>
    </row>
    <row r="1009" spans="1:22" x14ac:dyDescent="0.25">
      <c r="A1009" s="23">
        <v>46006</v>
      </c>
      <c r="B1009" s="7" t="s">
        <v>33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>
        <v>-44</v>
      </c>
      <c r="T1009" s="7">
        <v>-31</v>
      </c>
    </row>
    <row r="1010" spans="1:22" x14ac:dyDescent="0.25">
      <c r="A1010" s="23">
        <v>46007</v>
      </c>
      <c r="B1010" s="7" t="s">
        <v>146</v>
      </c>
      <c r="C1010" s="7">
        <v>-2000</v>
      </c>
      <c r="D1010" s="7">
        <v>-900</v>
      </c>
      <c r="E1010" s="7"/>
      <c r="F1010" s="7">
        <v>-125</v>
      </c>
      <c r="G1010" s="7">
        <v>-500</v>
      </c>
      <c r="H1010" s="7">
        <v>-775</v>
      </c>
      <c r="I1010" s="7">
        <v>-200</v>
      </c>
      <c r="J1010" s="7">
        <v>-550</v>
      </c>
      <c r="K1010" s="7">
        <v>-5</v>
      </c>
      <c r="L1010" s="7">
        <v>-15</v>
      </c>
      <c r="M1010" s="7">
        <v>-2.5</v>
      </c>
      <c r="N1010" s="7">
        <v>-2.5</v>
      </c>
      <c r="O1010" s="7"/>
      <c r="P1010" s="7"/>
      <c r="Q1010" s="7"/>
      <c r="R1010" s="7"/>
      <c r="S1010" s="7"/>
      <c r="T1010" s="7">
        <v>100</v>
      </c>
      <c r="V1010" s="4">
        <v>5</v>
      </c>
    </row>
    <row r="1011" spans="1:22" x14ac:dyDescent="0.25">
      <c r="A1011" s="23">
        <v>46007</v>
      </c>
      <c r="B1011" s="7" t="s">
        <v>33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>
        <v>-44</v>
      </c>
      <c r="T1011" s="7">
        <v>-31</v>
      </c>
    </row>
    <row r="1012" spans="1:22" x14ac:dyDescent="0.25">
      <c r="A1012" s="23">
        <v>46007</v>
      </c>
      <c r="B1012" s="7" t="s">
        <v>37</v>
      </c>
      <c r="C1012" s="7">
        <v>12600</v>
      </c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</row>
    <row r="1013" spans="1:22" x14ac:dyDescent="0.25">
      <c r="A1013" s="23">
        <v>46008</v>
      </c>
      <c r="B1013" s="7" t="s">
        <v>220</v>
      </c>
      <c r="C1013" s="7">
        <v>-2800</v>
      </c>
      <c r="D1013" s="7">
        <v>-1260</v>
      </c>
      <c r="E1013" s="7"/>
      <c r="F1013" s="7">
        <v>-175</v>
      </c>
      <c r="G1013" s="7">
        <v>-700</v>
      </c>
      <c r="H1013" s="7">
        <v>-1085</v>
      </c>
      <c r="I1013" s="7">
        <v>-280</v>
      </c>
      <c r="J1013" s="7">
        <v>-770</v>
      </c>
      <c r="K1013" s="7">
        <v>-7</v>
      </c>
      <c r="L1013" s="7">
        <v>-21</v>
      </c>
      <c r="M1013" s="7">
        <v>-3.5</v>
      </c>
      <c r="N1013" s="7">
        <v>-3.5</v>
      </c>
      <c r="O1013" s="7"/>
      <c r="P1013" s="7"/>
      <c r="Q1013" s="7"/>
      <c r="R1013" s="7"/>
      <c r="S1013" s="7"/>
      <c r="T1013" s="7">
        <v>140</v>
      </c>
      <c r="V1013" s="4">
        <v>7</v>
      </c>
    </row>
    <row r="1014" spans="1:22" x14ac:dyDescent="0.25">
      <c r="A1014" s="23">
        <v>46008</v>
      </c>
      <c r="B1014" s="7" t="s">
        <v>33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>
        <v>-44</v>
      </c>
      <c r="T1014" s="7">
        <v>-31</v>
      </c>
    </row>
    <row r="1015" spans="1:22" x14ac:dyDescent="0.25">
      <c r="A1015" s="23">
        <v>46009</v>
      </c>
      <c r="B1015" s="7" t="s">
        <v>1</v>
      </c>
      <c r="C1015" s="7">
        <v>-2000</v>
      </c>
      <c r="D1015" s="7">
        <v>-625</v>
      </c>
      <c r="E1015" s="7"/>
      <c r="F1015" s="7">
        <v>-125</v>
      </c>
      <c r="G1015" s="7">
        <v>-450</v>
      </c>
      <c r="H1015" s="7">
        <v>-850</v>
      </c>
      <c r="I1015" s="7">
        <v>-550</v>
      </c>
      <c r="J1015" s="7">
        <v>-400</v>
      </c>
      <c r="K1015" s="7">
        <v>-5</v>
      </c>
      <c r="L1015" s="7">
        <v>-15</v>
      </c>
      <c r="M1015" s="7"/>
      <c r="N1015" s="7">
        <v>-2.5</v>
      </c>
      <c r="O1015" s="7"/>
      <c r="P1015" s="7"/>
      <c r="Q1015" s="7">
        <v>-2.5</v>
      </c>
      <c r="R1015" s="7">
        <v>-5</v>
      </c>
      <c r="S1015" s="7">
        <v>100</v>
      </c>
      <c r="T1015" s="7"/>
      <c r="U1015" s="4">
        <v>5</v>
      </c>
    </row>
    <row r="1016" spans="1:22" x14ac:dyDescent="0.25">
      <c r="A1016" s="23">
        <v>46009</v>
      </c>
      <c r="B1016" s="7" t="s">
        <v>33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>
        <v>-44</v>
      </c>
      <c r="T1016" s="7">
        <v>-31</v>
      </c>
    </row>
    <row r="1017" spans="1:22" x14ac:dyDescent="0.25">
      <c r="A1017" s="23">
        <v>46010</v>
      </c>
      <c r="B1017" s="7" t="s">
        <v>33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>
        <v>-44</v>
      </c>
      <c r="T1017" s="7">
        <v>-30</v>
      </c>
    </row>
    <row r="1018" spans="1:22" x14ac:dyDescent="0.25">
      <c r="A1018" s="23">
        <v>46011</v>
      </c>
      <c r="B1018" s="7" t="s">
        <v>1</v>
      </c>
      <c r="C1018" s="7">
        <v>-2000</v>
      </c>
      <c r="D1018" s="7">
        <v>-625</v>
      </c>
      <c r="E1018" s="7"/>
      <c r="F1018" s="7">
        <v>-125</v>
      </c>
      <c r="G1018" s="7">
        <v>-450</v>
      </c>
      <c r="H1018" s="7">
        <v>-850</v>
      </c>
      <c r="I1018" s="7">
        <v>-550</v>
      </c>
      <c r="J1018" s="7">
        <v>-400</v>
      </c>
      <c r="K1018" s="7">
        <v>-5</v>
      </c>
      <c r="L1018" s="7">
        <v>-15</v>
      </c>
      <c r="M1018" s="7"/>
      <c r="N1018" s="7">
        <v>-2.5</v>
      </c>
      <c r="O1018" s="7"/>
      <c r="P1018" s="7"/>
      <c r="Q1018" s="7">
        <v>-2.5</v>
      </c>
      <c r="R1018" s="7">
        <v>-5</v>
      </c>
      <c r="S1018" s="7">
        <v>100</v>
      </c>
      <c r="T1018" s="7"/>
      <c r="U1018" s="4">
        <v>5</v>
      </c>
    </row>
    <row r="1019" spans="1:22" x14ac:dyDescent="0.25">
      <c r="A1019" s="23">
        <v>46011</v>
      </c>
      <c r="B1019" s="7" t="s">
        <v>18</v>
      </c>
      <c r="C1019" s="7"/>
      <c r="D1019" s="7"/>
      <c r="E1019" s="7"/>
      <c r="F1019" s="7"/>
      <c r="G1019" s="7"/>
      <c r="H1019" s="7">
        <v>7900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</row>
    <row r="1020" spans="1:22" x14ac:dyDescent="0.25">
      <c r="A1020" s="23">
        <v>46011</v>
      </c>
      <c r="B1020" s="7" t="s">
        <v>55</v>
      </c>
      <c r="C1020" s="7"/>
      <c r="D1020" s="7"/>
      <c r="E1020" s="7"/>
      <c r="F1020" s="7"/>
      <c r="G1020" s="7"/>
      <c r="H1020" s="7"/>
      <c r="I1020" s="7"/>
      <c r="J1020" s="7">
        <v>4600</v>
      </c>
      <c r="K1020" s="7"/>
      <c r="L1020" s="7"/>
      <c r="M1020" s="7"/>
      <c r="N1020" s="7"/>
      <c r="O1020" s="7"/>
      <c r="P1020" s="7"/>
      <c r="Q1020" s="7"/>
      <c r="R1020" s="7"/>
      <c r="S1020" s="7"/>
      <c r="T1020" s="7"/>
    </row>
    <row r="1021" spans="1:22" x14ac:dyDescent="0.25">
      <c r="A1021" s="23">
        <v>46011</v>
      </c>
      <c r="B1021" s="7" t="s">
        <v>33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>
        <v>-44</v>
      </c>
      <c r="T1021" s="7">
        <v>-31</v>
      </c>
    </row>
    <row r="1022" spans="1:22" x14ac:dyDescent="0.25">
      <c r="A1022" s="23">
        <v>46012</v>
      </c>
      <c r="B1022" s="7" t="s">
        <v>33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>
        <v>-44</v>
      </c>
      <c r="T1022" s="7">
        <v>-31</v>
      </c>
    </row>
    <row r="1023" spans="1:22" x14ac:dyDescent="0.25">
      <c r="A1023" s="23">
        <v>46013</v>
      </c>
      <c r="B1023" s="7" t="s">
        <v>145</v>
      </c>
      <c r="C1023" s="7">
        <v>-4000</v>
      </c>
      <c r="D1023" s="7">
        <v>-1250</v>
      </c>
      <c r="E1023" s="7"/>
      <c r="F1023" s="7">
        <v>-250</v>
      </c>
      <c r="G1023" s="7">
        <v>-900</v>
      </c>
      <c r="H1023" s="7">
        <v>-1700</v>
      </c>
      <c r="I1023" s="7">
        <v>-1100</v>
      </c>
      <c r="J1023" s="7">
        <v>-800</v>
      </c>
      <c r="K1023" s="7">
        <v>-10</v>
      </c>
      <c r="L1023" s="7">
        <v>-30</v>
      </c>
      <c r="M1023" s="7"/>
      <c r="N1023" s="7">
        <v>-5</v>
      </c>
      <c r="O1023" s="7"/>
      <c r="P1023" s="7"/>
      <c r="Q1023" s="7">
        <v>-5</v>
      </c>
      <c r="R1023" s="7"/>
      <c r="S1023" s="7">
        <v>200</v>
      </c>
      <c r="T1023" s="7"/>
      <c r="U1023" s="4">
        <v>10</v>
      </c>
    </row>
    <row r="1024" spans="1:22" x14ac:dyDescent="0.25">
      <c r="A1024" s="23">
        <v>46013</v>
      </c>
      <c r="B1024" s="7" t="s">
        <v>129</v>
      </c>
      <c r="C1024" s="7">
        <v>-1600</v>
      </c>
      <c r="D1024" s="7">
        <v>-720</v>
      </c>
      <c r="E1024" s="7"/>
      <c r="F1024" s="7">
        <v>-100</v>
      </c>
      <c r="G1024" s="7">
        <v>-400</v>
      </c>
      <c r="H1024" s="7">
        <v>-620</v>
      </c>
      <c r="I1024" s="7">
        <v>-160</v>
      </c>
      <c r="J1024" s="7">
        <v>-440</v>
      </c>
      <c r="K1024" s="7">
        <v>-4</v>
      </c>
      <c r="L1024" s="7">
        <v>-12</v>
      </c>
      <c r="M1024" s="7">
        <v>-2</v>
      </c>
      <c r="N1024" s="7">
        <v>-2</v>
      </c>
      <c r="O1024" s="7"/>
      <c r="P1024" s="7"/>
      <c r="Q1024" s="7"/>
      <c r="R1024" s="7"/>
      <c r="S1024" s="7"/>
      <c r="T1024" s="7">
        <v>80</v>
      </c>
      <c r="V1024" s="4">
        <v>4</v>
      </c>
    </row>
    <row r="1025" spans="1:22" x14ac:dyDescent="0.25">
      <c r="A1025" s="23">
        <v>46013</v>
      </c>
      <c r="B1025" s="7" t="s">
        <v>12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>
        <v>250</v>
      </c>
      <c r="M1025" s="7"/>
      <c r="N1025" s="7"/>
      <c r="O1025" s="7"/>
      <c r="P1025" s="7"/>
      <c r="Q1025" s="7"/>
      <c r="R1025" s="7"/>
      <c r="S1025" s="7"/>
      <c r="T1025" s="7"/>
    </row>
    <row r="1026" spans="1:22" x14ac:dyDescent="0.25">
      <c r="A1026" s="23">
        <v>46013</v>
      </c>
      <c r="B1026" s="7" t="s">
        <v>13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>
        <v>50</v>
      </c>
      <c r="O1026" s="7"/>
      <c r="P1026" s="7"/>
      <c r="Q1026" s="7"/>
      <c r="R1026" s="7"/>
      <c r="S1026" s="7"/>
      <c r="T1026" s="7"/>
    </row>
    <row r="1027" spans="1:22" x14ac:dyDescent="0.25">
      <c r="A1027" s="23">
        <v>46013</v>
      </c>
      <c r="B1027" s="7" t="s">
        <v>33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>
        <v>-44</v>
      </c>
      <c r="T1027" s="7">
        <v>-31</v>
      </c>
    </row>
    <row r="1028" spans="1:22" x14ac:dyDescent="0.25">
      <c r="A1028" s="23">
        <v>46014</v>
      </c>
      <c r="B1028" s="7" t="s">
        <v>33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>
        <v>-44</v>
      </c>
      <c r="T1028" s="7">
        <v>-31</v>
      </c>
    </row>
    <row r="1029" spans="1:22" x14ac:dyDescent="0.25">
      <c r="A1029" s="23">
        <v>46014</v>
      </c>
      <c r="B1029" s="7" t="s">
        <v>146</v>
      </c>
      <c r="C1029" s="7">
        <v>-2000</v>
      </c>
      <c r="D1029" s="7">
        <v>-900</v>
      </c>
      <c r="E1029" s="7"/>
      <c r="F1029" s="7">
        <v>-125</v>
      </c>
      <c r="G1029" s="7">
        <v>-500</v>
      </c>
      <c r="H1029" s="7">
        <v>-775</v>
      </c>
      <c r="I1029" s="7">
        <v>-200</v>
      </c>
      <c r="J1029" s="7">
        <v>-550</v>
      </c>
      <c r="K1029" s="7">
        <v>-5</v>
      </c>
      <c r="L1029" s="7">
        <v>-15</v>
      </c>
      <c r="M1029" s="7">
        <v>-2.5</v>
      </c>
      <c r="N1029" s="7">
        <v>-2.5</v>
      </c>
      <c r="O1029" s="7"/>
      <c r="P1029" s="7"/>
      <c r="Q1029" s="7"/>
      <c r="R1029" s="7"/>
      <c r="S1029" s="7"/>
      <c r="T1029" s="7">
        <v>100</v>
      </c>
      <c r="V1029" s="4">
        <v>5</v>
      </c>
    </row>
    <row r="1030" spans="1:22" x14ac:dyDescent="0.25">
      <c r="A1030" s="23">
        <v>46015</v>
      </c>
      <c r="B1030" s="7" t="s">
        <v>33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>
        <v>-44</v>
      </c>
      <c r="T1030" s="7">
        <v>-31</v>
      </c>
    </row>
    <row r="1031" spans="1:22" x14ac:dyDescent="0.25">
      <c r="A1031" s="23">
        <v>46015</v>
      </c>
      <c r="B1031" s="7" t="s">
        <v>37</v>
      </c>
      <c r="C1031" s="7">
        <v>12600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</row>
    <row r="1032" spans="1:22" x14ac:dyDescent="0.25">
      <c r="A1032" s="23">
        <v>46016</v>
      </c>
      <c r="B1032" s="7" t="s">
        <v>33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>
        <v>-44</v>
      </c>
      <c r="T1032" s="7">
        <v>-31</v>
      </c>
    </row>
    <row r="1033" spans="1:22" x14ac:dyDescent="0.25">
      <c r="A1033" s="23">
        <v>46017</v>
      </c>
      <c r="B1033" s="7" t="s">
        <v>33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>
        <v>-44</v>
      </c>
      <c r="T1033" s="7">
        <v>-31</v>
      </c>
    </row>
    <row r="1034" spans="1:22" x14ac:dyDescent="0.25">
      <c r="A1034" s="23">
        <v>46018</v>
      </c>
      <c r="B1034" s="7" t="s">
        <v>33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>
        <v>-44</v>
      </c>
      <c r="T1034" s="7">
        <v>-31</v>
      </c>
    </row>
    <row r="1035" spans="1:22" x14ac:dyDescent="0.25">
      <c r="A1035" s="23">
        <v>46019</v>
      </c>
      <c r="B1035" s="7" t="s">
        <v>33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>
        <v>-44</v>
      </c>
      <c r="T1035" s="7">
        <v>-31</v>
      </c>
    </row>
    <row r="1036" spans="1:22" x14ac:dyDescent="0.25">
      <c r="A1036" s="23">
        <v>46020</v>
      </c>
      <c r="B1036" s="7" t="s">
        <v>146</v>
      </c>
      <c r="C1036" s="7">
        <v>-2000</v>
      </c>
      <c r="D1036" s="7">
        <v>-900</v>
      </c>
      <c r="E1036" s="7"/>
      <c r="F1036" s="7">
        <v>-125</v>
      </c>
      <c r="G1036" s="7">
        <v>-500</v>
      </c>
      <c r="H1036" s="7">
        <v>-775</v>
      </c>
      <c r="I1036" s="7">
        <v>-200</v>
      </c>
      <c r="J1036" s="7">
        <v>-550</v>
      </c>
      <c r="K1036" s="7">
        <v>-5</v>
      </c>
      <c r="L1036" s="7">
        <v>-15</v>
      </c>
      <c r="M1036" s="7">
        <v>-2.5</v>
      </c>
      <c r="N1036" s="7">
        <v>-2.5</v>
      </c>
      <c r="O1036" s="7"/>
      <c r="P1036" s="7"/>
      <c r="Q1036" s="7"/>
      <c r="R1036" s="7"/>
      <c r="S1036" s="7"/>
      <c r="T1036" s="7">
        <v>100</v>
      </c>
      <c r="V1036" s="4">
        <v>5</v>
      </c>
    </row>
    <row r="1037" spans="1:22" x14ac:dyDescent="0.25">
      <c r="A1037" s="23">
        <v>46020</v>
      </c>
      <c r="B1037" s="7" t="s">
        <v>1</v>
      </c>
      <c r="C1037" s="7">
        <v>-2000</v>
      </c>
      <c r="D1037" s="7">
        <v>-625</v>
      </c>
      <c r="E1037" s="7"/>
      <c r="F1037" s="7">
        <v>-125</v>
      </c>
      <c r="G1037" s="7">
        <v>-450</v>
      </c>
      <c r="H1037" s="7">
        <v>-850</v>
      </c>
      <c r="I1037" s="7">
        <v>-550</v>
      </c>
      <c r="J1037" s="7">
        <v>-400</v>
      </c>
      <c r="K1037" s="7">
        <v>-5</v>
      </c>
      <c r="L1037" s="7">
        <v>-15</v>
      </c>
      <c r="M1037" s="7"/>
      <c r="N1037" s="7">
        <v>-2.5</v>
      </c>
      <c r="O1037" s="7"/>
      <c r="P1037" s="7"/>
      <c r="Q1037" s="7">
        <v>-2.5</v>
      </c>
      <c r="R1037" s="7">
        <v>-5</v>
      </c>
      <c r="S1037" s="7">
        <v>100</v>
      </c>
      <c r="T1037" s="7"/>
      <c r="U1037" s="4">
        <v>5</v>
      </c>
    </row>
    <row r="1038" spans="1:22" x14ac:dyDescent="0.25">
      <c r="A1038" s="23">
        <v>46020</v>
      </c>
      <c r="B1038" s="7" t="s">
        <v>33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>
        <v>-44</v>
      </c>
      <c r="T1038" s="7">
        <v>-31</v>
      </c>
    </row>
    <row r="1039" spans="1:22" x14ac:dyDescent="0.25">
      <c r="A1039" s="23">
        <v>46021</v>
      </c>
      <c r="B1039" s="7" t="s">
        <v>81</v>
      </c>
      <c r="C1039" s="7">
        <v>-1200</v>
      </c>
      <c r="D1039" s="7">
        <v>-375</v>
      </c>
      <c r="E1039" s="7"/>
      <c r="F1039" s="7">
        <v>-75</v>
      </c>
      <c r="G1039" s="7">
        <v>-270</v>
      </c>
      <c r="H1039" s="7">
        <v>-510</v>
      </c>
      <c r="I1039" s="7">
        <v>-330</v>
      </c>
      <c r="J1039" s="7">
        <v>-240</v>
      </c>
      <c r="K1039" s="7">
        <v>-3</v>
      </c>
      <c r="L1039" s="7">
        <v>-9</v>
      </c>
      <c r="M1039" s="7"/>
      <c r="N1039" s="7">
        <v>-1.5</v>
      </c>
      <c r="O1039" s="7"/>
      <c r="P1039" s="7"/>
      <c r="Q1039" s="7">
        <v>-0.8</v>
      </c>
      <c r="R1039" s="7">
        <v>-1</v>
      </c>
      <c r="S1039" s="7">
        <v>60</v>
      </c>
      <c r="T1039" s="7"/>
      <c r="U1039" s="4">
        <v>3</v>
      </c>
    </row>
    <row r="1040" spans="1:22" x14ac:dyDescent="0.25">
      <c r="A1040" s="23">
        <v>46021</v>
      </c>
      <c r="B1040" s="7" t="s">
        <v>33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>
        <v>-44</v>
      </c>
      <c r="T1040" s="7">
        <v>-31</v>
      </c>
    </row>
    <row r="1041" spans="1:22" x14ac:dyDescent="0.25">
      <c r="A1041" s="23">
        <v>46021</v>
      </c>
      <c r="B1041" s="7" t="s">
        <v>18</v>
      </c>
      <c r="C1041" s="7"/>
      <c r="D1041" s="7"/>
      <c r="E1041" s="7"/>
      <c r="F1041" s="7"/>
      <c r="G1041" s="7"/>
      <c r="H1041" s="7">
        <v>6300</v>
      </c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</row>
    <row r="1042" spans="1:22" x14ac:dyDescent="0.25">
      <c r="A1042" s="23">
        <v>46021</v>
      </c>
      <c r="B1042" s="7" t="s">
        <v>55</v>
      </c>
      <c r="C1042" s="7"/>
      <c r="D1042" s="7"/>
      <c r="E1042" s="7"/>
      <c r="F1042" s="7"/>
      <c r="G1042" s="7"/>
      <c r="H1042" s="7"/>
      <c r="I1042" s="7"/>
      <c r="J1042" s="7">
        <v>3520</v>
      </c>
      <c r="K1042" s="7"/>
      <c r="L1042" s="7"/>
      <c r="M1042" s="7"/>
      <c r="N1042" s="7"/>
      <c r="O1042" s="7"/>
      <c r="P1042" s="7"/>
      <c r="Q1042" s="7"/>
      <c r="R1042" s="7"/>
      <c r="S1042" s="7"/>
      <c r="T1042" s="7"/>
    </row>
    <row r="1043" spans="1:22" x14ac:dyDescent="0.25">
      <c r="A1043" s="23">
        <v>46021</v>
      </c>
      <c r="B1043" s="7" t="s">
        <v>35</v>
      </c>
      <c r="C1043" s="7"/>
      <c r="D1043" s="7"/>
      <c r="E1043" s="7"/>
      <c r="F1043" s="7">
        <v>2500</v>
      </c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</row>
    <row r="1044" spans="1:22" x14ac:dyDescent="0.25">
      <c r="A1044" s="23">
        <v>46022</v>
      </c>
      <c r="B1044" s="7" t="s">
        <v>33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>
        <v>-44</v>
      </c>
      <c r="T1044" s="7">
        <v>-31</v>
      </c>
    </row>
    <row r="1045" spans="1:22" x14ac:dyDescent="0.25">
      <c r="A1045" s="23">
        <v>46022</v>
      </c>
      <c r="B1045" s="7" t="s">
        <v>219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>
        <v>25</v>
      </c>
      <c r="S1045" s="7"/>
      <c r="T1045" s="7"/>
    </row>
    <row r="1046" spans="1:22" x14ac:dyDescent="0.25">
      <c r="A1046" s="23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</row>
    <row r="1047" spans="1:22" x14ac:dyDescent="0.25">
      <c r="A1047" s="3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4">
        <f>SUM(U969:U1046)</f>
        <v>62</v>
      </c>
      <c r="V1047" s="4">
        <f>SUM(V969:V1046)</f>
        <v>47</v>
      </c>
    </row>
    <row r="1048" spans="1:22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</row>
    <row r="1049" spans="1:22" x14ac:dyDescent="0.25">
      <c r="A1049" s="20"/>
      <c r="B1049" s="21" t="s">
        <v>25</v>
      </c>
      <c r="C1049" s="22">
        <f t="shared" ref="C1049:T1049" si="27">SUM(C968:C1048)</f>
        <v>16929</v>
      </c>
      <c r="D1049" s="22">
        <f t="shared" si="27"/>
        <v>2465</v>
      </c>
      <c r="E1049" s="22">
        <f t="shared" si="27"/>
        <v>810</v>
      </c>
      <c r="F1049" s="22">
        <f t="shared" si="27"/>
        <v>3000</v>
      </c>
      <c r="G1049" s="22">
        <f t="shared" si="27"/>
        <v>4115</v>
      </c>
      <c r="H1049" s="22">
        <f t="shared" si="27"/>
        <v>8875</v>
      </c>
      <c r="I1049" s="22">
        <f t="shared" si="27"/>
        <v>3350</v>
      </c>
      <c r="J1049" s="22">
        <f t="shared" si="27"/>
        <v>4710</v>
      </c>
      <c r="K1049" s="22">
        <f t="shared" si="27"/>
        <v>157</v>
      </c>
      <c r="L1049" s="22">
        <f t="shared" si="27"/>
        <v>219.7</v>
      </c>
      <c r="M1049" s="22">
        <f t="shared" si="27"/>
        <v>0</v>
      </c>
      <c r="N1049" s="22">
        <f t="shared" si="27"/>
        <v>71</v>
      </c>
      <c r="O1049" s="22">
        <f t="shared" si="27"/>
        <v>100</v>
      </c>
      <c r="P1049" s="22">
        <f t="shared" si="27"/>
        <v>0</v>
      </c>
      <c r="Q1049" s="22">
        <f t="shared" si="27"/>
        <v>0</v>
      </c>
      <c r="R1049" s="22">
        <f t="shared" si="27"/>
        <v>25</v>
      </c>
      <c r="S1049" s="22">
        <f t="shared" si="27"/>
        <v>120</v>
      </c>
      <c r="T1049" s="22">
        <f t="shared" si="27"/>
        <v>58</v>
      </c>
    </row>
    <row r="1050" spans="1:22" x14ac:dyDescent="0.25">
      <c r="A1050" s="17"/>
      <c r="B1050" s="17" t="s">
        <v>28</v>
      </c>
      <c r="C1050" s="17">
        <v>1565</v>
      </c>
      <c r="D1050" s="17">
        <v>579</v>
      </c>
      <c r="E1050" s="17">
        <v>0</v>
      </c>
      <c r="F1050" s="17">
        <v>99</v>
      </c>
      <c r="G1050" s="17">
        <v>371</v>
      </c>
      <c r="H1050" s="17">
        <v>648</v>
      </c>
      <c r="I1050" s="17">
        <v>326</v>
      </c>
      <c r="J1050" s="17">
        <v>364</v>
      </c>
      <c r="K1050" s="17">
        <v>4</v>
      </c>
      <c r="L1050" s="17">
        <v>10.3</v>
      </c>
      <c r="M1050" s="17">
        <v>0.81</v>
      </c>
      <c r="N1050" s="17">
        <v>2</v>
      </c>
      <c r="O1050" s="17">
        <v>0</v>
      </c>
      <c r="P1050" s="17">
        <v>0</v>
      </c>
      <c r="Q1050" s="17"/>
      <c r="R1050" s="17"/>
      <c r="S1050" s="17">
        <v>44</v>
      </c>
      <c r="T1050" s="17">
        <v>30</v>
      </c>
    </row>
    <row r="1051" spans="1:22" x14ac:dyDescent="0.25">
      <c r="A1051" s="17"/>
      <c r="B1051" s="17" t="s">
        <v>26</v>
      </c>
      <c r="C1051" s="18">
        <f>C1049/C1050</f>
        <v>10.817252396166134</v>
      </c>
      <c r="D1051" s="18">
        <f t="shared" ref="D1051:P1051" si="28">D1049/D1050</f>
        <v>4.2573402417962001</v>
      </c>
      <c r="E1051" s="18" t="e">
        <f t="shared" si="28"/>
        <v>#DIV/0!</v>
      </c>
      <c r="F1051" s="18">
        <f t="shared" si="28"/>
        <v>30.303030303030305</v>
      </c>
      <c r="G1051" s="18">
        <f t="shared" si="28"/>
        <v>11.091644204851752</v>
      </c>
      <c r="H1051" s="18">
        <f t="shared" si="28"/>
        <v>13.695987654320987</v>
      </c>
      <c r="I1051" s="18">
        <f t="shared" si="28"/>
        <v>10.276073619631902</v>
      </c>
      <c r="J1051" s="18">
        <f t="shared" si="28"/>
        <v>12.93956043956044</v>
      </c>
      <c r="K1051" s="18">
        <f t="shared" si="28"/>
        <v>39.25</v>
      </c>
      <c r="L1051" s="18">
        <f t="shared" si="28"/>
        <v>21.33009708737864</v>
      </c>
      <c r="M1051" s="18">
        <f t="shared" si="28"/>
        <v>0</v>
      </c>
      <c r="N1051" s="18">
        <f t="shared" si="28"/>
        <v>35.5</v>
      </c>
      <c r="O1051" s="18" t="e">
        <f t="shared" si="28"/>
        <v>#DIV/0!</v>
      </c>
      <c r="P1051" s="18" t="e">
        <f t="shared" si="28"/>
        <v>#DIV/0!</v>
      </c>
      <c r="Q1051" s="18"/>
      <c r="R1051" s="18"/>
      <c r="S1051" s="18">
        <f t="shared" ref="S1051:T1051" si="29">S1049/S1050</f>
        <v>2.7272727272727271</v>
      </c>
      <c r="T1051" s="18">
        <f t="shared" si="29"/>
        <v>1.9333333333333333</v>
      </c>
    </row>
    <row r="1052" spans="1:22" x14ac:dyDescent="0.25">
      <c r="A1052" s="21"/>
      <c r="B1052" s="21" t="s">
        <v>102</v>
      </c>
      <c r="C1052" s="21">
        <f>C1050*30</f>
        <v>46950</v>
      </c>
      <c r="D1052" s="21">
        <f t="shared" ref="D1052:T1052" si="30">D1050*30</f>
        <v>17370</v>
      </c>
      <c r="E1052" s="21">
        <f t="shared" si="30"/>
        <v>0</v>
      </c>
      <c r="F1052" s="21">
        <f t="shared" si="30"/>
        <v>2970</v>
      </c>
      <c r="G1052" s="21">
        <f t="shared" si="30"/>
        <v>11130</v>
      </c>
      <c r="H1052" s="21">
        <f t="shared" si="30"/>
        <v>19440</v>
      </c>
      <c r="I1052" s="21">
        <f t="shared" si="30"/>
        <v>9780</v>
      </c>
      <c r="J1052" s="21">
        <f t="shared" si="30"/>
        <v>10920</v>
      </c>
      <c r="K1052" s="21">
        <f t="shared" si="30"/>
        <v>120</v>
      </c>
      <c r="L1052" s="21">
        <f t="shared" si="30"/>
        <v>309</v>
      </c>
      <c r="M1052" s="21">
        <f t="shared" si="30"/>
        <v>24.3</v>
      </c>
      <c r="N1052" s="21">
        <f t="shared" si="30"/>
        <v>60</v>
      </c>
      <c r="O1052" s="21">
        <f t="shared" si="30"/>
        <v>0</v>
      </c>
      <c r="P1052" s="21">
        <f t="shared" si="30"/>
        <v>0</v>
      </c>
      <c r="Q1052" s="21">
        <f t="shared" si="30"/>
        <v>0</v>
      </c>
      <c r="R1052" s="21"/>
      <c r="S1052" s="21">
        <f t="shared" si="30"/>
        <v>1320</v>
      </c>
      <c r="T1052" s="21">
        <f t="shared" si="30"/>
        <v>900</v>
      </c>
    </row>
    <row r="1055" spans="1:22" ht="26" x14ac:dyDescent="0.6">
      <c r="I1055" s="34">
        <v>46023</v>
      </c>
    </row>
    <row r="1056" spans="1:22" x14ac:dyDescent="0.25">
      <c r="A1056" s="28"/>
      <c r="B1056" s="28"/>
      <c r="C1056" s="28"/>
      <c r="D1056" s="28"/>
      <c r="E1056" s="28"/>
      <c r="F1056" s="7"/>
      <c r="G1056" s="7"/>
      <c r="H1056" s="7"/>
      <c r="I1056" s="7"/>
      <c r="J1056" s="7"/>
      <c r="K1056" s="7"/>
      <c r="L1056" s="7"/>
      <c r="M1056" s="7"/>
      <c r="N1056" s="7"/>
      <c r="O1056" s="28"/>
      <c r="P1056" s="28"/>
      <c r="Q1056" s="28"/>
      <c r="R1056" s="28"/>
      <c r="S1056" s="28"/>
      <c r="T1056" s="28"/>
    </row>
    <row r="1057" spans="1:22" x14ac:dyDescent="0.25">
      <c r="A1057" s="28"/>
      <c r="B1057" s="28"/>
      <c r="C1057" s="28"/>
      <c r="D1057" s="28"/>
      <c r="E1057" s="28"/>
      <c r="F1057" s="7"/>
      <c r="G1057" s="7"/>
      <c r="H1057" s="7"/>
      <c r="I1057" s="7"/>
      <c r="J1057" s="7"/>
      <c r="K1057" s="7"/>
      <c r="L1057" s="7"/>
      <c r="M1057" s="7"/>
      <c r="N1057" s="7"/>
      <c r="O1057" s="28"/>
      <c r="P1057" s="28"/>
      <c r="Q1057" s="28"/>
      <c r="R1057" s="28"/>
      <c r="S1057" s="28"/>
      <c r="T1057" s="28"/>
    </row>
    <row r="1058" spans="1:22" x14ac:dyDescent="0.25">
      <c r="A1058" s="3">
        <v>46023</v>
      </c>
      <c r="B1058" s="9" t="s">
        <v>0</v>
      </c>
      <c r="C1058" s="10">
        <v>16488</v>
      </c>
      <c r="D1058" s="9">
        <v>2500</v>
      </c>
      <c r="E1058" s="7">
        <v>810</v>
      </c>
      <c r="F1058" s="9">
        <v>3000</v>
      </c>
      <c r="G1058" s="9">
        <v>4000</v>
      </c>
      <c r="H1058" s="9">
        <v>8800</v>
      </c>
      <c r="I1058" s="9">
        <v>3400</v>
      </c>
      <c r="J1058" s="9">
        <v>4600</v>
      </c>
      <c r="K1058" s="9">
        <v>157</v>
      </c>
      <c r="L1058" s="9">
        <v>218</v>
      </c>
      <c r="M1058" s="9">
        <v>0</v>
      </c>
      <c r="N1058" s="9">
        <v>71</v>
      </c>
      <c r="O1058" s="9">
        <v>100</v>
      </c>
      <c r="P1058" s="9">
        <v>0</v>
      </c>
      <c r="Q1058" s="9">
        <v>0</v>
      </c>
      <c r="R1058" s="9">
        <v>25</v>
      </c>
      <c r="S1058" s="9">
        <v>120</v>
      </c>
      <c r="T1058" s="9">
        <v>60</v>
      </c>
    </row>
    <row r="1059" spans="1:22" x14ac:dyDescent="0.25">
      <c r="A1059" s="23">
        <v>46023</v>
      </c>
      <c r="B1059" s="7" t="s">
        <v>33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>
        <v>-44</v>
      </c>
      <c r="T1059" s="7">
        <v>-30</v>
      </c>
    </row>
    <row r="1060" spans="1:22" x14ac:dyDescent="0.25">
      <c r="A1060" s="23">
        <v>46024</v>
      </c>
      <c r="B1060" s="7" t="s">
        <v>124</v>
      </c>
      <c r="C1060" s="7">
        <v>-780</v>
      </c>
      <c r="D1060" s="7">
        <v>-360</v>
      </c>
      <c r="E1060" s="7"/>
      <c r="F1060" s="7">
        <v>-50</v>
      </c>
      <c r="G1060" s="7">
        <v>-200</v>
      </c>
      <c r="H1060" s="7">
        <v>-310</v>
      </c>
      <c r="I1060" s="7">
        <v>-80</v>
      </c>
      <c r="J1060" s="7">
        <v>-220</v>
      </c>
      <c r="K1060" s="7">
        <v>-2</v>
      </c>
      <c r="L1060" s="7">
        <v>-6</v>
      </c>
      <c r="M1060" s="7"/>
      <c r="N1060" s="7">
        <v>-1</v>
      </c>
      <c r="O1060" s="7"/>
      <c r="P1060" s="7"/>
      <c r="Q1060" s="7"/>
      <c r="R1060" s="7"/>
      <c r="S1060" s="7"/>
      <c r="T1060" s="7">
        <v>40</v>
      </c>
      <c r="V1060" s="4">
        <v>2</v>
      </c>
    </row>
    <row r="1061" spans="1:22" x14ac:dyDescent="0.25">
      <c r="A1061" s="23">
        <v>46024</v>
      </c>
      <c r="B1061" s="7" t="s">
        <v>59</v>
      </c>
      <c r="C1061" s="7">
        <v>-800</v>
      </c>
      <c r="D1061" s="7">
        <v>-250</v>
      </c>
      <c r="E1061" s="7"/>
      <c r="F1061" s="7">
        <v>-50</v>
      </c>
      <c r="G1061" s="7">
        <v>-180</v>
      </c>
      <c r="H1061" s="7">
        <v>-340</v>
      </c>
      <c r="I1061" s="7">
        <v>-220</v>
      </c>
      <c r="J1061" s="7">
        <v>-160</v>
      </c>
      <c r="K1061" s="7">
        <v>-2</v>
      </c>
      <c r="L1061" s="7">
        <v>-6</v>
      </c>
      <c r="M1061" s="7"/>
      <c r="N1061" s="7">
        <v>-1</v>
      </c>
      <c r="O1061" s="7"/>
      <c r="P1061" s="7"/>
      <c r="Q1061" s="7"/>
      <c r="R1061" s="7">
        <v>-2</v>
      </c>
      <c r="S1061" s="7">
        <v>40</v>
      </c>
      <c r="T1061" s="7"/>
      <c r="U1061" s="4">
        <v>2</v>
      </c>
    </row>
    <row r="1062" spans="1:22" x14ac:dyDescent="0.25">
      <c r="A1062" s="23">
        <v>46024</v>
      </c>
      <c r="B1062" s="7" t="s">
        <v>33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>
        <v>-44</v>
      </c>
      <c r="T1062" s="7">
        <v>-30</v>
      </c>
    </row>
    <row r="1063" spans="1:22" x14ac:dyDescent="0.25">
      <c r="A1063" s="23">
        <v>46024</v>
      </c>
      <c r="B1063" s="7" t="s">
        <v>205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>
        <v>20</v>
      </c>
      <c r="R1063" s="7"/>
      <c r="S1063" s="7"/>
      <c r="T1063" s="7"/>
    </row>
    <row r="1064" spans="1:22" x14ac:dyDescent="0.25">
      <c r="A1064" s="23">
        <v>46025</v>
      </c>
      <c r="B1064" s="7" t="s">
        <v>37</v>
      </c>
      <c r="C1064" s="7">
        <v>12386</v>
      </c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</row>
    <row r="1065" spans="1:22" x14ac:dyDescent="0.25">
      <c r="A1065" s="23">
        <v>46025</v>
      </c>
      <c r="B1065" s="7" t="s">
        <v>33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>
        <v>-44</v>
      </c>
      <c r="T1065" s="7">
        <v>-31</v>
      </c>
    </row>
    <row r="1066" spans="1:22" x14ac:dyDescent="0.25">
      <c r="A1066" s="23">
        <v>46025</v>
      </c>
      <c r="B1066" s="7" t="s">
        <v>124</v>
      </c>
      <c r="C1066" s="7">
        <v>-780</v>
      </c>
      <c r="D1066" s="7">
        <v>-360</v>
      </c>
      <c r="E1066" s="7"/>
      <c r="F1066" s="7">
        <v>-50</v>
      </c>
      <c r="G1066" s="7">
        <v>-200</v>
      </c>
      <c r="H1066" s="7">
        <v>-310</v>
      </c>
      <c r="I1066" s="7">
        <v>-80</v>
      </c>
      <c r="J1066" s="7">
        <v>-220</v>
      </c>
      <c r="K1066" s="7">
        <v>-2</v>
      </c>
      <c r="L1066" s="7">
        <v>-6</v>
      </c>
      <c r="M1066" s="7"/>
      <c r="N1066" s="7">
        <v>-1</v>
      </c>
      <c r="O1066" s="7"/>
      <c r="P1066" s="7"/>
      <c r="Q1066" s="7"/>
      <c r="R1066" s="7"/>
      <c r="S1066" s="7"/>
      <c r="T1066" s="7">
        <v>39</v>
      </c>
      <c r="V1066" s="4">
        <v>2</v>
      </c>
    </row>
    <row r="1067" spans="1:22" x14ac:dyDescent="0.25">
      <c r="A1067" s="23">
        <v>46025</v>
      </c>
      <c r="B1067" s="7" t="s">
        <v>81</v>
      </c>
      <c r="C1067" s="7">
        <v>-1200</v>
      </c>
      <c r="D1067" s="7">
        <v>-375</v>
      </c>
      <c r="E1067" s="7"/>
      <c r="F1067" s="7">
        <v>-75</v>
      </c>
      <c r="G1067" s="7">
        <v>-270</v>
      </c>
      <c r="H1067" s="7">
        <v>-510</v>
      </c>
      <c r="I1067" s="7">
        <v>-330</v>
      </c>
      <c r="J1067" s="7">
        <v>-240</v>
      </c>
      <c r="K1067" s="7">
        <v>-3</v>
      </c>
      <c r="L1067" s="7">
        <v>-9</v>
      </c>
      <c r="M1067" s="7"/>
      <c r="N1067" s="7">
        <v>-1.5</v>
      </c>
      <c r="O1067" s="7"/>
      <c r="P1067" s="7"/>
      <c r="Q1067" s="7">
        <v>-1.5</v>
      </c>
      <c r="R1067" s="7">
        <v>-3</v>
      </c>
      <c r="S1067" s="7">
        <v>60</v>
      </c>
      <c r="T1067" s="7"/>
      <c r="U1067" s="4">
        <v>3</v>
      </c>
    </row>
    <row r="1068" spans="1:22" x14ac:dyDescent="0.25">
      <c r="A1068" s="23">
        <v>46026</v>
      </c>
      <c r="B1068" s="7" t="s">
        <v>33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>
        <v>-44</v>
      </c>
      <c r="T1068" s="7">
        <v>-31</v>
      </c>
    </row>
    <row r="1069" spans="1:22" x14ac:dyDescent="0.25">
      <c r="A1069" s="23">
        <v>46027</v>
      </c>
      <c r="B1069" s="7" t="s">
        <v>1</v>
      </c>
      <c r="C1069" s="7">
        <v>-2000</v>
      </c>
      <c r="D1069" s="7">
        <v>-625</v>
      </c>
      <c r="E1069" s="7"/>
      <c r="F1069" s="7">
        <v>-125</v>
      </c>
      <c r="G1069" s="7">
        <v>-450</v>
      </c>
      <c r="H1069" s="7">
        <v>-850</v>
      </c>
      <c r="I1069" s="7">
        <v>-550</v>
      </c>
      <c r="J1069" s="7">
        <v>-400</v>
      </c>
      <c r="K1069" s="7">
        <v>-5</v>
      </c>
      <c r="L1069" s="7">
        <v>-15</v>
      </c>
      <c r="M1069" s="7"/>
      <c r="N1069" s="7">
        <v>-2.5</v>
      </c>
      <c r="O1069" s="7"/>
      <c r="P1069" s="7"/>
      <c r="Q1069" s="7">
        <v>-2.5</v>
      </c>
      <c r="R1069" s="7">
        <v>-5</v>
      </c>
      <c r="S1069" s="7">
        <v>100</v>
      </c>
      <c r="T1069" s="7"/>
      <c r="U1069" s="4">
        <v>5</v>
      </c>
    </row>
    <row r="1070" spans="1:22" x14ac:dyDescent="0.25">
      <c r="A1070" s="23">
        <v>46027</v>
      </c>
      <c r="B1070" s="7" t="s">
        <v>122</v>
      </c>
      <c r="C1070" s="7">
        <v>-1170</v>
      </c>
      <c r="D1070" s="7">
        <v>-540</v>
      </c>
      <c r="E1070" s="7"/>
      <c r="F1070" s="7">
        <v>-75</v>
      </c>
      <c r="G1070" s="7">
        <v>-300</v>
      </c>
      <c r="H1070" s="7">
        <v>-465</v>
      </c>
      <c r="I1070" s="7">
        <v>-120</v>
      </c>
      <c r="J1070" s="7">
        <v>-330</v>
      </c>
      <c r="K1070" s="7">
        <v>-3</v>
      </c>
      <c r="L1070" s="7">
        <v>-9</v>
      </c>
      <c r="M1070" s="7"/>
      <c r="N1070" s="7">
        <v>-1.5</v>
      </c>
      <c r="O1070" s="7"/>
      <c r="P1070" s="7"/>
      <c r="Q1070" s="7"/>
      <c r="R1070" s="7"/>
      <c r="S1070" s="7"/>
      <c r="T1070" s="7">
        <v>60</v>
      </c>
      <c r="V1070" s="4">
        <v>3</v>
      </c>
    </row>
    <row r="1071" spans="1:22" x14ac:dyDescent="0.25">
      <c r="A1071" s="23">
        <v>46027</v>
      </c>
      <c r="B1071" s="7" t="s">
        <v>33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>
        <v>-44</v>
      </c>
      <c r="T1071" s="7">
        <v>-30</v>
      </c>
    </row>
    <row r="1072" spans="1:22" x14ac:dyDescent="0.25">
      <c r="A1072" s="23">
        <v>46028</v>
      </c>
      <c r="B1072" s="7" t="s">
        <v>33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>
        <v>-44</v>
      </c>
      <c r="T1072" s="7">
        <v>-31</v>
      </c>
    </row>
    <row r="1073" spans="1:22" x14ac:dyDescent="0.25">
      <c r="A1073" s="23">
        <v>46029</v>
      </c>
      <c r="B1073" s="7" t="s">
        <v>33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>
        <v>-44</v>
      </c>
      <c r="T1073" s="7">
        <v>-31</v>
      </c>
    </row>
    <row r="1074" spans="1:22" x14ac:dyDescent="0.25">
      <c r="A1074" s="23">
        <v>46029</v>
      </c>
      <c r="B1074" s="7" t="s">
        <v>126</v>
      </c>
      <c r="C1074" s="7">
        <v>-420</v>
      </c>
      <c r="D1074" s="7"/>
      <c r="E1074" s="7"/>
      <c r="F1074" s="7">
        <v>-25</v>
      </c>
      <c r="G1074" s="7">
        <v>-100</v>
      </c>
      <c r="H1074" s="7">
        <v>-175</v>
      </c>
      <c r="I1074" s="7">
        <v>-150</v>
      </c>
      <c r="J1074" s="7">
        <v>-130</v>
      </c>
      <c r="K1074" s="7">
        <v>-1</v>
      </c>
      <c r="L1074" s="7">
        <v>-3</v>
      </c>
      <c r="M1074" s="7"/>
      <c r="N1074" s="7">
        <v>-0.5</v>
      </c>
      <c r="O1074" s="7"/>
      <c r="P1074" s="7"/>
      <c r="Q1074" s="7">
        <v>-0.5</v>
      </c>
      <c r="R1074" s="7"/>
      <c r="S1074" s="7"/>
      <c r="T1074" s="7">
        <v>20</v>
      </c>
      <c r="V1074" s="4">
        <v>1</v>
      </c>
    </row>
    <row r="1075" spans="1:22" x14ac:dyDescent="0.25">
      <c r="A1075" s="23">
        <v>46029</v>
      </c>
      <c r="B1075" s="7" t="s">
        <v>31</v>
      </c>
      <c r="C1075" s="7">
        <v>-400</v>
      </c>
      <c r="D1075" s="7">
        <v>-125</v>
      </c>
      <c r="E1075" s="7"/>
      <c r="F1075" s="7">
        <v>-25</v>
      </c>
      <c r="G1075" s="7">
        <v>-90</v>
      </c>
      <c r="H1075" s="7">
        <v>-170</v>
      </c>
      <c r="I1075" s="7">
        <v>-110</v>
      </c>
      <c r="J1075" s="7">
        <v>-80</v>
      </c>
      <c r="K1075" s="7">
        <v>-1</v>
      </c>
      <c r="L1075" s="7">
        <v>-3</v>
      </c>
      <c r="M1075" s="7"/>
      <c r="N1075" s="7">
        <v>-0.5</v>
      </c>
      <c r="O1075" s="7"/>
      <c r="P1075" s="7"/>
      <c r="Q1075" s="7">
        <v>-0.5</v>
      </c>
      <c r="R1075" s="7">
        <v>-0.5</v>
      </c>
      <c r="S1075" s="7">
        <v>20</v>
      </c>
      <c r="T1075" s="7"/>
      <c r="U1075" s="4">
        <v>1</v>
      </c>
    </row>
    <row r="1076" spans="1:22" x14ac:dyDescent="0.25">
      <c r="A1076" s="23">
        <v>46029</v>
      </c>
      <c r="B1076" s="7" t="s">
        <v>8</v>
      </c>
      <c r="C1076" s="7"/>
      <c r="D1076" s="7"/>
      <c r="E1076" s="7"/>
      <c r="F1076" s="7"/>
      <c r="G1076" s="7">
        <v>11000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</row>
    <row r="1077" spans="1:22" x14ac:dyDescent="0.25">
      <c r="A1077" s="23">
        <v>46030</v>
      </c>
      <c r="B1077" s="7" t="s">
        <v>118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>
        <v>40</v>
      </c>
      <c r="N1077" s="7"/>
      <c r="O1077" s="7"/>
      <c r="P1077" s="7"/>
      <c r="Q1077" s="7"/>
      <c r="R1077" s="7"/>
      <c r="S1077" s="7"/>
      <c r="T1077" s="7"/>
    </row>
    <row r="1078" spans="1:22" x14ac:dyDescent="0.25">
      <c r="A1078" s="23">
        <v>46030</v>
      </c>
      <c r="B1078" s="7" t="s">
        <v>18</v>
      </c>
      <c r="C1078" s="7"/>
      <c r="D1078" s="7"/>
      <c r="E1078" s="7"/>
      <c r="F1078" s="7"/>
      <c r="G1078" s="7"/>
      <c r="H1078" s="7">
        <v>3900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</row>
    <row r="1079" spans="1:22" x14ac:dyDescent="0.25">
      <c r="A1079" s="23">
        <v>46030</v>
      </c>
      <c r="B1079" s="7" t="s">
        <v>55</v>
      </c>
      <c r="C1079" s="7"/>
      <c r="D1079" s="7"/>
      <c r="E1079" s="7"/>
      <c r="F1079" s="7"/>
      <c r="G1079" s="7"/>
      <c r="H1079" s="7"/>
      <c r="I1079" s="7"/>
      <c r="J1079" s="7">
        <v>2560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7"/>
    </row>
    <row r="1080" spans="1:22" x14ac:dyDescent="0.25">
      <c r="A1080" s="23">
        <v>46030</v>
      </c>
      <c r="B1080" s="7" t="s">
        <v>17</v>
      </c>
      <c r="C1080" s="7"/>
      <c r="D1080" s="7">
        <v>5850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</row>
    <row r="1081" spans="1:22" x14ac:dyDescent="0.25">
      <c r="A1081" s="23">
        <v>46030</v>
      </c>
      <c r="B1081" s="7" t="s">
        <v>122</v>
      </c>
      <c r="C1081" s="7">
        <v>-1170</v>
      </c>
      <c r="D1081" s="7">
        <v>-540</v>
      </c>
      <c r="E1081" s="7"/>
      <c r="F1081" s="7">
        <v>-75</v>
      </c>
      <c r="G1081" s="7">
        <v>-300</v>
      </c>
      <c r="H1081" s="7">
        <v>-465</v>
      </c>
      <c r="I1081" s="7">
        <v>-120</v>
      </c>
      <c r="J1081" s="7">
        <v>-330</v>
      </c>
      <c r="K1081" s="7">
        <v>-3</v>
      </c>
      <c r="L1081" s="7">
        <v>-9</v>
      </c>
      <c r="M1081" s="7"/>
      <c r="N1081" s="7">
        <v>-1.5</v>
      </c>
      <c r="O1081" s="7"/>
      <c r="P1081" s="7"/>
      <c r="Q1081" s="7"/>
      <c r="R1081" s="7"/>
      <c r="S1081" s="7"/>
      <c r="T1081" s="7">
        <v>60</v>
      </c>
      <c r="V1081" s="4">
        <v>3</v>
      </c>
    </row>
    <row r="1082" spans="1:22" x14ac:dyDescent="0.25">
      <c r="A1082" s="23">
        <v>46030</v>
      </c>
      <c r="B1082" s="7" t="s">
        <v>81</v>
      </c>
      <c r="C1082" s="7">
        <v>-1200</v>
      </c>
      <c r="D1082" s="7">
        <v>-375</v>
      </c>
      <c r="E1082" s="7"/>
      <c r="F1082" s="7">
        <v>-75</v>
      </c>
      <c r="G1082" s="7">
        <v>-270</v>
      </c>
      <c r="H1082" s="7">
        <v>-510</v>
      </c>
      <c r="I1082" s="7">
        <v>-330</v>
      </c>
      <c r="J1082" s="7">
        <v>-240</v>
      </c>
      <c r="K1082" s="7">
        <v>-3</v>
      </c>
      <c r="L1082" s="7">
        <v>-9</v>
      </c>
      <c r="M1082" s="7"/>
      <c r="N1082" s="7">
        <v>-1.5</v>
      </c>
      <c r="O1082" s="7"/>
      <c r="P1082" s="7"/>
      <c r="Q1082" s="7">
        <v>-1.5</v>
      </c>
      <c r="R1082" s="7">
        <v>-3</v>
      </c>
      <c r="S1082" s="7">
        <v>60</v>
      </c>
      <c r="T1082" s="7"/>
      <c r="U1082" s="4">
        <v>3</v>
      </c>
    </row>
    <row r="1083" spans="1:22" x14ac:dyDescent="0.25">
      <c r="A1083" s="23">
        <v>46030</v>
      </c>
      <c r="B1083" s="7" t="s">
        <v>33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>
        <v>-44</v>
      </c>
      <c r="T1083" s="7">
        <v>-31</v>
      </c>
    </row>
    <row r="1084" spans="1:22" x14ac:dyDescent="0.25">
      <c r="A1084" s="23">
        <v>46030</v>
      </c>
      <c r="B1084" s="7" t="s">
        <v>114</v>
      </c>
      <c r="C1084" s="7">
        <v>1975</v>
      </c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</row>
    <row r="1085" spans="1:22" x14ac:dyDescent="0.25">
      <c r="A1085" s="23">
        <v>46031</v>
      </c>
      <c r="B1085" s="7" t="s">
        <v>33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>
        <v>-44</v>
      </c>
      <c r="T1085" s="7">
        <v>-31</v>
      </c>
    </row>
    <row r="1086" spans="1:22" x14ac:dyDescent="0.25">
      <c r="A1086" s="23">
        <v>46031</v>
      </c>
      <c r="B1086" s="7" t="s">
        <v>20</v>
      </c>
      <c r="C1086" s="7">
        <v>-2800</v>
      </c>
      <c r="D1086" s="7">
        <v>-875</v>
      </c>
      <c r="E1086" s="7"/>
      <c r="F1086" s="7">
        <v>-175</v>
      </c>
      <c r="G1086" s="7">
        <v>-630</v>
      </c>
      <c r="H1086" s="7">
        <v>-1190</v>
      </c>
      <c r="I1086" s="7">
        <v>-770</v>
      </c>
      <c r="J1086" s="7">
        <v>-560</v>
      </c>
      <c r="K1086" s="7">
        <v>-7</v>
      </c>
      <c r="L1086" s="7">
        <v>-21</v>
      </c>
      <c r="M1086" s="7"/>
      <c r="N1086" s="7">
        <v>-3.5</v>
      </c>
      <c r="O1086" s="7"/>
      <c r="P1086" s="7"/>
      <c r="Q1086" s="7">
        <v>-3.5</v>
      </c>
      <c r="R1086" s="7">
        <v>-7</v>
      </c>
      <c r="S1086" s="7">
        <v>140</v>
      </c>
      <c r="T1086" s="7"/>
      <c r="U1086" s="4">
        <v>7</v>
      </c>
    </row>
    <row r="1087" spans="1:22" x14ac:dyDescent="0.25">
      <c r="A1087" s="23">
        <v>46031</v>
      </c>
      <c r="B1087" s="7" t="s">
        <v>129</v>
      </c>
      <c r="C1087" s="7">
        <v>-1560</v>
      </c>
      <c r="D1087" s="7">
        <v>-720</v>
      </c>
      <c r="E1087" s="7"/>
      <c r="F1087" s="7">
        <v>-100</v>
      </c>
      <c r="G1087" s="7">
        <v>-400</v>
      </c>
      <c r="H1087" s="7">
        <v>-620</v>
      </c>
      <c r="I1087" s="7">
        <v>-160</v>
      </c>
      <c r="J1087" s="7">
        <v>-440</v>
      </c>
      <c r="K1087" s="7">
        <v>-4</v>
      </c>
      <c r="L1087" s="7">
        <v>-12</v>
      </c>
      <c r="M1087" s="7">
        <v>-2</v>
      </c>
      <c r="N1087" s="7">
        <v>-2</v>
      </c>
      <c r="O1087" s="7"/>
      <c r="P1087" s="7"/>
      <c r="Q1087" s="7"/>
      <c r="R1087" s="7"/>
      <c r="S1087" s="7"/>
      <c r="T1087" s="7">
        <v>80</v>
      </c>
      <c r="V1087" s="4">
        <v>4</v>
      </c>
    </row>
    <row r="1088" spans="1:22" x14ac:dyDescent="0.25">
      <c r="A1088" s="23">
        <v>46032</v>
      </c>
      <c r="B1088" s="7" t="s">
        <v>122</v>
      </c>
      <c r="C1088" s="7">
        <v>-1170</v>
      </c>
      <c r="D1088" s="7">
        <v>-540</v>
      </c>
      <c r="E1088" s="7"/>
      <c r="F1088" s="7">
        <v>-75</v>
      </c>
      <c r="G1088" s="7">
        <v>-300</v>
      </c>
      <c r="H1088" s="7">
        <v>-465</v>
      </c>
      <c r="I1088" s="7">
        <v>-120</v>
      </c>
      <c r="J1088" s="7">
        <v>-330</v>
      </c>
      <c r="K1088" s="7">
        <v>-3</v>
      </c>
      <c r="L1088" s="7">
        <v>-9</v>
      </c>
      <c r="M1088" s="7">
        <v>-1.5</v>
      </c>
      <c r="N1088" s="7">
        <v>-1.5</v>
      </c>
      <c r="O1088" s="7"/>
      <c r="P1088" s="7"/>
      <c r="Q1088" s="7"/>
      <c r="R1088" s="7"/>
      <c r="S1088" s="7"/>
      <c r="T1088" s="7">
        <v>60</v>
      </c>
      <c r="V1088" s="4">
        <v>3</v>
      </c>
    </row>
    <row r="1089" spans="1:22" x14ac:dyDescent="0.25">
      <c r="A1089" s="23">
        <v>46032</v>
      </c>
      <c r="B1089" s="7" t="s">
        <v>33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>
        <v>-44</v>
      </c>
      <c r="T1089" s="7">
        <v>-31</v>
      </c>
    </row>
    <row r="1090" spans="1:22" x14ac:dyDescent="0.25">
      <c r="A1090" s="23">
        <v>46033</v>
      </c>
      <c r="B1090" s="7" t="s">
        <v>33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>
        <v>-44</v>
      </c>
      <c r="T1090" s="7">
        <v>-31</v>
      </c>
    </row>
    <row r="1091" spans="1:22" x14ac:dyDescent="0.25">
      <c r="A1091" s="23">
        <v>46034</v>
      </c>
      <c r="B1091" s="7" t="s">
        <v>33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>
        <v>-44</v>
      </c>
      <c r="T1091" s="7">
        <v>-31</v>
      </c>
    </row>
    <row r="1092" spans="1:22" x14ac:dyDescent="0.25">
      <c r="A1092" s="23">
        <v>46034</v>
      </c>
      <c r="B1092" s="7" t="s">
        <v>81</v>
      </c>
      <c r="C1092" s="7">
        <v>-1200</v>
      </c>
      <c r="D1092" s="7">
        <v>-375</v>
      </c>
      <c r="E1092" s="7"/>
      <c r="F1092" s="7">
        <v>-75</v>
      </c>
      <c r="G1092" s="7">
        <v>-270</v>
      </c>
      <c r="H1092" s="7">
        <v>-510</v>
      </c>
      <c r="I1092" s="7">
        <v>-330</v>
      </c>
      <c r="J1092" s="7">
        <v>-240</v>
      </c>
      <c r="K1092" s="7">
        <v>-3</v>
      </c>
      <c r="L1092" s="7">
        <v>-9</v>
      </c>
      <c r="M1092" s="7"/>
      <c r="N1092" s="7">
        <v>-1.5</v>
      </c>
      <c r="O1092" s="7"/>
      <c r="P1092" s="7"/>
      <c r="Q1092" s="7">
        <v>-1.5</v>
      </c>
      <c r="R1092" s="7">
        <v>-2</v>
      </c>
      <c r="S1092" s="7">
        <v>60</v>
      </c>
      <c r="T1092" s="7"/>
      <c r="U1092" s="4">
        <v>3</v>
      </c>
    </row>
    <row r="1093" spans="1:22" x14ac:dyDescent="0.25">
      <c r="A1093" s="23">
        <v>46034</v>
      </c>
      <c r="B1093" s="7" t="s">
        <v>126</v>
      </c>
      <c r="C1093" s="7">
        <v>-390</v>
      </c>
      <c r="D1093" s="7">
        <v>-180</v>
      </c>
      <c r="E1093" s="7"/>
      <c r="F1093" s="7">
        <v>-25</v>
      </c>
      <c r="G1093" s="7">
        <v>-100</v>
      </c>
      <c r="H1093" s="7">
        <v>-155</v>
      </c>
      <c r="I1093" s="7">
        <v>-40</v>
      </c>
      <c r="J1093" s="7">
        <v>-110</v>
      </c>
      <c r="K1093" s="7">
        <v>-1</v>
      </c>
      <c r="L1093" s="7">
        <v>-3</v>
      </c>
      <c r="M1093" s="7">
        <v>-0.5</v>
      </c>
      <c r="N1093" s="7">
        <v>-0.5</v>
      </c>
      <c r="O1093" s="7"/>
      <c r="P1093" s="7"/>
      <c r="Q1093" s="7"/>
      <c r="R1093" s="7"/>
      <c r="S1093" s="7"/>
      <c r="T1093" s="7">
        <v>20</v>
      </c>
      <c r="V1093" s="4">
        <v>1</v>
      </c>
    </row>
    <row r="1094" spans="1:22" x14ac:dyDescent="0.25">
      <c r="A1094" s="23">
        <v>46035</v>
      </c>
      <c r="B1094" s="7" t="s">
        <v>20</v>
      </c>
      <c r="C1094" s="7">
        <v>-2800</v>
      </c>
      <c r="D1094" s="7">
        <v>-875</v>
      </c>
      <c r="E1094" s="7"/>
      <c r="F1094" s="7">
        <v>-175</v>
      </c>
      <c r="G1094" s="7">
        <v>-630</v>
      </c>
      <c r="H1094" s="7">
        <v>-1190</v>
      </c>
      <c r="I1094" s="7">
        <v>-770</v>
      </c>
      <c r="J1094" s="7">
        <v>-560</v>
      </c>
      <c r="K1094" s="7">
        <v>-7</v>
      </c>
      <c r="L1094" s="7">
        <v>-21</v>
      </c>
      <c r="M1094" s="7"/>
      <c r="N1094" s="7">
        <v>-3.5</v>
      </c>
      <c r="O1094" s="7"/>
      <c r="P1094" s="7"/>
      <c r="Q1094" s="7">
        <v>-3.5</v>
      </c>
      <c r="R1094" s="7">
        <v>-3.5</v>
      </c>
      <c r="S1094" s="7">
        <v>140</v>
      </c>
      <c r="T1094" s="7"/>
      <c r="U1094" s="4">
        <v>7</v>
      </c>
    </row>
    <row r="1095" spans="1:22" x14ac:dyDescent="0.25">
      <c r="A1095" s="23">
        <v>46035</v>
      </c>
      <c r="B1095" s="7" t="s">
        <v>33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>
        <v>-44</v>
      </c>
      <c r="T1095" s="7">
        <v>-31</v>
      </c>
    </row>
    <row r="1096" spans="1:22" x14ac:dyDescent="0.25">
      <c r="A1096" s="23">
        <v>46035</v>
      </c>
      <c r="B1096" s="7" t="s">
        <v>54</v>
      </c>
      <c r="C1096" s="7"/>
      <c r="D1096" s="7"/>
      <c r="E1096" s="7"/>
      <c r="F1096" s="7"/>
      <c r="G1096" s="7"/>
      <c r="H1096" s="7"/>
      <c r="I1096" s="7">
        <v>10000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</row>
    <row r="1097" spans="1:22" x14ac:dyDescent="0.25">
      <c r="A1097" s="23">
        <v>46035</v>
      </c>
      <c r="B1097" s="7" t="s">
        <v>17</v>
      </c>
      <c r="C1097" s="7"/>
      <c r="D1097" s="7">
        <v>11000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</row>
    <row r="1098" spans="1:22" x14ac:dyDescent="0.25">
      <c r="A1098" s="23">
        <v>46035</v>
      </c>
      <c r="B1098" s="7" t="s">
        <v>219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>
        <v>25</v>
      </c>
      <c r="S1098" s="7"/>
      <c r="T1098" s="7"/>
    </row>
    <row r="1099" spans="1:22" x14ac:dyDescent="0.25">
      <c r="A1099" s="23">
        <v>46035</v>
      </c>
      <c r="B1099" s="7" t="s">
        <v>205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>
        <v>20</v>
      </c>
      <c r="R1099" s="7"/>
      <c r="S1099" s="7"/>
      <c r="T1099" s="7"/>
    </row>
    <row r="1100" spans="1:22" x14ac:dyDescent="0.25">
      <c r="A1100" s="23">
        <v>46036</v>
      </c>
      <c r="B1100" s="7" t="s">
        <v>33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>
        <v>-44</v>
      </c>
      <c r="T1100" s="7">
        <v>-31</v>
      </c>
    </row>
    <row r="1101" spans="1:22" x14ac:dyDescent="0.25">
      <c r="A1101" s="23">
        <v>46036</v>
      </c>
      <c r="B1101" s="7" t="s">
        <v>127</v>
      </c>
      <c r="C1101" s="7">
        <v>-2340</v>
      </c>
      <c r="D1101" s="7">
        <v>-1080</v>
      </c>
      <c r="E1101" s="7"/>
      <c r="F1101" s="7">
        <v>-150</v>
      </c>
      <c r="G1101" s="7">
        <v>-600</v>
      </c>
      <c r="H1101" s="7">
        <v>-930</v>
      </c>
      <c r="I1101" s="7">
        <v>-240</v>
      </c>
      <c r="J1101" s="7">
        <v>-660</v>
      </c>
      <c r="K1101" s="7">
        <v>-6</v>
      </c>
      <c r="L1101" s="7">
        <v>-18</v>
      </c>
      <c r="M1101" s="7">
        <v>-3</v>
      </c>
      <c r="N1101" s="7">
        <v>-3</v>
      </c>
      <c r="O1101" s="7"/>
      <c r="P1101" s="7"/>
      <c r="Q1101" s="7"/>
      <c r="R1101" s="7"/>
      <c r="S1101" s="7"/>
      <c r="T1101" s="7">
        <v>120</v>
      </c>
      <c r="V1101" s="4">
        <v>6</v>
      </c>
    </row>
    <row r="1102" spans="1:22" x14ac:dyDescent="0.25">
      <c r="A1102" s="23">
        <v>46037</v>
      </c>
      <c r="B1102" s="7" t="s">
        <v>1</v>
      </c>
      <c r="C1102" s="7">
        <v>-2000</v>
      </c>
      <c r="D1102" s="7">
        <v>-625</v>
      </c>
      <c r="E1102" s="7"/>
      <c r="F1102" s="7">
        <v>-125</v>
      </c>
      <c r="G1102" s="7">
        <v>-450</v>
      </c>
      <c r="H1102" s="7">
        <v>-850</v>
      </c>
      <c r="I1102" s="7">
        <v>-550</v>
      </c>
      <c r="J1102" s="7">
        <v>-400</v>
      </c>
      <c r="K1102" s="7">
        <v>-5</v>
      </c>
      <c r="L1102" s="7">
        <v>-15</v>
      </c>
      <c r="M1102" s="7"/>
      <c r="N1102" s="7">
        <v>-2.5</v>
      </c>
      <c r="O1102" s="7"/>
      <c r="P1102" s="7"/>
      <c r="Q1102" s="7">
        <v>-2.5</v>
      </c>
      <c r="R1102" s="7">
        <v>-2.5</v>
      </c>
      <c r="S1102" s="7">
        <v>100</v>
      </c>
      <c r="T1102" s="7"/>
      <c r="U1102" s="4">
        <v>5</v>
      </c>
    </row>
    <row r="1103" spans="1:22" x14ac:dyDescent="0.25">
      <c r="A1103" s="23">
        <v>46037</v>
      </c>
      <c r="B1103" s="7" t="s">
        <v>33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>
        <v>-44</v>
      </c>
      <c r="T1103" s="7">
        <v>-31</v>
      </c>
    </row>
    <row r="1104" spans="1:22" x14ac:dyDescent="0.25">
      <c r="A1104" s="23">
        <v>46038</v>
      </c>
      <c r="B1104" s="7" t="s">
        <v>33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>
        <v>-44</v>
      </c>
      <c r="T1104" s="7">
        <v>-31</v>
      </c>
    </row>
    <row r="1105" spans="1:22" x14ac:dyDescent="0.25">
      <c r="A1105" s="23">
        <v>46039</v>
      </c>
      <c r="B1105" s="7" t="s">
        <v>12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>
        <v>375</v>
      </c>
      <c r="M1105" s="7"/>
      <c r="N1105" s="7"/>
      <c r="O1105" s="7"/>
      <c r="P1105" s="7"/>
      <c r="Q1105" s="7"/>
      <c r="R1105" s="7"/>
      <c r="T1105" s="7"/>
    </row>
    <row r="1106" spans="1:22" x14ac:dyDescent="0.25">
      <c r="A1106" s="23">
        <v>46039</v>
      </c>
      <c r="B1106" s="7" t="s">
        <v>62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>
        <v>25</v>
      </c>
      <c r="O1106" s="7"/>
      <c r="P1106" s="7"/>
      <c r="Q1106" s="7"/>
      <c r="R1106" s="7"/>
      <c r="T1106" s="7"/>
    </row>
    <row r="1107" spans="1:22" x14ac:dyDescent="0.25">
      <c r="A1107" s="23">
        <v>46039</v>
      </c>
      <c r="B1107" s="7" t="s">
        <v>33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>
        <v>-44</v>
      </c>
      <c r="T1107" s="7">
        <v>-31</v>
      </c>
    </row>
    <row r="1108" spans="1:22" x14ac:dyDescent="0.25">
      <c r="A1108" s="23">
        <v>46039</v>
      </c>
      <c r="B1108" s="7" t="s">
        <v>1</v>
      </c>
      <c r="C1108" s="7">
        <v>-2000</v>
      </c>
      <c r="D1108" s="7">
        <v>-625</v>
      </c>
      <c r="E1108" s="7"/>
      <c r="F1108" s="7">
        <v>-125</v>
      </c>
      <c r="G1108" s="7">
        <v>-450</v>
      </c>
      <c r="H1108" s="7">
        <v>-850</v>
      </c>
      <c r="I1108" s="7">
        <v>-550</v>
      </c>
      <c r="J1108" s="7">
        <v>-400</v>
      </c>
      <c r="K1108" s="7">
        <v>-5</v>
      </c>
      <c r="L1108" s="7">
        <v>-15</v>
      </c>
      <c r="M1108" s="7"/>
      <c r="N1108" s="7">
        <v>-2.5</v>
      </c>
      <c r="O1108" s="7"/>
      <c r="P1108" s="7"/>
      <c r="Q1108" s="7">
        <v>-2.5</v>
      </c>
      <c r="R1108" s="7">
        <v>-2.5</v>
      </c>
      <c r="S1108" s="7">
        <v>100</v>
      </c>
      <c r="T1108" s="7"/>
      <c r="U1108" s="4">
        <v>5</v>
      </c>
    </row>
    <row r="1109" spans="1:22" x14ac:dyDescent="0.25">
      <c r="A1109" s="23">
        <v>46040</v>
      </c>
      <c r="B1109" s="7" t="s">
        <v>33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>
        <v>-44</v>
      </c>
      <c r="T1109" s="7">
        <v>-31</v>
      </c>
    </row>
    <row r="1110" spans="1:22" x14ac:dyDescent="0.25">
      <c r="A1110" s="23">
        <v>46041</v>
      </c>
      <c r="B1110" s="7" t="s">
        <v>127</v>
      </c>
      <c r="C1110" s="7">
        <v>-2340</v>
      </c>
      <c r="D1110" s="7">
        <v>-1080</v>
      </c>
      <c r="E1110" s="7"/>
      <c r="F1110" s="7">
        <v>-150</v>
      </c>
      <c r="G1110" s="7">
        <v>-600</v>
      </c>
      <c r="H1110" s="7">
        <v>-930</v>
      </c>
      <c r="I1110" s="7">
        <v>-240</v>
      </c>
      <c r="J1110" s="7">
        <v>-660</v>
      </c>
      <c r="K1110" s="7">
        <v>-6</v>
      </c>
      <c r="L1110" s="7">
        <v>-18</v>
      </c>
      <c r="M1110" s="7">
        <v>-3</v>
      </c>
      <c r="N1110" s="7">
        <v>-3</v>
      </c>
      <c r="O1110" s="7"/>
      <c r="P1110" s="7"/>
      <c r="Q1110" s="7"/>
      <c r="R1110" s="7"/>
      <c r="S1110" s="7"/>
      <c r="T1110" s="7">
        <v>120</v>
      </c>
      <c r="V1110" s="4">
        <v>6</v>
      </c>
    </row>
    <row r="1111" spans="1:22" x14ac:dyDescent="0.25">
      <c r="A1111" s="23">
        <v>46041</v>
      </c>
      <c r="B1111" s="7" t="s">
        <v>33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>
        <v>-44</v>
      </c>
      <c r="T1111" s="7">
        <v>-30</v>
      </c>
    </row>
    <row r="1112" spans="1:22" x14ac:dyDescent="0.25">
      <c r="A1112" s="23">
        <v>46042</v>
      </c>
      <c r="B1112" s="7" t="s">
        <v>2</v>
      </c>
      <c r="C1112" s="7">
        <v>-1600</v>
      </c>
      <c r="D1112" s="7">
        <v>-500</v>
      </c>
      <c r="E1112" s="7"/>
      <c r="F1112" s="7">
        <v>-100</v>
      </c>
      <c r="G1112" s="7">
        <v>-360</v>
      </c>
      <c r="H1112" s="7">
        <v>-680</v>
      </c>
      <c r="I1112" s="7">
        <v>-440</v>
      </c>
      <c r="J1112" s="7">
        <v>-320</v>
      </c>
      <c r="K1112" s="7">
        <v>-4</v>
      </c>
      <c r="L1112" s="7">
        <v>-12</v>
      </c>
      <c r="M1112" s="7"/>
      <c r="N1112" s="7">
        <v>-2</v>
      </c>
      <c r="O1112" s="7"/>
      <c r="P1112" s="7"/>
      <c r="Q1112" s="7">
        <v>-2</v>
      </c>
      <c r="R1112" s="7">
        <v>-2</v>
      </c>
      <c r="S1112" s="7">
        <v>80</v>
      </c>
      <c r="T1112" s="7"/>
      <c r="U1112" s="4">
        <v>4</v>
      </c>
    </row>
    <row r="1113" spans="1:22" x14ac:dyDescent="0.25">
      <c r="A1113" s="23">
        <v>46042</v>
      </c>
      <c r="B1113" s="7" t="s">
        <v>33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>
        <v>-44</v>
      </c>
      <c r="T1113" s="7">
        <v>-31</v>
      </c>
    </row>
    <row r="1114" spans="1:22" x14ac:dyDescent="0.25">
      <c r="A1114" s="23">
        <v>46043</v>
      </c>
      <c r="B1114" s="7" t="s">
        <v>18</v>
      </c>
      <c r="C1114" s="7"/>
      <c r="D1114" s="7"/>
      <c r="E1114" s="7"/>
      <c r="F1114" s="7"/>
      <c r="G1114" s="7"/>
      <c r="H1114" s="7">
        <v>8100</v>
      </c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T1114" s="7"/>
    </row>
    <row r="1115" spans="1:22" x14ac:dyDescent="0.25">
      <c r="A1115" s="23">
        <v>46043</v>
      </c>
      <c r="B1115" s="7" t="s">
        <v>55</v>
      </c>
      <c r="C1115" s="7"/>
      <c r="D1115" s="7"/>
      <c r="E1115" s="7"/>
      <c r="F1115" s="7"/>
      <c r="G1115" s="7"/>
      <c r="H1115" s="7"/>
      <c r="I1115" s="7"/>
      <c r="J1115" s="7">
        <v>4400</v>
      </c>
      <c r="K1115" s="7"/>
      <c r="L1115" s="7"/>
      <c r="M1115" s="7"/>
      <c r="N1115" s="7"/>
      <c r="O1115" s="7"/>
      <c r="P1115" s="7"/>
      <c r="Q1115" s="7"/>
      <c r="R1115" s="7"/>
      <c r="T1115" s="7"/>
    </row>
    <row r="1116" spans="1:22" x14ac:dyDescent="0.25">
      <c r="A1116" s="23">
        <v>46043</v>
      </c>
      <c r="B1116" s="7" t="s">
        <v>33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>
        <v>-44</v>
      </c>
      <c r="T1116" s="7">
        <v>-30</v>
      </c>
    </row>
    <row r="1117" spans="1:22" x14ac:dyDescent="0.25">
      <c r="A1117" s="23">
        <v>46044</v>
      </c>
      <c r="B1117" s="7" t="s">
        <v>33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>
        <v>-44</v>
      </c>
      <c r="T1117" s="7">
        <v>-30</v>
      </c>
    </row>
    <row r="1118" spans="1:22" x14ac:dyDescent="0.25">
      <c r="A1118" s="23">
        <v>46044</v>
      </c>
      <c r="B1118" s="7" t="s">
        <v>133</v>
      </c>
      <c r="C1118" s="7">
        <v>12000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T1118" s="7"/>
    </row>
    <row r="1119" spans="1:22" x14ac:dyDescent="0.25">
      <c r="A1119" s="23">
        <v>46045</v>
      </c>
      <c r="B1119" s="7" t="s">
        <v>127</v>
      </c>
      <c r="C1119" s="7">
        <v>-2340</v>
      </c>
      <c r="D1119" s="7">
        <v>-1080</v>
      </c>
      <c r="E1119" s="7"/>
      <c r="F1119" s="7">
        <v>-150</v>
      </c>
      <c r="G1119" s="7">
        <v>-600</v>
      </c>
      <c r="H1119" s="7">
        <v>-930</v>
      </c>
      <c r="I1119" s="7">
        <v>-240</v>
      </c>
      <c r="J1119" s="7">
        <v>-660</v>
      </c>
      <c r="K1119" s="7">
        <v>-6</v>
      </c>
      <c r="L1119" s="7">
        <v>-18</v>
      </c>
      <c r="M1119" s="7">
        <v>-3</v>
      </c>
      <c r="N1119" s="7">
        <v>-3</v>
      </c>
      <c r="O1119" s="7"/>
      <c r="P1119" s="7"/>
      <c r="Q1119" s="7"/>
      <c r="R1119" s="7"/>
      <c r="S1119" s="7"/>
      <c r="T1119" s="7">
        <v>120</v>
      </c>
      <c r="V1119" s="4">
        <v>6</v>
      </c>
    </row>
    <row r="1120" spans="1:22" x14ac:dyDescent="0.25">
      <c r="A1120" s="23">
        <v>46045</v>
      </c>
      <c r="B1120" s="7" t="s">
        <v>81</v>
      </c>
      <c r="C1120" s="7">
        <v>-1200</v>
      </c>
      <c r="D1120" s="7">
        <v>-375</v>
      </c>
      <c r="E1120" s="7"/>
      <c r="F1120" s="7">
        <v>-75</v>
      </c>
      <c r="G1120" s="7">
        <v>-270</v>
      </c>
      <c r="H1120" s="7">
        <v>-510</v>
      </c>
      <c r="I1120" s="7">
        <v>-330</v>
      </c>
      <c r="J1120" s="7">
        <v>-240</v>
      </c>
      <c r="K1120" s="7">
        <v>-3</v>
      </c>
      <c r="L1120" s="7">
        <v>-9</v>
      </c>
      <c r="M1120" s="7"/>
      <c r="N1120" s="7">
        <v>-1.5</v>
      </c>
      <c r="O1120" s="7"/>
      <c r="P1120" s="7"/>
      <c r="Q1120" s="7">
        <v>-1.5</v>
      </c>
      <c r="R1120" s="7">
        <v>-1.5</v>
      </c>
      <c r="S1120" s="7">
        <v>60</v>
      </c>
      <c r="T1120" s="7"/>
      <c r="U1120" s="4">
        <v>3</v>
      </c>
    </row>
    <row r="1121" spans="1:22" x14ac:dyDescent="0.25">
      <c r="A1121" s="23">
        <v>46045</v>
      </c>
      <c r="B1121" s="7" t="s">
        <v>33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>
        <v>-44</v>
      </c>
      <c r="T1121" s="7">
        <v>-30</v>
      </c>
    </row>
    <row r="1122" spans="1:22" x14ac:dyDescent="0.25">
      <c r="A1122" s="23">
        <v>46046</v>
      </c>
      <c r="B1122" s="7" t="s">
        <v>20</v>
      </c>
      <c r="C1122" s="7">
        <v>-2800</v>
      </c>
      <c r="D1122" s="7">
        <v>-875</v>
      </c>
      <c r="E1122" s="7"/>
      <c r="F1122" s="7">
        <v>-175</v>
      </c>
      <c r="G1122" s="7">
        <v>-630</v>
      </c>
      <c r="H1122" s="7">
        <v>-1190</v>
      </c>
      <c r="I1122" s="7">
        <v>-770</v>
      </c>
      <c r="J1122" s="7">
        <v>-560</v>
      </c>
      <c r="K1122" s="7">
        <v>-7</v>
      </c>
      <c r="L1122" s="7">
        <v>-21</v>
      </c>
      <c r="M1122" s="7"/>
      <c r="N1122" s="7">
        <v>-3.5</v>
      </c>
      <c r="O1122" s="7"/>
      <c r="P1122" s="7"/>
      <c r="Q1122" s="7">
        <v>-3.5</v>
      </c>
      <c r="R1122" s="7">
        <v>-3.5</v>
      </c>
      <c r="S1122" s="7">
        <v>140</v>
      </c>
      <c r="T1122" s="7"/>
      <c r="U1122" s="4">
        <v>7</v>
      </c>
    </row>
    <row r="1123" spans="1:22" x14ac:dyDescent="0.25">
      <c r="A1123" s="23">
        <v>46046</v>
      </c>
      <c r="B1123" s="7" t="s">
        <v>133</v>
      </c>
      <c r="C1123" s="7">
        <v>12600</v>
      </c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T1123" s="7"/>
    </row>
    <row r="1124" spans="1:22" x14ac:dyDescent="0.25">
      <c r="A1124" s="23">
        <v>46046</v>
      </c>
      <c r="B1124" s="7" t="s">
        <v>33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>
        <v>-44</v>
      </c>
      <c r="T1124" s="7">
        <v>-30</v>
      </c>
    </row>
    <row r="1125" spans="1:22" x14ac:dyDescent="0.25">
      <c r="A1125" s="23">
        <v>46047</v>
      </c>
      <c r="B1125" s="7" t="s">
        <v>33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>
        <v>-44</v>
      </c>
      <c r="T1125" s="7">
        <v>-30</v>
      </c>
    </row>
    <row r="1126" spans="1:22" x14ac:dyDescent="0.25">
      <c r="A1126" s="23">
        <v>46048</v>
      </c>
      <c r="B1126" s="7" t="s">
        <v>33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>
        <v>-44</v>
      </c>
      <c r="T1126" s="7">
        <v>-29</v>
      </c>
    </row>
    <row r="1127" spans="1:22" x14ac:dyDescent="0.25">
      <c r="A1127" s="23">
        <v>46049</v>
      </c>
      <c r="B1127" s="7" t="s">
        <v>81</v>
      </c>
      <c r="C1127" s="7">
        <v>-1200</v>
      </c>
      <c r="D1127" s="7">
        <v>-375</v>
      </c>
      <c r="E1127" s="7"/>
      <c r="F1127" s="7">
        <v>-75</v>
      </c>
      <c r="G1127" s="7">
        <v>-270</v>
      </c>
      <c r="H1127" s="7">
        <v>-510</v>
      </c>
      <c r="I1127" s="7">
        <v>-330</v>
      </c>
      <c r="J1127" s="7">
        <v>-240</v>
      </c>
      <c r="K1127" s="7">
        <v>-3</v>
      </c>
      <c r="L1127" s="7">
        <v>-9</v>
      </c>
      <c r="M1127" s="7"/>
      <c r="N1127" s="7">
        <v>-1.5</v>
      </c>
      <c r="O1127" s="7"/>
      <c r="P1127" s="7"/>
      <c r="Q1127" s="7">
        <v>-1.5</v>
      </c>
      <c r="R1127" s="7">
        <v>-1.5</v>
      </c>
      <c r="S1127" s="7">
        <v>60</v>
      </c>
      <c r="T1127" s="7"/>
      <c r="U1127" s="4">
        <v>3</v>
      </c>
    </row>
    <row r="1128" spans="1:22" x14ac:dyDescent="0.25">
      <c r="A1128" s="23">
        <v>46049</v>
      </c>
      <c r="B1128" s="7" t="s">
        <v>127</v>
      </c>
      <c r="C1128" s="7">
        <v>-2340</v>
      </c>
      <c r="D1128" s="7">
        <v>-1080</v>
      </c>
      <c r="E1128" s="7"/>
      <c r="F1128" s="7">
        <v>-150</v>
      </c>
      <c r="G1128" s="7">
        <v>-600</v>
      </c>
      <c r="H1128" s="7">
        <v>-930</v>
      </c>
      <c r="I1128" s="7">
        <v>-240</v>
      </c>
      <c r="J1128" s="7">
        <v>-660</v>
      </c>
      <c r="K1128" s="7">
        <v>-6</v>
      </c>
      <c r="L1128" s="7">
        <v>-18</v>
      </c>
      <c r="M1128" s="7">
        <v>-3</v>
      </c>
      <c r="N1128" s="7">
        <v>-3</v>
      </c>
      <c r="O1128" s="7"/>
      <c r="P1128" s="7"/>
      <c r="Q1128" s="7"/>
      <c r="R1128" s="7"/>
      <c r="S1128" s="7"/>
      <c r="T1128" s="7">
        <v>120</v>
      </c>
      <c r="V1128" s="4">
        <v>6</v>
      </c>
    </row>
    <row r="1129" spans="1:22" x14ac:dyDescent="0.25">
      <c r="A1129" s="23">
        <v>46049</v>
      </c>
      <c r="B1129" s="7" t="s">
        <v>33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>
        <v>-44</v>
      </c>
      <c r="T1129" s="7">
        <v>-30</v>
      </c>
    </row>
    <row r="1130" spans="1:22" x14ac:dyDescent="0.25">
      <c r="A1130" s="23">
        <v>46050</v>
      </c>
      <c r="B1130" s="7" t="s">
        <v>33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>
        <v>-44</v>
      </c>
      <c r="T1130" s="7">
        <v>-30</v>
      </c>
    </row>
    <row r="1131" spans="1:22" x14ac:dyDescent="0.25">
      <c r="A1131" s="23">
        <v>46050</v>
      </c>
      <c r="B1131" s="7" t="s">
        <v>1</v>
      </c>
      <c r="C1131" s="7">
        <v>-2000</v>
      </c>
      <c r="D1131" s="7">
        <v>-625</v>
      </c>
      <c r="E1131" s="7"/>
      <c r="F1131" s="7">
        <v>-125</v>
      </c>
      <c r="G1131" s="7">
        <v>-450</v>
      </c>
      <c r="H1131" s="7">
        <v>-850</v>
      </c>
      <c r="I1131" s="7">
        <v>-550</v>
      </c>
      <c r="J1131" s="7">
        <v>-400</v>
      </c>
      <c r="K1131" s="7">
        <v>-5</v>
      </c>
      <c r="L1131" s="7">
        <v>-15</v>
      </c>
      <c r="M1131" s="7"/>
      <c r="N1131" s="7">
        <v>-2.5</v>
      </c>
      <c r="O1131" s="7"/>
      <c r="P1131" s="7"/>
      <c r="Q1131" s="7">
        <v>-2.5</v>
      </c>
      <c r="R1131" s="7">
        <v>-2.5</v>
      </c>
      <c r="S1131" s="7">
        <v>100</v>
      </c>
      <c r="T1131" s="7"/>
      <c r="U1131" s="4">
        <v>5</v>
      </c>
    </row>
    <row r="1132" spans="1:22" x14ac:dyDescent="0.25">
      <c r="A1132" s="23">
        <v>46050</v>
      </c>
      <c r="B1132" s="7" t="s">
        <v>229</v>
      </c>
      <c r="C1132" s="7">
        <v>219</v>
      </c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T1132" s="7"/>
    </row>
    <row r="1133" spans="1:22" x14ac:dyDescent="0.25">
      <c r="A1133" s="23">
        <v>46051</v>
      </c>
      <c r="B1133" s="7" t="s">
        <v>33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>
        <v>-44</v>
      </c>
      <c r="T1133" s="7">
        <v>-30</v>
      </c>
    </row>
    <row r="1134" spans="1:22" x14ac:dyDescent="0.25">
      <c r="A1134" s="23">
        <v>46051</v>
      </c>
      <c r="B1134" s="7" t="s">
        <v>20</v>
      </c>
      <c r="C1134" s="7">
        <v>-2800</v>
      </c>
      <c r="D1134" s="7">
        <v>-875</v>
      </c>
      <c r="E1134" s="7"/>
      <c r="F1134" s="7">
        <v>-175</v>
      </c>
      <c r="G1134" s="7">
        <v>-630</v>
      </c>
      <c r="H1134" s="7">
        <v>-1190</v>
      </c>
      <c r="I1134" s="7">
        <v>-770</v>
      </c>
      <c r="J1134" s="7">
        <v>-560</v>
      </c>
      <c r="K1134" s="7">
        <v>-7</v>
      </c>
      <c r="L1134" s="7">
        <v>-21</v>
      </c>
      <c r="M1134" s="7"/>
      <c r="N1134" s="7">
        <v>-3.5</v>
      </c>
      <c r="O1134" s="7"/>
      <c r="P1134" s="7"/>
      <c r="Q1134" s="7">
        <v>-3.5</v>
      </c>
      <c r="R1134" s="7">
        <v>-3.5</v>
      </c>
      <c r="S1134" s="7">
        <v>140</v>
      </c>
      <c r="T1134" s="7"/>
      <c r="U1134" s="4">
        <v>7</v>
      </c>
    </row>
    <row r="1135" spans="1:22" x14ac:dyDescent="0.25">
      <c r="A1135" s="23">
        <v>46052</v>
      </c>
      <c r="B1135" s="7" t="s">
        <v>220</v>
      </c>
      <c r="C1135" s="7">
        <v>-2730</v>
      </c>
      <c r="D1135" s="7">
        <v>-1260</v>
      </c>
      <c r="E1135" s="7"/>
      <c r="F1135" s="7">
        <v>-150</v>
      </c>
      <c r="G1135" s="7">
        <v>-700</v>
      </c>
      <c r="H1135" s="7">
        <v>-1085</v>
      </c>
      <c r="I1135" s="7">
        <v>-280</v>
      </c>
      <c r="J1135" s="7">
        <v>-770</v>
      </c>
      <c r="K1135" s="7">
        <v>-7</v>
      </c>
      <c r="L1135" s="7">
        <v>-21</v>
      </c>
      <c r="M1135" s="7">
        <v>-3.5</v>
      </c>
      <c r="N1135" s="7">
        <v>-3.5</v>
      </c>
      <c r="O1135" s="7"/>
      <c r="P1135" s="7"/>
      <c r="Q1135" s="7"/>
      <c r="R1135" s="7"/>
      <c r="S1135" s="7"/>
      <c r="T1135" s="7">
        <v>140</v>
      </c>
      <c r="V1135" s="4">
        <v>7</v>
      </c>
    </row>
    <row r="1136" spans="1:22" x14ac:dyDescent="0.25">
      <c r="A1136" s="23">
        <v>46052</v>
      </c>
      <c r="B1136" s="7" t="s">
        <v>31</v>
      </c>
      <c r="C1136" s="7">
        <v>-400</v>
      </c>
      <c r="D1136" s="7">
        <v>-125</v>
      </c>
      <c r="E1136" s="7"/>
      <c r="F1136" s="7">
        <v>-25</v>
      </c>
      <c r="G1136" s="7">
        <v>-90</v>
      </c>
      <c r="H1136" s="7">
        <v>-170</v>
      </c>
      <c r="I1136" s="7">
        <v>-110</v>
      </c>
      <c r="J1136" s="7">
        <v>-80</v>
      </c>
      <c r="K1136" s="7">
        <v>-1</v>
      </c>
      <c r="L1136" s="7">
        <v>-3</v>
      </c>
      <c r="M1136" s="7"/>
      <c r="N1136" s="7">
        <v>-0.5</v>
      </c>
      <c r="O1136" s="7"/>
      <c r="P1136" s="7"/>
      <c r="Q1136" s="7">
        <v>-0.5</v>
      </c>
      <c r="R1136" s="7">
        <v>-0.5</v>
      </c>
      <c r="S1136" s="7">
        <v>20</v>
      </c>
      <c r="T1136" s="7"/>
      <c r="U1136" s="4">
        <v>1</v>
      </c>
    </row>
    <row r="1137" spans="1:23" x14ac:dyDescent="0.25">
      <c r="A1137" s="23">
        <v>46052</v>
      </c>
      <c r="B1137" s="7" t="s">
        <v>33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>
        <v>-44</v>
      </c>
      <c r="T1137" s="7">
        <v>-31</v>
      </c>
    </row>
    <row r="1138" spans="1:23" x14ac:dyDescent="0.25">
      <c r="A1138" s="23">
        <v>46053</v>
      </c>
      <c r="B1138" s="7" t="s">
        <v>33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>
        <v>-44</v>
      </c>
      <c r="T1138" s="7">
        <v>-31</v>
      </c>
    </row>
    <row r="1139" spans="1:23" x14ac:dyDescent="0.25">
      <c r="A1139" s="23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T1139" s="7"/>
    </row>
    <row r="1140" spans="1:23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T1140" s="7"/>
      <c r="U1140" s="4">
        <f>SUM(U1058:U1139)</f>
        <v>71</v>
      </c>
      <c r="V1140" s="4">
        <f>SUM(V1058:V1139)</f>
        <v>50</v>
      </c>
    </row>
    <row r="1141" spans="1:23" x14ac:dyDescent="0.25">
      <c r="A1141" s="20"/>
      <c r="B1141" s="21" t="s">
        <v>25</v>
      </c>
      <c r="C1141" s="22">
        <f t="shared" ref="C1141:T1141" si="31">SUM(C1058:C1140)</f>
        <v>7738</v>
      </c>
      <c r="D1141" s="22">
        <f t="shared" si="31"/>
        <v>1655</v>
      </c>
      <c r="E1141" s="22">
        <f t="shared" si="31"/>
        <v>810</v>
      </c>
      <c r="F1141" s="22">
        <f t="shared" si="31"/>
        <v>0</v>
      </c>
      <c r="G1141" s="22">
        <f t="shared" si="31"/>
        <v>3610</v>
      </c>
      <c r="H1141" s="22">
        <f t="shared" si="31"/>
        <v>960</v>
      </c>
      <c r="I1141" s="22">
        <f t="shared" si="31"/>
        <v>3480</v>
      </c>
      <c r="J1141" s="22">
        <f t="shared" si="31"/>
        <v>360</v>
      </c>
      <c r="K1141" s="22">
        <f t="shared" si="31"/>
        <v>36</v>
      </c>
      <c r="L1141" s="22">
        <f t="shared" si="31"/>
        <v>230</v>
      </c>
      <c r="M1141" s="22">
        <f t="shared" si="31"/>
        <v>20.5</v>
      </c>
      <c r="N1141" s="22">
        <f t="shared" si="31"/>
        <v>35.5</v>
      </c>
      <c r="O1141" s="22">
        <f t="shared" si="31"/>
        <v>100</v>
      </c>
      <c r="P1141" s="22">
        <f t="shared" si="31"/>
        <v>0</v>
      </c>
      <c r="Q1141" s="22">
        <f t="shared" si="31"/>
        <v>5</v>
      </c>
      <c r="R1141" s="22">
        <f t="shared" si="31"/>
        <v>4</v>
      </c>
      <c r="S1141" s="22">
        <f t="shared" si="31"/>
        <v>176</v>
      </c>
      <c r="T1141" s="22">
        <f t="shared" si="31"/>
        <v>112</v>
      </c>
    </row>
    <row r="1142" spans="1:23" x14ac:dyDescent="0.25">
      <c r="A1142" s="17"/>
      <c r="B1142" s="17" t="s">
        <v>28</v>
      </c>
      <c r="C1142" s="17">
        <v>1565</v>
      </c>
      <c r="D1142" s="17">
        <v>579</v>
      </c>
      <c r="E1142" s="17">
        <v>0</v>
      </c>
      <c r="F1142" s="17">
        <v>99</v>
      </c>
      <c r="G1142" s="17">
        <v>371</v>
      </c>
      <c r="H1142" s="17">
        <v>648</v>
      </c>
      <c r="I1142" s="17">
        <v>326</v>
      </c>
      <c r="J1142" s="17">
        <v>364</v>
      </c>
      <c r="K1142" s="17">
        <v>4</v>
      </c>
      <c r="L1142" s="17">
        <v>10.3</v>
      </c>
      <c r="M1142" s="17">
        <v>0.81</v>
      </c>
      <c r="N1142" s="17">
        <v>2</v>
      </c>
      <c r="O1142" s="17">
        <v>0</v>
      </c>
      <c r="P1142" s="17">
        <v>0</v>
      </c>
      <c r="Q1142" s="17">
        <v>1.85</v>
      </c>
      <c r="R1142" s="17">
        <v>3.7</v>
      </c>
      <c r="S1142" s="17">
        <v>44</v>
      </c>
      <c r="T1142" s="17">
        <v>30</v>
      </c>
    </row>
    <row r="1143" spans="1:23" x14ac:dyDescent="0.25">
      <c r="A1143" s="17"/>
      <c r="B1143" s="17" t="s">
        <v>26</v>
      </c>
      <c r="C1143" s="18">
        <f>C1141/C1142</f>
        <v>4.9444089456869014</v>
      </c>
      <c r="D1143" s="18">
        <f t="shared" ref="D1143:P1143" si="32">D1141/D1142</f>
        <v>2.8583765112262522</v>
      </c>
      <c r="E1143" s="18" t="e">
        <f t="shared" si="32"/>
        <v>#DIV/0!</v>
      </c>
      <c r="F1143" s="18">
        <f t="shared" si="32"/>
        <v>0</v>
      </c>
      <c r="G1143" s="18">
        <f t="shared" si="32"/>
        <v>9.7304582210242589</v>
      </c>
      <c r="H1143" s="18">
        <f t="shared" si="32"/>
        <v>1.4814814814814814</v>
      </c>
      <c r="I1143" s="18">
        <f t="shared" si="32"/>
        <v>10.674846625766872</v>
      </c>
      <c r="J1143" s="18">
        <f t="shared" si="32"/>
        <v>0.98901098901098905</v>
      </c>
      <c r="K1143" s="18">
        <f t="shared" si="32"/>
        <v>9</v>
      </c>
      <c r="L1143" s="18">
        <f t="shared" si="32"/>
        <v>22.33009708737864</v>
      </c>
      <c r="M1143" s="18">
        <f t="shared" si="32"/>
        <v>25.308641975308639</v>
      </c>
      <c r="N1143" s="18">
        <f t="shared" si="32"/>
        <v>17.75</v>
      </c>
      <c r="O1143" s="18" t="e">
        <f t="shared" si="32"/>
        <v>#DIV/0!</v>
      </c>
      <c r="P1143" s="18" t="e">
        <f t="shared" si="32"/>
        <v>#DIV/0!</v>
      </c>
      <c r="Q1143" s="18"/>
      <c r="R1143" s="18"/>
      <c r="S1143" s="18">
        <f t="shared" ref="S1143:T1143" si="33">S1141/S1142</f>
        <v>4</v>
      </c>
      <c r="T1143" s="18">
        <f t="shared" si="33"/>
        <v>3.7333333333333334</v>
      </c>
    </row>
    <row r="1144" spans="1:23" x14ac:dyDescent="0.25">
      <c r="A1144" s="21"/>
      <c r="B1144" s="21" t="s">
        <v>102</v>
      </c>
      <c r="C1144" s="21">
        <f>C1142*30</f>
        <v>46950</v>
      </c>
      <c r="D1144" s="21">
        <f t="shared" ref="D1144:S1144" si="34">D1142*30</f>
        <v>17370</v>
      </c>
      <c r="E1144" s="21">
        <f t="shared" si="34"/>
        <v>0</v>
      </c>
      <c r="F1144" s="21">
        <f t="shared" si="34"/>
        <v>2970</v>
      </c>
      <c r="G1144" s="21">
        <f t="shared" si="34"/>
        <v>11130</v>
      </c>
      <c r="H1144" s="21">
        <f t="shared" si="34"/>
        <v>19440</v>
      </c>
      <c r="I1144" s="21">
        <f t="shared" si="34"/>
        <v>9780</v>
      </c>
      <c r="J1144" s="21">
        <f t="shared" si="34"/>
        <v>10920</v>
      </c>
      <c r="K1144" s="21">
        <f t="shared" si="34"/>
        <v>120</v>
      </c>
      <c r="L1144" s="21">
        <f t="shared" si="34"/>
        <v>309</v>
      </c>
      <c r="M1144" s="21">
        <f t="shared" si="34"/>
        <v>24.3</v>
      </c>
      <c r="N1144" s="21">
        <f t="shared" si="34"/>
        <v>60</v>
      </c>
      <c r="O1144" s="21">
        <f t="shared" si="34"/>
        <v>0</v>
      </c>
      <c r="P1144" s="21">
        <f t="shared" si="34"/>
        <v>0</v>
      </c>
      <c r="Q1144" s="21">
        <f t="shared" si="34"/>
        <v>55.5</v>
      </c>
      <c r="R1144" s="21">
        <f t="shared" si="34"/>
        <v>111</v>
      </c>
      <c r="S1144" s="21">
        <f t="shared" si="34"/>
        <v>1320</v>
      </c>
      <c r="T1144" s="21">
        <f t="shared" ref="T1144" si="35">T1142*30</f>
        <v>900</v>
      </c>
    </row>
    <row r="1145" spans="1:23" x14ac:dyDescent="0.25">
      <c r="C1145" s="29">
        <f>C1141-C1149</f>
        <v>375</v>
      </c>
      <c r="D1145" s="29">
        <f t="shared" ref="D1145:T1145" si="36">D1141-D1149</f>
        <v>-10</v>
      </c>
      <c r="E1145" s="29">
        <f t="shared" si="36"/>
        <v>0</v>
      </c>
      <c r="F1145" s="29">
        <f t="shared" si="36"/>
        <v>0</v>
      </c>
      <c r="G1145" s="29">
        <f t="shared" si="36"/>
        <v>-136</v>
      </c>
      <c r="H1145" s="29">
        <f t="shared" si="36"/>
        <v>-195</v>
      </c>
      <c r="I1145" s="29">
        <f t="shared" si="36"/>
        <v>-90</v>
      </c>
      <c r="J1145" s="29">
        <f t="shared" si="36"/>
        <v>0</v>
      </c>
      <c r="K1145" s="29">
        <f t="shared" si="36"/>
        <v>-2.3999999999999986</v>
      </c>
      <c r="L1145" s="29">
        <f t="shared" si="36"/>
        <v>1</v>
      </c>
      <c r="M1145" s="29">
        <f t="shared" si="36"/>
        <v>0.5</v>
      </c>
      <c r="N1145" s="29">
        <f t="shared" si="36"/>
        <v>-1.5</v>
      </c>
      <c r="O1145" s="29">
        <f t="shared" si="36"/>
        <v>0</v>
      </c>
      <c r="P1145" s="29">
        <f t="shared" si="36"/>
        <v>0</v>
      </c>
      <c r="Q1145" s="29">
        <f t="shared" si="36"/>
        <v>-1</v>
      </c>
      <c r="R1145" s="29">
        <f t="shared" si="36"/>
        <v>-1</v>
      </c>
      <c r="S1145" s="29">
        <f t="shared" si="36"/>
        <v>0</v>
      </c>
      <c r="T1145" s="29">
        <f t="shared" si="36"/>
        <v>0</v>
      </c>
    </row>
    <row r="1146" spans="1:23" ht="26" x14ac:dyDescent="0.6">
      <c r="I1146" s="34">
        <v>46054</v>
      </c>
    </row>
    <row r="1147" spans="1:23" x14ac:dyDescent="0.25">
      <c r="A1147" s="28"/>
      <c r="B1147" s="28"/>
      <c r="C1147" s="28"/>
      <c r="D1147" s="28"/>
      <c r="E1147" s="28"/>
      <c r="F1147" s="7"/>
      <c r="G1147" s="7"/>
      <c r="H1147" s="7"/>
      <c r="I1147" s="7" t="s">
        <v>231</v>
      </c>
      <c r="J1147" s="7"/>
      <c r="K1147" s="7"/>
      <c r="L1147" s="7"/>
      <c r="M1147" s="7"/>
      <c r="N1147" s="7"/>
      <c r="O1147" s="28"/>
      <c r="P1147" s="28"/>
      <c r="Q1147" s="28"/>
      <c r="R1147" s="28"/>
      <c r="S1147" s="28"/>
      <c r="T1147" s="28"/>
      <c r="U1147" s="7"/>
      <c r="V1147" s="7"/>
      <c r="W1147" s="7"/>
    </row>
    <row r="1148" spans="1:23" x14ac:dyDescent="0.25">
      <c r="A1148" s="28"/>
      <c r="B1148" s="28"/>
      <c r="C1148" s="28"/>
      <c r="D1148" s="28"/>
      <c r="E1148" s="28"/>
      <c r="F1148" s="7"/>
      <c r="G1148" s="7"/>
      <c r="H1148" s="7"/>
      <c r="I1148" s="7"/>
      <c r="J1148" s="7"/>
      <c r="K1148" s="7"/>
      <c r="L1148" s="7"/>
      <c r="M1148" s="7"/>
      <c r="N1148" s="7"/>
      <c r="O1148" s="28"/>
      <c r="P1148" s="28"/>
      <c r="Q1148" s="28"/>
      <c r="R1148" s="28"/>
      <c r="S1148" s="28"/>
      <c r="T1148" s="28"/>
      <c r="U1148" s="7"/>
      <c r="V1148" s="7"/>
      <c r="W1148" s="7"/>
    </row>
    <row r="1149" spans="1:23" x14ac:dyDescent="0.25">
      <c r="A1149" s="3">
        <v>46054</v>
      </c>
      <c r="B1149" s="9" t="s">
        <v>0</v>
      </c>
      <c r="C1149" s="10">
        <v>7363</v>
      </c>
      <c r="D1149" s="9">
        <v>1665</v>
      </c>
      <c r="E1149" s="7">
        <v>810</v>
      </c>
      <c r="F1149" s="9">
        <v>0</v>
      </c>
      <c r="G1149" s="9">
        <v>3746</v>
      </c>
      <c r="H1149" s="9">
        <v>1155</v>
      </c>
      <c r="I1149" s="9">
        <v>3570</v>
      </c>
      <c r="J1149" s="9">
        <v>360</v>
      </c>
      <c r="K1149" s="9">
        <v>38.4</v>
      </c>
      <c r="L1149" s="9">
        <v>229</v>
      </c>
      <c r="M1149" s="9">
        <v>20</v>
      </c>
      <c r="N1149" s="9">
        <v>37</v>
      </c>
      <c r="O1149" s="9">
        <v>100</v>
      </c>
      <c r="P1149" s="9">
        <v>0</v>
      </c>
      <c r="Q1149" s="9">
        <v>6</v>
      </c>
      <c r="R1149" s="9">
        <v>5</v>
      </c>
      <c r="S1149" s="9">
        <v>176</v>
      </c>
      <c r="T1149" s="9">
        <v>112</v>
      </c>
      <c r="U1149" s="40">
        <v>0</v>
      </c>
      <c r="V1149" s="40">
        <v>0</v>
      </c>
      <c r="W1149" s="40"/>
    </row>
    <row r="1150" spans="1:23" x14ac:dyDescent="0.25">
      <c r="A1150" s="23">
        <v>46054</v>
      </c>
      <c r="B1150" s="7" t="s">
        <v>33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>
        <v>-44</v>
      </c>
      <c r="T1150" s="7">
        <v>-31</v>
      </c>
      <c r="U1150" s="7"/>
      <c r="V1150" s="7"/>
      <c r="W1150" s="7"/>
    </row>
    <row r="1151" spans="1:23" x14ac:dyDescent="0.25">
      <c r="A1151" s="23">
        <v>46054</v>
      </c>
      <c r="B1151" s="7" t="s">
        <v>234</v>
      </c>
      <c r="C1151" s="7">
        <v>13050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T1151" s="7"/>
      <c r="U1151" s="7"/>
      <c r="V1151" s="7"/>
      <c r="W1151" s="7"/>
    </row>
    <row r="1152" spans="1:23" x14ac:dyDescent="0.25">
      <c r="A1152" s="23">
        <v>46055</v>
      </c>
      <c r="B1152" s="7" t="s">
        <v>33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>
        <v>-44</v>
      </c>
      <c r="T1152" s="7">
        <v>-31</v>
      </c>
      <c r="U1152" s="7"/>
      <c r="V1152" s="7"/>
      <c r="W1152" s="7"/>
    </row>
    <row r="1153" spans="1:23" x14ac:dyDescent="0.25">
      <c r="A1153" s="23">
        <v>46056</v>
      </c>
      <c r="B1153" s="7" t="s">
        <v>127</v>
      </c>
      <c r="C1153" s="7">
        <v>-2340</v>
      </c>
      <c r="D1153" s="7">
        <v>-1080</v>
      </c>
      <c r="E1153" s="7"/>
      <c r="F1153" s="7">
        <v>-150</v>
      </c>
      <c r="G1153" s="7">
        <v>-600</v>
      </c>
      <c r="H1153" s="7">
        <v>-930</v>
      </c>
      <c r="I1153" s="7">
        <v>-240</v>
      </c>
      <c r="J1153" s="7">
        <v>-660</v>
      </c>
      <c r="K1153" s="7">
        <v>-6</v>
      </c>
      <c r="L1153" s="7">
        <v>-18</v>
      </c>
      <c r="M1153" s="7">
        <v>-3</v>
      </c>
      <c r="N1153" s="7">
        <v>-3</v>
      </c>
      <c r="O1153" s="7"/>
      <c r="P1153" s="7"/>
      <c r="Q1153" s="7"/>
      <c r="R1153" s="7"/>
      <c r="S1153" s="7"/>
      <c r="T1153" s="7">
        <v>120</v>
      </c>
      <c r="U1153" s="7"/>
      <c r="V1153" s="7"/>
      <c r="W1153" s="7"/>
    </row>
    <row r="1154" spans="1:23" x14ac:dyDescent="0.25">
      <c r="A1154" s="23">
        <v>46056</v>
      </c>
      <c r="B1154" s="7" t="s">
        <v>17</v>
      </c>
      <c r="C1154" s="7"/>
      <c r="D1154" s="7">
        <v>2250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T1154" s="7"/>
      <c r="U1154" s="7"/>
      <c r="V1154" s="7"/>
      <c r="W1154" s="7"/>
    </row>
    <row r="1155" spans="1:23" x14ac:dyDescent="0.25">
      <c r="A1155" s="23">
        <v>46056</v>
      </c>
      <c r="B1155" s="7" t="s">
        <v>18</v>
      </c>
      <c r="C1155" s="7"/>
      <c r="D1155" s="7"/>
      <c r="E1155" s="7"/>
      <c r="F1155" s="7"/>
      <c r="G1155" s="7"/>
      <c r="H1155" s="7">
        <v>4200</v>
      </c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T1155" s="7"/>
      <c r="U1155" s="7"/>
      <c r="V1155" s="7"/>
      <c r="W1155" s="7"/>
    </row>
    <row r="1156" spans="1:23" x14ac:dyDescent="0.25">
      <c r="A1156" s="23">
        <v>46056</v>
      </c>
      <c r="B1156" s="7" t="s">
        <v>55</v>
      </c>
      <c r="C1156" s="7"/>
      <c r="D1156" s="7"/>
      <c r="E1156" s="7"/>
      <c r="F1156" s="7"/>
      <c r="G1156" s="7"/>
      <c r="H1156" s="7"/>
      <c r="I1156" s="7"/>
      <c r="J1156" s="7">
        <v>3600</v>
      </c>
      <c r="K1156" s="7"/>
      <c r="L1156" s="7"/>
      <c r="M1156" s="7"/>
      <c r="N1156" s="7"/>
      <c r="O1156" s="7"/>
      <c r="P1156" s="7"/>
      <c r="Q1156" s="7"/>
      <c r="R1156" s="7"/>
      <c r="T1156" s="7"/>
      <c r="U1156" s="7"/>
      <c r="V1156" s="7"/>
      <c r="W1156" s="7"/>
    </row>
    <row r="1157" spans="1:23" x14ac:dyDescent="0.25">
      <c r="A1157" s="23">
        <v>46056</v>
      </c>
      <c r="B1157" s="7" t="s">
        <v>35</v>
      </c>
      <c r="C1157" s="7"/>
      <c r="D1157" s="7"/>
      <c r="E1157" s="7"/>
      <c r="F1157" s="7">
        <v>2500</v>
      </c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T1157" s="7"/>
      <c r="U1157" s="7"/>
      <c r="V1157" s="7"/>
      <c r="W1157" s="7"/>
    </row>
    <row r="1158" spans="1:23" x14ac:dyDescent="0.25">
      <c r="A1158" s="23">
        <v>46056</v>
      </c>
      <c r="B1158" s="7" t="s">
        <v>33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>
        <v>-44</v>
      </c>
      <c r="T1158" s="7">
        <v>-30</v>
      </c>
      <c r="U1158" s="7"/>
      <c r="V1158" s="7"/>
      <c r="W1158" s="7"/>
    </row>
    <row r="1159" spans="1:23" x14ac:dyDescent="0.25">
      <c r="A1159" s="23">
        <v>46057</v>
      </c>
      <c r="B1159" s="7" t="s">
        <v>145</v>
      </c>
      <c r="C1159" s="7">
        <v>-4000</v>
      </c>
      <c r="D1159" s="7">
        <v>-1250</v>
      </c>
      <c r="E1159" s="7"/>
      <c r="F1159" s="7">
        <v>-250</v>
      </c>
      <c r="G1159" s="7">
        <v>-900</v>
      </c>
      <c r="H1159" s="7">
        <v>-1700</v>
      </c>
      <c r="I1159" s="7">
        <v>-1100</v>
      </c>
      <c r="J1159" s="7">
        <v>-800</v>
      </c>
      <c r="K1159" s="7">
        <v>-10</v>
      </c>
      <c r="L1159" s="7">
        <v>-30</v>
      </c>
      <c r="M1159" s="7"/>
      <c r="N1159" s="7">
        <v>-5</v>
      </c>
      <c r="O1159" s="7"/>
      <c r="P1159" s="7"/>
      <c r="Q1159" s="7">
        <v>-5</v>
      </c>
      <c r="R1159" s="7">
        <v>-5</v>
      </c>
      <c r="S1159" s="7">
        <v>200</v>
      </c>
      <c r="T1159" s="7"/>
      <c r="U1159" s="7"/>
      <c r="V1159" s="7"/>
      <c r="W1159" s="7"/>
    </row>
    <row r="1160" spans="1:23" x14ac:dyDescent="0.25">
      <c r="A1160" s="23">
        <v>46057</v>
      </c>
      <c r="B1160" s="7" t="s">
        <v>33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>
        <v>-44</v>
      </c>
      <c r="T1160" s="7">
        <v>-31</v>
      </c>
      <c r="U1160" s="7"/>
      <c r="V1160" s="7"/>
      <c r="W1160" s="7"/>
    </row>
    <row r="1161" spans="1:23" x14ac:dyDescent="0.25">
      <c r="A1161" s="23">
        <v>46058</v>
      </c>
      <c r="B1161" s="7" t="s">
        <v>146</v>
      </c>
      <c r="C1161" s="7">
        <v>-1950</v>
      </c>
      <c r="D1161" s="7">
        <v>-900</v>
      </c>
      <c r="E1161" s="7"/>
      <c r="F1161" s="7">
        <v>-125</v>
      </c>
      <c r="G1161" s="7">
        <v>-500</v>
      </c>
      <c r="H1161" s="7">
        <v>-775</v>
      </c>
      <c r="I1161" s="7">
        <v>-200</v>
      </c>
      <c r="J1161" s="7">
        <v>-550</v>
      </c>
      <c r="K1161" s="7">
        <v>-5</v>
      </c>
      <c r="L1161" s="7">
        <v>-15</v>
      </c>
      <c r="M1161" s="7">
        <v>-2.5</v>
      </c>
      <c r="N1161" s="7">
        <v>-2.5</v>
      </c>
      <c r="O1161" s="7"/>
      <c r="P1161" s="7"/>
      <c r="Q1161" s="7"/>
      <c r="R1161" s="7"/>
      <c r="S1161" s="7"/>
      <c r="T1161" s="7">
        <v>100</v>
      </c>
      <c r="U1161" s="7"/>
      <c r="V1161" s="7"/>
      <c r="W1161" s="7"/>
    </row>
    <row r="1162" spans="1:23" x14ac:dyDescent="0.25">
      <c r="A1162" s="23">
        <v>46058</v>
      </c>
      <c r="B1162" s="7" t="s">
        <v>33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>
        <v>-44</v>
      </c>
      <c r="T1162" s="7">
        <v>-31</v>
      </c>
      <c r="U1162" s="7"/>
      <c r="V1162" s="7"/>
      <c r="W1162" s="7"/>
    </row>
    <row r="1163" spans="1:23" x14ac:dyDescent="0.25">
      <c r="A1163" s="23">
        <v>46058</v>
      </c>
      <c r="B1163" s="7" t="s">
        <v>140</v>
      </c>
      <c r="C1163" s="7">
        <v>103</v>
      </c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</row>
    <row r="1164" spans="1:23" x14ac:dyDescent="0.25">
      <c r="A1164" s="23">
        <v>46059</v>
      </c>
      <c r="B1164" s="7" t="s">
        <v>33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>
        <v>-44</v>
      </c>
      <c r="T1164" s="7">
        <v>-30</v>
      </c>
      <c r="U1164" s="7"/>
      <c r="V1164" s="7"/>
      <c r="W1164" s="7"/>
    </row>
    <row r="1165" spans="1:23" x14ac:dyDescent="0.25">
      <c r="A1165" s="23">
        <v>46059</v>
      </c>
      <c r="B1165" s="7" t="s">
        <v>144</v>
      </c>
      <c r="C1165" s="7">
        <v>286</v>
      </c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</row>
    <row r="1166" spans="1:23" x14ac:dyDescent="0.25">
      <c r="A1166" s="23">
        <v>46060</v>
      </c>
      <c r="B1166" s="7" t="s">
        <v>33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>
        <v>-44</v>
      </c>
      <c r="T1166" s="7">
        <v>-30</v>
      </c>
      <c r="U1166" s="7"/>
      <c r="V1166" s="7"/>
      <c r="W1166" s="7"/>
    </row>
    <row r="1167" spans="1:23" x14ac:dyDescent="0.25">
      <c r="A1167" s="23">
        <v>46060</v>
      </c>
      <c r="B1167" s="7" t="s">
        <v>217</v>
      </c>
      <c r="C1167" s="7"/>
      <c r="D1167" s="7"/>
      <c r="E1167" s="7"/>
      <c r="F1167" s="7"/>
      <c r="G1167" s="7"/>
      <c r="H1167" s="7"/>
      <c r="I1167" s="7"/>
      <c r="J1167" s="7"/>
      <c r="K1167" s="7">
        <v>200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</row>
    <row r="1168" spans="1:23" x14ac:dyDescent="0.25">
      <c r="A1168" s="23">
        <v>46060</v>
      </c>
      <c r="B1168" s="7" t="s">
        <v>18</v>
      </c>
      <c r="C1168" s="7"/>
      <c r="D1168" s="7"/>
      <c r="E1168" s="7"/>
      <c r="F1168" s="7"/>
      <c r="G1168" s="7"/>
      <c r="H1168" s="7">
        <v>1950</v>
      </c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</row>
    <row r="1169" spans="1:23" x14ac:dyDescent="0.25">
      <c r="A1169" s="23">
        <v>46060</v>
      </c>
      <c r="B1169" s="7" t="s">
        <v>55</v>
      </c>
      <c r="C1169" s="7"/>
      <c r="D1169" s="7"/>
      <c r="E1169" s="7"/>
      <c r="F1169" s="7"/>
      <c r="G1169" s="7"/>
      <c r="H1169" s="7"/>
      <c r="I1169" s="7"/>
      <c r="J1169" s="7">
        <v>1120</v>
      </c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</row>
    <row r="1170" spans="1:23" x14ac:dyDescent="0.25">
      <c r="A1170" s="23">
        <v>46060</v>
      </c>
      <c r="B1170" s="7" t="s">
        <v>17</v>
      </c>
      <c r="C1170" s="7"/>
      <c r="D1170" s="7">
        <v>9400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</row>
    <row r="1171" spans="1:23" x14ac:dyDescent="0.25">
      <c r="A1171" s="23">
        <v>46061</v>
      </c>
      <c r="B1171" s="7" t="s">
        <v>121</v>
      </c>
      <c r="C1171" s="7"/>
      <c r="D1171" s="7"/>
      <c r="E1171" s="7"/>
      <c r="F1171" s="7"/>
      <c r="G1171" s="7">
        <v>11000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</row>
    <row r="1172" spans="1:23" x14ac:dyDescent="0.25">
      <c r="A1172" s="23">
        <v>46061</v>
      </c>
      <c r="B1172" s="7" t="s">
        <v>33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>
        <v>-44</v>
      </c>
      <c r="T1172" s="7">
        <v>-31</v>
      </c>
      <c r="U1172" s="7"/>
      <c r="V1172" s="7"/>
      <c r="W1172" s="7"/>
    </row>
    <row r="1173" spans="1:23" x14ac:dyDescent="0.25">
      <c r="A1173" s="23">
        <v>46062</v>
      </c>
      <c r="B1173" s="7" t="s">
        <v>205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>
        <v>20</v>
      </c>
      <c r="R1173" s="7"/>
      <c r="S1173" s="7"/>
      <c r="T1173" s="7"/>
      <c r="U1173" s="7"/>
      <c r="V1173" s="7"/>
      <c r="W1173" s="7"/>
    </row>
    <row r="1174" spans="1:23" x14ac:dyDescent="0.25">
      <c r="A1174" s="23">
        <v>46062</v>
      </c>
      <c r="B1174" s="7" t="s">
        <v>219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>
        <v>25</v>
      </c>
      <c r="S1174" s="7"/>
      <c r="T1174" s="7"/>
      <c r="U1174" s="7"/>
      <c r="V1174" s="7"/>
      <c r="W1174" s="7"/>
    </row>
    <row r="1175" spans="1:23" x14ac:dyDescent="0.25">
      <c r="A1175" s="23">
        <v>46062</v>
      </c>
      <c r="B1175" s="7" t="s">
        <v>33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>
        <v>-44</v>
      </c>
      <c r="T1175" s="7">
        <v>-30</v>
      </c>
      <c r="U1175" s="7"/>
      <c r="V1175" s="7"/>
      <c r="W1175" s="7"/>
    </row>
    <row r="1176" spans="1:23" x14ac:dyDescent="0.25">
      <c r="A1176" s="23">
        <v>46062</v>
      </c>
      <c r="B1176" s="7" t="s">
        <v>69</v>
      </c>
      <c r="C1176" s="7">
        <v>-2400</v>
      </c>
      <c r="D1176" s="7">
        <v>-750</v>
      </c>
      <c r="E1176" s="7"/>
      <c r="F1176" s="7">
        <v>-150</v>
      </c>
      <c r="G1176" s="7">
        <v>-540</v>
      </c>
      <c r="H1176" s="7">
        <v>-1020</v>
      </c>
      <c r="I1176" s="7">
        <v>-660</v>
      </c>
      <c r="J1176" s="7">
        <v>-480</v>
      </c>
      <c r="K1176" s="7">
        <v>-6</v>
      </c>
      <c r="L1176" s="7">
        <v>-18</v>
      </c>
      <c r="M1176" s="7"/>
      <c r="N1176" s="7">
        <v>-3</v>
      </c>
      <c r="O1176" s="7"/>
      <c r="P1176" s="7"/>
      <c r="Q1176" s="7">
        <v>-3</v>
      </c>
      <c r="R1176" s="7">
        <v>-3</v>
      </c>
      <c r="S1176" s="7">
        <v>120</v>
      </c>
      <c r="T1176" s="7"/>
      <c r="U1176" s="7"/>
      <c r="V1176" s="7"/>
      <c r="W1176" s="7"/>
    </row>
    <row r="1177" spans="1:23" x14ac:dyDescent="0.25">
      <c r="A1177" s="23">
        <v>46063</v>
      </c>
      <c r="B1177" s="7" t="s">
        <v>69</v>
      </c>
      <c r="C1177" s="7">
        <v>-2400</v>
      </c>
      <c r="D1177" s="7">
        <v>-750</v>
      </c>
      <c r="E1177" s="7"/>
      <c r="F1177" s="7">
        <v>-150</v>
      </c>
      <c r="G1177" s="7">
        <v>-540</v>
      </c>
      <c r="H1177" s="7">
        <v>-1020</v>
      </c>
      <c r="I1177" s="7">
        <v>-660</v>
      </c>
      <c r="J1177" s="7">
        <v>-480</v>
      </c>
      <c r="K1177" s="7">
        <v>-6</v>
      </c>
      <c r="L1177" s="7">
        <v>-18</v>
      </c>
      <c r="M1177" s="7"/>
      <c r="N1177" s="7">
        <v>-3</v>
      </c>
      <c r="O1177" s="7"/>
      <c r="P1177" s="7"/>
      <c r="Q1177" s="7">
        <v>-3</v>
      </c>
      <c r="R1177" s="7">
        <v>-3</v>
      </c>
      <c r="S1177" s="7">
        <v>120</v>
      </c>
      <c r="T1177" s="7"/>
      <c r="U1177" s="7"/>
      <c r="V1177" s="7"/>
      <c r="W1177" s="7"/>
    </row>
    <row r="1178" spans="1:23" x14ac:dyDescent="0.25">
      <c r="A1178" s="23">
        <v>46063</v>
      </c>
      <c r="B1178" s="7" t="s">
        <v>33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>
        <v>-44</v>
      </c>
      <c r="T1178" s="7">
        <v>-30</v>
      </c>
      <c r="U1178" s="7"/>
      <c r="V1178" s="7"/>
      <c r="W1178" s="7"/>
    </row>
    <row r="1179" spans="1:23" x14ac:dyDescent="0.25">
      <c r="A1179" s="23">
        <v>46064</v>
      </c>
      <c r="B1179" s="7" t="s">
        <v>234</v>
      </c>
      <c r="C1179" s="7">
        <v>13230</v>
      </c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</row>
    <row r="1180" spans="1:23" x14ac:dyDescent="0.25">
      <c r="A1180" s="23">
        <v>46064</v>
      </c>
      <c r="B1180" s="7" t="s">
        <v>126</v>
      </c>
      <c r="C1180" s="7">
        <v>-390</v>
      </c>
      <c r="D1180" s="7">
        <v>-180</v>
      </c>
      <c r="E1180" s="7"/>
      <c r="F1180" s="7">
        <v>-25</v>
      </c>
      <c r="G1180" s="7">
        <v>-100</v>
      </c>
      <c r="H1180" s="7">
        <v>-155</v>
      </c>
      <c r="I1180" s="7">
        <v>-40</v>
      </c>
      <c r="J1180" s="7">
        <v>-110</v>
      </c>
      <c r="K1180" s="7">
        <v>-1</v>
      </c>
      <c r="L1180" s="7">
        <v>-3</v>
      </c>
      <c r="M1180" s="7">
        <v>-0.5</v>
      </c>
      <c r="N1180" s="7">
        <v>-0.5</v>
      </c>
      <c r="O1180" s="7"/>
      <c r="P1180" s="7"/>
      <c r="Q1180" s="7"/>
      <c r="R1180" s="7"/>
      <c r="S1180" s="7"/>
      <c r="T1180" s="7">
        <v>20</v>
      </c>
      <c r="U1180" s="7"/>
      <c r="V1180" s="7"/>
      <c r="W1180" s="7"/>
    </row>
    <row r="1181" spans="1:23" x14ac:dyDescent="0.25">
      <c r="A1181" s="23">
        <v>46064</v>
      </c>
      <c r="B1181" s="7" t="s">
        <v>33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>
        <v>-44</v>
      </c>
      <c r="T1181" s="7">
        <v>-30</v>
      </c>
      <c r="U1181" s="7"/>
      <c r="V1181" s="7"/>
      <c r="W1181" s="7"/>
    </row>
    <row r="1182" spans="1:23" x14ac:dyDescent="0.25">
      <c r="A1182" s="23">
        <v>46065</v>
      </c>
      <c r="B1182" s="7" t="s">
        <v>93</v>
      </c>
      <c r="C1182" s="7"/>
      <c r="D1182" s="7"/>
      <c r="E1182" s="7"/>
      <c r="F1182" s="7"/>
      <c r="G1182" s="7"/>
      <c r="H1182" s="7"/>
      <c r="I1182" s="7">
        <v>5000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</row>
    <row r="1183" spans="1:23" x14ac:dyDescent="0.25">
      <c r="A1183" s="23">
        <v>46065</v>
      </c>
      <c r="B1183" s="7" t="s">
        <v>33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>
        <v>-44</v>
      </c>
      <c r="T1183" s="7">
        <v>-31</v>
      </c>
      <c r="U1183" s="7"/>
      <c r="V1183" s="7"/>
      <c r="W1183" s="7"/>
    </row>
    <row r="1184" spans="1:23" x14ac:dyDescent="0.25">
      <c r="A1184" s="23">
        <v>46065</v>
      </c>
      <c r="B1184" s="7" t="s">
        <v>126</v>
      </c>
      <c r="C1184" s="7">
        <v>-390</v>
      </c>
      <c r="D1184" s="7">
        <v>-180</v>
      </c>
      <c r="E1184" s="7"/>
      <c r="F1184" s="7">
        <v>-25</v>
      </c>
      <c r="G1184" s="7">
        <v>-100</v>
      </c>
      <c r="H1184" s="7">
        <v>-155</v>
      </c>
      <c r="I1184" s="7">
        <v>-40</v>
      </c>
      <c r="J1184" s="7">
        <v>-110</v>
      </c>
      <c r="K1184" s="7">
        <v>-1</v>
      </c>
      <c r="L1184" s="7">
        <v>-3</v>
      </c>
      <c r="M1184" s="7">
        <v>-0.5</v>
      </c>
      <c r="N1184" s="7">
        <v>-0.5</v>
      </c>
      <c r="O1184" s="7"/>
      <c r="P1184" s="7"/>
      <c r="Q1184" s="7"/>
      <c r="R1184" s="7"/>
      <c r="S1184" s="7"/>
      <c r="T1184" s="7">
        <v>20</v>
      </c>
      <c r="U1184" s="7"/>
      <c r="V1184" s="7"/>
      <c r="W1184" s="7"/>
    </row>
    <row r="1185" spans="1:23" x14ac:dyDescent="0.25">
      <c r="A1185" s="23">
        <v>46065</v>
      </c>
      <c r="B1185" s="7" t="s">
        <v>240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>
        <v>101</v>
      </c>
      <c r="V1185" s="7"/>
      <c r="W1185" s="7"/>
    </row>
    <row r="1186" spans="1:23" x14ac:dyDescent="0.25">
      <c r="A1186" s="23">
        <v>46065</v>
      </c>
      <c r="B1186" s="7" t="s">
        <v>241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>
        <v>32</v>
      </c>
      <c r="W1186" s="7"/>
    </row>
    <row r="1187" spans="1:23" x14ac:dyDescent="0.25">
      <c r="A1187" s="23">
        <v>46066</v>
      </c>
      <c r="B1187" s="7" t="s">
        <v>2</v>
      </c>
      <c r="C1187" s="7">
        <v>-1600</v>
      </c>
      <c r="D1187" s="7">
        <v>-500</v>
      </c>
      <c r="E1187" s="7"/>
      <c r="F1187" s="7">
        <v>-100</v>
      </c>
      <c r="G1187" s="7">
        <v>-360</v>
      </c>
      <c r="H1187" s="7">
        <v>-680</v>
      </c>
      <c r="I1187" s="7">
        <v>-440</v>
      </c>
      <c r="J1187" s="7">
        <v>-320</v>
      </c>
      <c r="K1187" s="7">
        <v>-4</v>
      </c>
      <c r="L1187" s="7">
        <v>-12</v>
      </c>
      <c r="M1187" s="7"/>
      <c r="N1187" s="7">
        <v>-2</v>
      </c>
      <c r="O1187" s="7"/>
      <c r="P1187" s="7"/>
      <c r="Q1187" s="7">
        <v>-2</v>
      </c>
      <c r="R1187" s="7">
        <v>-2</v>
      </c>
      <c r="S1187" s="7">
        <v>80</v>
      </c>
      <c r="T1187" s="7"/>
      <c r="U1187" s="7"/>
      <c r="V1187" s="7"/>
      <c r="W1187" s="7"/>
    </row>
    <row r="1188" spans="1:23" x14ac:dyDescent="0.25">
      <c r="A1188" s="23">
        <v>46066</v>
      </c>
      <c r="B1188" s="7" t="s">
        <v>127</v>
      </c>
      <c r="C1188" s="7">
        <v>-2340</v>
      </c>
      <c r="D1188" s="7">
        <v>-1080</v>
      </c>
      <c r="E1188" s="7"/>
      <c r="F1188" s="7">
        <v>-150</v>
      </c>
      <c r="G1188" s="7">
        <v>-600</v>
      </c>
      <c r="H1188" s="7">
        <v>-930</v>
      </c>
      <c r="I1188" s="7">
        <v>-240</v>
      </c>
      <c r="J1188" s="7">
        <v>-660</v>
      </c>
      <c r="K1188" s="7">
        <v>-6</v>
      </c>
      <c r="L1188" s="7">
        <v>-18</v>
      </c>
      <c r="M1188" s="7">
        <v>-3</v>
      </c>
      <c r="N1188" s="7">
        <v>-3</v>
      </c>
      <c r="O1188" s="7"/>
      <c r="P1188" s="7"/>
      <c r="Q1188" s="7"/>
      <c r="R1188" s="7"/>
      <c r="S1188" s="7"/>
      <c r="T1188" s="7">
        <v>120</v>
      </c>
      <c r="U1188" s="7"/>
      <c r="V1188" s="7"/>
      <c r="W1188" s="7"/>
    </row>
    <row r="1189" spans="1:23" x14ac:dyDescent="0.25">
      <c r="A1189" s="23">
        <v>46066</v>
      </c>
      <c r="B1189" s="7" t="s">
        <v>33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>
        <v>-44</v>
      </c>
      <c r="T1189" s="7">
        <v>-31</v>
      </c>
      <c r="U1189" s="7"/>
      <c r="V1189" s="7"/>
      <c r="W1189" s="7"/>
    </row>
    <row r="1190" spans="1:23" x14ac:dyDescent="0.25">
      <c r="A1190" s="23">
        <v>46067</v>
      </c>
      <c r="B1190" s="7" t="s">
        <v>33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>
        <v>-44</v>
      </c>
      <c r="T1190" s="7">
        <v>-31</v>
      </c>
      <c r="U1190" s="7">
        <v>-5</v>
      </c>
      <c r="V1190" s="7"/>
      <c r="W1190" s="7"/>
    </row>
    <row r="1191" spans="1:23" x14ac:dyDescent="0.25">
      <c r="A1191" s="23">
        <v>46068</v>
      </c>
      <c r="B1191" s="7" t="s">
        <v>33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>
        <v>-44</v>
      </c>
      <c r="T1191" s="7">
        <v>-30</v>
      </c>
      <c r="U1191" s="7">
        <v>-5</v>
      </c>
      <c r="V1191" s="7"/>
      <c r="W1191" s="7"/>
    </row>
    <row r="1192" spans="1:23" x14ac:dyDescent="0.25">
      <c r="A1192" s="23">
        <v>46068</v>
      </c>
      <c r="B1192" s="7" t="s">
        <v>55</v>
      </c>
      <c r="C1192" s="7"/>
      <c r="D1192" s="7"/>
      <c r="E1192" s="7"/>
      <c r="F1192" s="7"/>
      <c r="G1192" s="7"/>
      <c r="H1192" s="7"/>
      <c r="I1192" s="7"/>
      <c r="J1192" s="7">
        <v>4000</v>
      </c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</row>
    <row r="1193" spans="1:23" x14ac:dyDescent="0.25">
      <c r="A1193" s="23">
        <v>46068</v>
      </c>
      <c r="B1193" s="7" t="s">
        <v>18</v>
      </c>
      <c r="C1193" s="7"/>
      <c r="D1193" s="7"/>
      <c r="E1193" s="7"/>
      <c r="F1193" s="7"/>
      <c r="G1193" s="7"/>
      <c r="H1193" s="7">
        <v>8500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</row>
    <row r="1194" spans="1:23" x14ac:dyDescent="0.25">
      <c r="A1194" s="23">
        <v>46068</v>
      </c>
      <c r="B1194" s="7" t="s">
        <v>20</v>
      </c>
      <c r="C1194" s="7">
        <v>-2800</v>
      </c>
      <c r="D1194" s="7">
        <v>-875</v>
      </c>
      <c r="E1194" s="7"/>
      <c r="F1194" s="7">
        <v>-175</v>
      </c>
      <c r="G1194" s="7">
        <v>-630</v>
      </c>
      <c r="H1194" s="7">
        <v>-1190</v>
      </c>
      <c r="I1194" s="7">
        <v>-770</v>
      </c>
      <c r="J1194" s="7">
        <v>-560</v>
      </c>
      <c r="K1194" s="7">
        <v>-7</v>
      </c>
      <c r="L1194" s="7">
        <v>-21</v>
      </c>
      <c r="M1194" s="7"/>
      <c r="N1194" s="7">
        <v>-3.5</v>
      </c>
      <c r="O1194" s="7"/>
      <c r="P1194" s="7"/>
      <c r="Q1194" s="7">
        <v>-3.5</v>
      </c>
      <c r="R1194" s="7">
        <v>-3.5</v>
      </c>
      <c r="S1194" s="7">
        <v>140</v>
      </c>
      <c r="T1194" s="7"/>
      <c r="U1194" s="7"/>
      <c r="V1194" s="7"/>
      <c r="W1194" s="7"/>
    </row>
    <row r="1195" spans="1:23" x14ac:dyDescent="0.25">
      <c r="A1195" s="23">
        <v>46069</v>
      </c>
      <c r="B1195" s="7" t="s">
        <v>1</v>
      </c>
      <c r="C1195" s="7">
        <v>-2000</v>
      </c>
      <c r="D1195" s="7">
        <v>-625</v>
      </c>
      <c r="E1195" s="7"/>
      <c r="F1195" s="7">
        <v>-125</v>
      </c>
      <c r="G1195" s="7">
        <v>-450</v>
      </c>
      <c r="H1195" s="7">
        <v>-850</v>
      </c>
      <c r="I1195" s="7">
        <v>-550</v>
      </c>
      <c r="J1195" s="7">
        <v>-400</v>
      </c>
      <c r="K1195" s="7">
        <v>-5</v>
      </c>
      <c r="L1195" s="7">
        <v>-15</v>
      </c>
      <c r="M1195" s="7"/>
      <c r="N1195" s="7">
        <v>-2.5</v>
      </c>
      <c r="O1195" s="7"/>
      <c r="P1195" s="7"/>
      <c r="Q1195" s="7">
        <v>-2.5</v>
      </c>
      <c r="R1195" s="7">
        <v>-2.5</v>
      </c>
      <c r="S1195" s="7">
        <v>100</v>
      </c>
      <c r="T1195" s="7"/>
      <c r="U1195" s="7"/>
      <c r="V1195" s="7"/>
      <c r="W1195" s="7"/>
    </row>
    <row r="1196" spans="1:23" x14ac:dyDescent="0.25">
      <c r="A1196" s="23">
        <v>46069</v>
      </c>
      <c r="B1196" s="7" t="s">
        <v>124</v>
      </c>
      <c r="C1196" s="7">
        <v>-780</v>
      </c>
      <c r="D1196" s="7">
        <v>-360</v>
      </c>
      <c r="E1196" s="7"/>
      <c r="F1196" s="7">
        <v>-50</v>
      </c>
      <c r="G1196" s="7">
        <v>-200</v>
      </c>
      <c r="H1196" s="7">
        <v>-310</v>
      </c>
      <c r="I1196" s="7">
        <v>-80</v>
      </c>
      <c r="J1196" s="7">
        <v>-220</v>
      </c>
      <c r="K1196" s="7">
        <v>-2</v>
      </c>
      <c r="L1196" s="7">
        <v>-6</v>
      </c>
      <c r="M1196" s="7">
        <v>-1</v>
      </c>
      <c r="N1196" s="7">
        <v>-1</v>
      </c>
      <c r="O1196" s="7"/>
      <c r="P1196" s="7"/>
      <c r="Q1196" s="7"/>
      <c r="R1196" s="7"/>
      <c r="S1196" s="7"/>
      <c r="T1196" s="7">
        <v>40</v>
      </c>
      <c r="U1196" s="7"/>
      <c r="V1196" s="7"/>
      <c r="W1196" s="7"/>
    </row>
    <row r="1197" spans="1:23" x14ac:dyDescent="0.25">
      <c r="A1197" s="23">
        <v>46069</v>
      </c>
      <c r="B1197" s="7" t="s">
        <v>33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>
        <v>-44</v>
      </c>
      <c r="T1197" s="7">
        <v>-30</v>
      </c>
      <c r="U1197" s="7">
        <v>-5</v>
      </c>
      <c r="V1197" s="7"/>
      <c r="W1197" s="7"/>
    </row>
    <row r="1198" spans="1:23" x14ac:dyDescent="0.25">
      <c r="A1198" s="23">
        <v>46069</v>
      </c>
      <c r="B1198" s="7" t="s">
        <v>133</v>
      </c>
      <c r="C1198" s="7">
        <v>13020</v>
      </c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</row>
    <row r="1199" spans="1:23" x14ac:dyDescent="0.25">
      <c r="A1199" s="23">
        <v>46070</v>
      </c>
      <c r="B1199" s="7" t="s">
        <v>124</v>
      </c>
      <c r="C1199" s="7">
        <v>-780</v>
      </c>
      <c r="D1199" s="7">
        <v>-360</v>
      </c>
      <c r="E1199" s="7"/>
      <c r="F1199" s="7">
        <v>-50</v>
      </c>
      <c r="G1199" s="7">
        <v>-200</v>
      </c>
      <c r="H1199" s="7">
        <v>-310</v>
      </c>
      <c r="I1199" s="7">
        <v>-80</v>
      </c>
      <c r="J1199" s="7">
        <v>-220</v>
      </c>
      <c r="K1199" s="7">
        <v>-2</v>
      </c>
      <c r="L1199" s="7">
        <v>-6</v>
      </c>
      <c r="M1199" s="7">
        <v>-1</v>
      </c>
      <c r="N1199" s="7">
        <v>-1</v>
      </c>
      <c r="O1199" s="7"/>
      <c r="P1199" s="7"/>
      <c r="Q1199" s="7"/>
      <c r="R1199" s="7"/>
      <c r="S1199" s="7"/>
      <c r="T1199" s="7">
        <v>40</v>
      </c>
      <c r="U1199" s="7"/>
      <c r="V1199" s="7"/>
      <c r="W1199" s="7"/>
    </row>
    <row r="1200" spans="1:23" x14ac:dyDescent="0.25">
      <c r="A1200" s="23">
        <v>46070</v>
      </c>
      <c r="B1200" s="7" t="s">
        <v>33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>
        <v>-44</v>
      </c>
      <c r="T1200" s="7">
        <v>-31</v>
      </c>
      <c r="U1200" s="7">
        <v>-5</v>
      </c>
      <c r="V1200" s="7"/>
      <c r="W1200" s="7"/>
    </row>
    <row r="1201" spans="1:23" x14ac:dyDescent="0.25">
      <c r="A1201" s="23">
        <v>46071</v>
      </c>
      <c r="B1201" s="7" t="s">
        <v>220</v>
      </c>
      <c r="C1201" s="7">
        <v>-2730</v>
      </c>
      <c r="D1201" s="7">
        <v>-1260</v>
      </c>
      <c r="E1201" s="7"/>
      <c r="F1201" s="7">
        <v>-175</v>
      </c>
      <c r="G1201" s="7">
        <v>-700</v>
      </c>
      <c r="H1201" s="7">
        <v>-1085</v>
      </c>
      <c r="I1201" s="7">
        <v>-280</v>
      </c>
      <c r="J1201" s="7">
        <v>-770</v>
      </c>
      <c r="K1201" s="7">
        <v>-7</v>
      </c>
      <c r="L1201" s="7">
        <v>-21</v>
      </c>
      <c r="M1201" s="7">
        <v>-3.5</v>
      </c>
      <c r="N1201" s="7">
        <v>-3.5</v>
      </c>
      <c r="O1201" s="7"/>
      <c r="P1201" s="7"/>
      <c r="Q1201" s="7"/>
      <c r="R1201" s="7"/>
      <c r="S1201" s="7"/>
      <c r="T1201" s="7">
        <v>140</v>
      </c>
      <c r="U1201" s="7"/>
      <c r="V1201" s="7"/>
      <c r="W1201" s="7"/>
    </row>
    <row r="1202" spans="1:23" x14ac:dyDescent="0.25">
      <c r="A1202" s="23">
        <v>46071</v>
      </c>
      <c r="B1202" s="7" t="s">
        <v>59</v>
      </c>
      <c r="C1202" s="7">
        <v>-800</v>
      </c>
      <c r="D1202" s="7">
        <v>-250</v>
      </c>
      <c r="E1202" s="7"/>
      <c r="F1202" s="7">
        <v>-50</v>
      </c>
      <c r="G1202" s="7">
        <v>-180</v>
      </c>
      <c r="H1202" s="7">
        <v>-340</v>
      </c>
      <c r="I1202" s="7">
        <v>-220</v>
      </c>
      <c r="J1202" s="7">
        <v>-160</v>
      </c>
      <c r="K1202" s="7">
        <v>-2</v>
      </c>
      <c r="L1202" s="7">
        <v>-6</v>
      </c>
      <c r="M1202" s="7"/>
      <c r="N1202" s="7">
        <v>-1</v>
      </c>
      <c r="O1202" s="7"/>
      <c r="P1202" s="7"/>
      <c r="Q1202" s="7"/>
      <c r="R1202" s="7">
        <v>-1</v>
      </c>
      <c r="S1202" s="7">
        <v>40</v>
      </c>
      <c r="T1202" s="7"/>
      <c r="U1202" s="7"/>
      <c r="V1202" s="7"/>
      <c r="W1202" s="7"/>
    </row>
    <row r="1203" spans="1:23" x14ac:dyDescent="0.25">
      <c r="A1203" s="23">
        <v>46071</v>
      </c>
      <c r="B1203" s="7" t="s">
        <v>33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>
        <v>-44</v>
      </c>
      <c r="T1203" s="7">
        <v>-31</v>
      </c>
      <c r="U1203" s="7">
        <v>-6</v>
      </c>
      <c r="V1203" s="7"/>
      <c r="W1203" s="7"/>
    </row>
    <row r="1204" spans="1:23" x14ac:dyDescent="0.25">
      <c r="A1204" s="23">
        <v>46072</v>
      </c>
      <c r="B1204" s="7" t="s">
        <v>13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>
        <v>50</v>
      </c>
      <c r="O1204" s="7"/>
      <c r="P1204" s="7"/>
      <c r="Q1204" s="7"/>
      <c r="R1204" s="7"/>
      <c r="S1204" s="7"/>
      <c r="T1204" s="7"/>
      <c r="U1204" s="7"/>
      <c r="V1204" s="7"/>
      <c r="W1204" s="7"/>
    </row>
    <row r="1205" spans="1:23" x14ac:dyDescent="0.25">
      <c r="A1205" s="23">
        <v>46072</v>
      </c>
      <c r="B1205" s="7" t="s">
        <v>12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>
        <v>250</v>
      </c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</row>
    <row r="1206" spans="1:23" x14ac:dyDescent="0.25">
      <c r="A1206" s="23">
        <v>46072</v>
      </c>
      <c r="B1206" s="7" t="s">
        <v>1</v>
      </c>
      <c r="C1206" s="7">
        <v>-2000</v>
      </c>
      <c r="D1206" s="7">
        <v>-625</v>
      </c>
      <c r="E1206" s="7"/>
      <c r="F1206" s="7">
        <v>-125</v>
      </c>
      <c r="G1206" s="7">
        <v>-450</v>
      </c>
      <c r="H1206" s="7">
        <v>-850</v>
      </c>
      <c r="I1206" s="7">
        <v>-550</v>
      </c>
      <c r="J1206" s="7">
        <v>-400</v>
      </c>
      <c r="K1206" s="7">
        <v>-5</v>
      </c>
      <c r="L1206" s="7">
        <v>-15</v>
      </c>
      <c r="M1206" s="7"/>
      <c r="N1206" s="7">
        <v>-2.5</v>
      </c>
      <c r="O1206" s="7"/>
      <c r="P1206" s="7"/>
      <c r="Q1206" s="7">
        <v>-2.5</v>
      </c>
      <c r="R1206" s="7">
        <v>-2.5</v>
      </c>
      <c r="S1206" s="7">
        <v>100</v>
      </c>
      <c r="T1206" s="7"/>
      <c r="U1206" s="7"/>
      <c r="V1206" s="7"/>
      <c r="W1206" s="7"/>
    </row>
    <row r="1207" spans="1:23" x14ac:dyDescent="0.25">
      <c r="A1207" s="23">
        <v>46072</v>
      </c>
      <c r="B1207" s="7" t="s">
        <v>33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>
        <v>-44</v>
      </c>
      <c r="T1207" s="7">
        <v>-31</v>
      </c>
      <c r="U1207" s="7">
        <v>-6</v>
      </c>
      <c r="V1207" s="7"/>
      <c r="W1207" s="7"/>
    </row>
    <row r="1208" spans="1:23" x14ac:dyDescent="0.25">
      <c r="A1208" s="23">
        <v>46073</v>
      </c>
      <c r="B1208" s="7" t="s">
        <v>20</v>
      </c>
      <c r="C1208" s="7">
        <v>-2800</v>
      </c>
      <c r="D1208" s="7">
        <v>-875</v>
      </c>
      <c r="E1208" s="7"/>
      <c r="F1208" s="7">
        <v>-175</v>
      </c>
      <c r="G1208" s="7">
        <v>-630</v>
      </c>
      <c r="H1208" s="7">
        <v>-1190</v>
      </c>
      <c r="I1208" s="7">
        <v>-770</v>
      </c>
      <c r="J1208" s="7">
        <v>-560</v>
      </c>
      <c r="K1208" s="7">
        <v>-7</v>
      </c>
      <c r="L1208" s="7">
        <v>-21</v>
      </c>
      <c r="M1208" s="7"/>
      <c r="N1208" s="7">
        <v>-3.5</v>
      </c>
      <c r="O1208" s="7"/>
      <c r="P1208" s="7"/>
      <c r="Q1208" s="7">
        <v>-3.5</v>
      </c>
      <c r="R1208" s="7">
        <v>-3.5</v>
      </c>
      <c r="S1208" s="7">
        <v>140</v>
      </c>
      <c r="T1208" s="7"/>
      <c r="U1208" s="7"/>
      <c r="V1208" s="7"/>
      <c r="W1208" s="7"/>
    </row>
    <row r="1209" spans="1:23" x14ac:dyDescent="0.25">
      <c r="A1209" s="23">
        <v>46073</v>
      </c>
      <c r="B1209" s="7" t="s">
        <v>33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>
        <v>-44</v>
      </c>
      <c r="T1209" s="7">
        <v>-31</v>
      </c>
      <c r="U1209" s="7">
        <v>-6</v>
      </c>
      <c r="V1209" s="7"/>
      <c r="W1209" s="7"/>
    </row>
    <row r="1210" spans="1:23" x14ac:dyDescent="0.25">
      <c r="A1210" s="23">
        <v>46074</v>
      </c>
      <c r="B1210" s="7" t="s">
        <v>33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>
        <v>-44</v>
      </c>
      <c r="T1210" s="7">
        <v>-31</v>
      </c>
      <c r="U1210" s="7">
        <v>-6</v>
      </c>
      <c r="V1210" s="7"/>
      <c r="W1210" s="7"/>
    </row>
    <row r="1211" spans="1:23" x14ac:dyDescent="0.25">
      <c r="A1211" s="23">
        <v>46074</v>
      </c>
      <c r="B1211" s="7" t="s">
        <v>220</v>
      </c>
      <c r="C1211" s="7">
        <v>-2730</v>
      </c>
      <c r="D1211" s="7">
        <v>-1260</v>
      </c>
      <c r="E1211" s="7"/>
      <c r="F1211" s="7">
        <v>-175</v>
      </c>
      <c r="G1211" s="7">
        <v>-700</v>
      </c>
      <c r="H1211" s="7">
        <v>-1085</v>
      </c>
      <c r="I1211" s="7">
        <v>-280</v>
      </c>
      <c r="J1211" s="7">
        <v>-770</v>
      </c>
      <c r="K1211" s="7">
        <v>-7</v>
      </c>
      <c r="L1211" s="7">
        <v>-21</v>
      </c>
      <c r="M1211" s="7">
        <v>-3.5</v>
      </c>
      <c r="N1211" s="7">
        <v>-3.5</v>
      </c>
      <c r="O1211" s="7"/>
      <c r="P1211" s="7"/>
      <c r="Q1211" s="7"/>
      <c r="R1211" s="7"/>
      <c r="S1211" s="7"/>
      <c r="T1211" s="7">
        <v>140</v>
      </c>
      <c r="U1211" s="7"/>
      <c r="V1211" s="7"/>
      <c r="W1211" s="7"/>
    </row>
    <row r="1212" spans="1:23" x14ac:dyDescent="0.25">
      <c r="A1212" s="23">
        <v>46075</v>
      </c>
      <c r="B1212" s="7" t="s">
        <v>33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>
        <v>-44</v>
      </c>
      <c r="T1212" s="7">
        <v>-31</v>
      </c>
      <c r="U1212" s="7">
        <v>-8</v>
      </c>
      <c r="V1212" s="7"/>
      <c r="W1212" s="7"/>
    </row>
    <row r="1213" spans="1:23" x14ac:dyDescent="0.25">
      <c r="A1213" s="23">
        <v>46075</v>
      </c>
      <c r="B1213" s="7" t="s">
        <v>234</v>
      </c>
      <c r="C1213" s="7">
        <v>12960</v>
      </c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</row>
    <row r="1214" spans="1:23" x14ac:dyDescent="0.25">
      <c r="A1214" s="23">
        <v>46076</v>
      </c>
      <c r="B1214" s="7" t="s">
        <v>33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>
        <v>-44</v>
      </c>
      <c r="T1214" s="7">
        <v>-31</v>
      </c>
      <c r="U1214" s="7">
        <v>-8</v>
      </c>
      <c r="V1214" s="7"/>
      <c r="W1214" s="7"/>
    </row>
    <row r="1215" spans="1:23" x14ac:dyDescent="0.25">
      <c r="A1215" s="23">
        <v>46077</v>
      </c>
      <c r="B1215" s="7" t="s">
        <v>33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>
        <v>-44</v>
      </c>
      <c r="T1215" s="7">
        <v>-31</v>
      </c>
      <c r="U1215" s="7">
        <v>-8</v>
      </c>
      <c r="V1215" s="7"/>
      <c r="W1215" s="7"/>
    </row>
    <row r="1216" spans="1:23" x14ac:dyDescent="0.25">
      <c r="A1216" s="23">
        <v>46078</v>
      </c>
      <c r="B1216" s="7" t="s">
        <v>33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>
        <v>-44</v>
      </c>
      <c r="T1216" s="7">
        <v>-31</v>
      </c>
      <c r="U1216" s="7">
        <v>-8</v>
      </c>
      <c r="V1216" s="7"/>
      <c r="W1216" s="7"/>
    </row>
    <row r="1217" spans="1:29" x14ac:dyDescent="0.25">
      <c r="A1217" s="23">
        <v>46078</v>
      </c>
      <c r="B1217" s="7" t="s">
        <v>248</v>
      </c>
      <c r="C1217" s="7">
        <v>401</v>
      </c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</row>
    <row r="1218" spans="1:29" x14ac:dyDescent="0.25">
      <c r="A1218" s="23">
        <v>46079</v>
      </c>
      <c r="B1218" s="7" t="s">
        <v>33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>
        <v>-44</v>
      </c>
      <c r="T1218" s="7">
        <v>-31</v>
      </c>
      <c r="U1218" s="7">
        <v>-8</v>
      </c>
      <c r="V1218" s="7"/>
      <c r="W1218" s="7"/>
    </row>
    <row r="1219" spans="1:29" x14ac:dyDescent="0.25">
      <c r="A1219" s="23">
        <v>46080</v>
      </c>
      <c r="B1219" s="7" t="s">
        <v>33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>
        <v>-44</v>
      </c>
      <c r="T1219" s="7">
        <v>-31</v>
      </c>
      <c r="U1219" s="7">
        <v>-8</v>
      </c>
      <c r="V1219" s="7"/>
      <c r="W1219" s="7"/>
    </row>
    <row r="1220" spans="1:29" x14ac:dyDescent="0.25">
      <c r="A1220" s="23">
        <v>46080</v>
      </c>
      <c r="B1220" s="7" t="s">
        <v>17</v>
      </c>
      <c r="C1220" s="7"/>
      <c r="D1220" s="7">
        <v>4250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</row>
    <row r="1221" spans="1:29" x14ac:dyDescent="0.25">
      <c r="A1221" s="23">
        <v>46080</v>
      </c>
      <c r="B1221" s="7" t="s">
        <v>18</v>
      </c>
      <c r="C1221" s="7"/>
      <c r="D1221" s="7"/>
      <c r="E1221" s="7"/>
      <c r="F1221" s="7"/>
      <c r="G1221" s="7"/>
      <c r="H1221" s="7">
        <v>3700</v>
      </c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</row>
    <row r="1222" spans="1:29" x14ac:dyDescent="0.25">
      <c r="A1222" s="23">
        <v>46080</v>
      </c>
      <c r="B1222" s="7" t="s">
        <v>55</v>
      </c>
      <c r="C1222" s="7"/>
      <c r="D1222" s="7"/>
      <c r="E1222" s="7"/>
      <c r="F1222" s="7"/>
      <c r="G1222" s="7"/>
      <c r="H1222" s="7"/>
      <c r="I1222" s="7"/>
      <c r="J1222" s="7">
        <v>2080</v>
      </c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</row>
    <row r="1223" spans="1:29" x14ac:dyDescent="0.25">
      <c r="A1223" s="23">
        <v>46080</v>
      </c>
      <c r="B1223" s="7" t="s">
        <v>35</v>
      </c>
      <c r="C1223" s="7"/>
      <c r="D1223" s="7"/>
      <c r="E1223" s="7"/>
      <c r="F1223" s="7">
        <v>1875</v>
      </c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</row>
    <row r="1224" spans="1:29" x14ac:dyDescent="0.25">
      <c r="A1224" s="23">
        <v>46080</v>
      </c>
      <c r="B1224" s="7" t="s">
        <v>34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>
        <v>375</v>
      </c>
      <c r="P1224" s="7"/>
      <c r="Q1224" s="7"/>
      <c r="R1224" s="7"/>
      <c r="S1224" s="7"/>
      <c r="T1224" s="7"/>
      <c r="U1224" s="7"/>
      <c r="V1224" s="7"/>
      <c r="W1224" s="7"/>
    </row>
    <row r="1225" spans="1:29" x14ac:dyDescent="0.25">
      <c r="A1225" s="23">
        <v>46080</v>
      </c>
      <c r="B1225" s="7" t="s">
        <v>86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>
        <v>25</v>
      </c>
      <c r="Q1225" s="7"/>
      <c r="R1225" s="7"/>
      <c r="S1225" s="7"/>
      <c r="T1225" s="7"/>
      <c r="U1225" s="7"/>
      <c r="V1225" s="7"/>
      <c r="W1225" s="7"/>
    </row>
    <row r="1226" spans="1:29" x14ac:dyDescent="0.25">
      <c r="A1226" s="23">
        <v>46080</v>
      </c>
      <c r="B1226" s="7" t="s">
        <v>93</v>
      </c>
      <c r="C1226" s="7"/>
      <c r="D1226" s="7"/>
      <c r="E1226" s="7"/>
      <c r="F1226" s="7"/>
      <c r="G1226" s="7"/>
      <c r="H1226" s="7"/>
      <c r="I1226" s="7">
        <v>11000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V1226" s="7"/>
      <c r="W1226" s="7"/>
    </row>
    <row r="1227" spans="1:29" x14ac:dyDescent="0.25">
      <c r="A1227" s="23">
        <v>46081</v>
      </c>
      <c r="B1227" s="7" t="s">
        <v>97</v>
      </c>
      <c r="C1227" s="7">
        <v>-3600</v>
      </c>
      <c r="D1227" s="7">
        <v>-1125</v>
      </c>
      <c r="E1227" s="7"/>
      <c r="F1227" s="7">
        <v>-225</v>
      </c>
      <c r="G1227" s="7">
        <v>-810</v>
      </c>
      <c r="H1227" s="7">
        <v>-1530</v>
      </c>
      <c r="I1227" s="7">
        <v>-990</v>
      </c>
      <c r="J1227" s="7">
        <v>-720</v>
      </c>
      <c r="K1227" s="7">
        <v>-9</v>
      </c>
      <c r="L1227" s="7">
        <v>-27</v>
      </c>
      <c r="M1227" s="7"/>
      <c r="N1227" s="7">
        <v>-4.5</v>
      </c>
      <c r="O1227" s="7"/>
      <c r="P1227" s="7"/>
      <c r="Q1227" s="7">
        <v>-1</v>
      </c>
      <c r="R1227" s="7">
        <v>-4.5</v>
      </c>
      <c r="S1227" s="7">
        <v>180</v>
      </c>
      <c r="T1227" s="7"/>
      <c r="V1227" s="7"/>
      <c r="W1227" s="7"/>
    </row>
    <row r="1228" spans="1:29" x14ac:dyDescent="0.25">
      <c r="A1228" s="23">
        <v>46081</v>
      </c>
      <c r="B1228" s="7" t="s">
        <v>124</v>
      </c>
      <c r="C1228" s="7">
        <v>-780</v>
      </c>
      <c r="D1228" s="7">
        <v>-360</v>
      </c>
      <c r="E1228" s="7"/>
      <c r="F1228" s="7">
        <v>-50</v>
      </c>
      <c r="G1228" s="7">
        <v>-200</v>
      </c>
      <c r="H1228" s="7">
        <v>-310</v>
      </c>
      <c r="I1228" s="7">
        <v>-80</v>
      </c>
      <c r="J1228" s="7">
        <v>-220</v>
      </c>
      <c r="K1228" s="7">
        <v>-2</v>
      </c>
      <c r="L1228" s="7">
        <v>-6</v>
      </c>
      <c r="M1228" s="7">
        <v>-1</v>
      </c>
      <c r="N1228" s="7">
        <v>-1</v>
      </c>
      <c r="O1228" s="7"/>
      <c r="P1228" s="7"/>
      <c r="Q1228" s="7"/>
      <c r="R1228" s="7"/>
      <c r="S1228" s="7"/>
      <c r="T1228" s="7">
        <v>40</v>
      </c>
      <c r="U1228" s="7"/>
      <c r="V1228" s="7"/>
      <c r="W1228" s="7"/>
      <c r="AC1228" s="4">
        <v>5</v>
      </c>
    </row>
    <row r="1229" spans="1:29" x14ac:dyDescent="0.25">
      <c r="A1229" s="23">
        <v>46081</v>
      </c>
      <c r="B1229" s="7" t="s">
        <v>33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>
        <v>-44</v>
      </c>
      <c r="T1229" s="7">
        <v>-31</v>
      </c>
      <c r="U1229" s="7">
        <v>-9</v>
      </c>
      <c r="V1229" s="7">
        <v>-1</v>
      </c>
      <c r="W1229" s="7"/>
      <c r="AC1229" s="4">
        <v>5</v>
      </c>
    </row>
    <row r="1230" spans="1:29" x14ac:dyDescent="0.25">
      <c r="A1230" s="23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V1230" s="7"/>
      <c r="W1230" s="7"/>
      <c r="AC1230" s="4">
        <v>5</v>
      </c>
    </row>
    <row r="1231" spans="1:29" x14ac:dyDescent="0.25">
      <c r="A1231" s="23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AC1231" s="4">
        <v>5</v>
      </c>
    </row>
    <row r="1232" spans="1:29" x14ac:dyDescent="0.25">
      <c r="A1232" s="23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AC1232" s="4">
        <v>6</v>
      </c>
    </row>
    <row r="1233" spans="1:29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AC1233" s="4">
        <v>6</v>
      </c>
    </row>
    <row r="1234" spans="1:29" x14ac:dyDescent="0.25">
      <c r="A1234" s="20"/>
      <c r="B1234" s="21" t="s">
        <v>25</v>
      </c>
      <c r="C1234" s="22">
        <f t="shared" ref="C1234:V1234" si="37">SUM(C1149:C1233)</f>
        <v>20803</v>
      </c>
      <c r="D1234" s="22">
        <f t="shared" si="37"/>
        <v>2920</v>
      </c>
      <c r="E1234" s="22">
        <f t="shared" si="37"/>
        <v>810</v>
      </c>
      <c r="F1234" s="22">
        <f t="shared" si="37"/>
        <v>1875</v>
      </c>
      <c r="G1234" s="22">
        <f t="shared" si="37"/>
        <v>5356</v>
      </c>
      <c r="H1234" s="22">
        <f t="shared" si="37"/>
        <v>3090</v>
      </c>
      <c r="I1234" s="22">
        <f t="shared" si="37"/>
        <v>11300</v>
      </c>
      <c r="J1234" s="22">
        <f t="shared" si="37"/>
        <v>1990</v>
      </c>
      <c r="K1234" s="22">
        <f t="shared" si="37"/>
        <v>138.4</v>
      </c>
      <c r="L1234" s="22">
        <f t="shared" si="37"/>
        <v>179</v>
      </c>
      <c r="M1234" s="22">
        <f t="shared" si="37"/>
        <v>0.5</v>
      </c>
      <c r="N1234" s="22">
        <f t="shared" si="37"/>
        <v>37</v>
      </c>
      <c r="O1234" s="22">
        <f t="shared" si="37"/>
        <v>475</v>
      </c>
      <c r="P1234" s="22">
        <f t="shared" si="37"/>
        <v>25</v>
      </c>
      <c r="Q1234" s="22">
        <f t="shared" si="37"/>
        <v>0</v>
      </c>
      <c r="R1234" s="22">
        <f t="shared" si="37"/>
        <v>-0.5</v>
      </c>
      <c r="S1234" s="22">
        <f t="shared" si="37"/>
        <v>164</v>
      </c>
      <c r="T1234" s="22">
        <f t="shared" si="37"/>
        <v>32</v>
      </c>
      <c r="U1234" s="22">
        <f t="shared" si="37"/>
        <v>0</v>
      </c>
      <c r="V1234" s="22">
        <f t="shared" si="37"/>
        <v>31</v>
      </c>
      <c r="W1234" s="7"/>
      <c r="AC1234" s="4">
        <v>6</v>
      </c>
    </row>
    <row r="1235" spans="1:29" x14ac:dyDescent="0.25">
      <c r="A1235" s="17"/>
      <c r="B1235" s="17" t="s">
        <v>28</v>
      </c>
      <c r="C1235" s="17">
        <v>1484</v>
      </c>
      <c r="D1235" s="17">
        <v>554</v>
      </c>
      <c r="E1235" s="17">
        <v>0</v>
      </c>
      <c r="F1235" s="17">
        <v>93.75</v>
      </c>
      <c r="G1235" s="17">
        <v>353</v>
      </c>
      <c r="H1235" s="17">
        <v>614.25</v>
      </c>
      <c r="I1235" s="17">
        <v>304</v>
      </c>
      <c r="J1235" s="17">
        <v>346.5</v>
      </c>
      <c r="K1235" s="17">
        <v>3.75</v>
      </c>
      <c r="L1235" s="17">
        <v>11.1</v>
      </c>
      <c r="M1235" s="17">
        <v>0.78</v>
      </c>
      <c r="N1235" s="17">
        <v>1.88</v>
      </c>
      <c r="O1235" s="17">
        <v>0</v>
      </c>
      <c r="P1235" s="17">
        <v>0</v>
      </c>
      <c r="Q1235" s="17">
        <v>1.1000000000000001</v>
      </c>
      <c r="R1235" s="17">
        <v>1.1000000000000001</v>
      </c>
      <c r="S1235" s="17">
        <v>44</v>
      </c>
      <c r="T1235" s="17">
        <v>30</v>
      </c>
      <c r="U1235" s="21"/>
      <c r="V1235" s="21"/>
      <c r="W1235" s="7"/>
      <c r="AC1235" s="4">
        <v>6</v>
      </c>
    </row>
    <row r="1236" spans="1:29" x14ac:dyDescent="0.25">
      <c r="A1236" s="17"/>
      <c r="B1236" s="17" t="s">
        <v>26</v>
      </c>
      <c r="C1236" s="18">
        <f>C1234/C1235</f>
        <v>14.018194070080863</v>
      </c>
      <c r="D1236" s="18">
        <f t="shared" ref="D1236:S1236" si="38">D1234/D1235</f>
        <v>5.2707581227436826</v>
      </c>
      <c r="E1236" s="18" t="e">
        <f t="shared" si="38"/>
        <v>#DIV/0!</v>
      </c>
      <c r="F1236" s="18">
        <f t="shared" si="38"/>
        <v>20</v>
      </c>
      <c r="G1236" s="18">
        <f t="shared" si="38"/>
        <v>15.172804532577903</v>
      </c>
      <c r="H1236" s="18">
        <f t="shared" si="38"/>
        <v>5.0305250305250304</v>
      </c>
      <c r="I1236" s="18">
        <f t="shared" si="38"/>
        <v>37.171052631578945</v>
      </c>
      <c r="J1236" s="18">
        <f t="shared" si="38"/>
        <v>5.7431457431457433</v>
      </c>
      <c r="K1236" s="18">
        <f t="shared" si="38"/>
        <v>36.906666666666666</v>
      </c>
      <c r="L1236" s="18">
        <f t="shared" si="38"/>
        <v>16.126126126126128</v>
      </c>
      <c r="M1236" s="18">
        <f t="shared" si="38"/>
        <v>0.64102564102564097</v>
      </c>
      <c r="N1236" s="18">
        <f t="shared" si="38"/>
        <v>19.680851063829788</v>
      </c>
      <c r="O1236" s="18" t="e">
        <f t="shared" si="38"/>
        <v>#DIV/0!</v>
      </c>
      <c r="P1236" s="18" t="e">
        <f t="shared" si="38"/>
        <v>#DIV/0!</v>
      </c>
      <c r="Q1236" s="18">
        <f t="shared" si="38"/>
        <v>0</v>
      </c>
      <c r="R1236" s="18">
        <f t="shared" si="38"/>
        <v>-0.45454545454545453</v>
      </c>
      <c r="S1236" s="18">
        <f t="shared" si="38"/>
        <v>3.7272727272727271</v>
      </c>
      <c r="T1236" s="18">
        <f t="shared" ref="T1236" si="39">T1234/T1235</f>
        <v>1.0666666666666667</v>
      </c>
      <c r="U1236" s="21"/>
      <c r="V1236" s="21"/>
      <c r="W1236" s="7"/>
      <c r="AC1236" s="4">
        <v>8</v>
      </c>
    </row>
    <row r="1237" spans="1:29" x14ac:dyDescent="0.25">
      <c r="A1237" s="21"/>
      <c r="B1237" s="21" t="s">
        <v>233</v>
      </c>
      <c r="C1237" s="21">
        <f>C1235*28</f>
        <v>41552</v>
      </c>
      <c r="D1237" s="21">
        <f>D1235*28</f>
        <v>15512</v>
      </c>
      <c r="E1237" s="21">
        <f t="shared" ref="E1237:T1237" si="40">E1235*28</f>
        <v>0</v>
      </c>
      <c r="F1237" s="21">
        <f t="shared" si="40"/>
        <v>2625</v>
      </c>
      <c r="G1237" s="21">
        <f t="shared" si="40"/>
        <v>9884</v>
      </c>
      <c r="H1237" s="21">
        <f t="shared" si="40"/>
        <v>17199</v>
      </c>
      <c r="I1237" s="21">
        <f t="shared" si="40"/>
        <v>8512</v>
      </c>
      <c r="J1237" s="21">
        <f t="shared" si="40"/>
        <v>9702</v>
      </c>
      <c r="K1237" s="21">
        <f t="shared" si="40"/>
        <v>105</v>
      </c>
      <c r="L1237" s="21">
        <f t="shared" si="40"/>
        <v>310.8</v>
      </c>
      <c r="M1237" s="21">
        <f t="shared" si="40"/>
        <v>21.84</v>
      </c>
      <c r="N1237" s="21">
        <f t="shared" si="40"/>
        <v>52.64</v>
      </c>
      <c r="O1237" s="21">
        <f t="shared" si="40"/>
        <v>0</v>
      </c>
      <c r="P1237" s="21">
        <f t="shared" si="40"/>
        <v>0</v>
      </c>
      <c r="Q1237" s="21">
        <f t="shared" si="40"/>
        <v>30.800000000000004</v>
      </c>
      <c r="R1237" s="21">
        <f t="shared" si="40"/>
        <v>30.800000000000004</v>
      </c>
      <c r="S1237" s="21">
        <f t="shared" si="40"/>
        <v>1232</v>
      </c>
      <c r="T1237" s="21">
        <f t="shared" si="40"/>
        <v>840</v>
      </c>
      <c r="U1237" s="21"/>
      <c r="V1237" s="21"/>
      <c r="W1237" s="7"/>
      <c r="AC1237" s="4">
        <v>8</v>
      </c>
    </row>
    <row r="1238" spans="1:29" x14ac:dyDescent="0.25">
      <c r="AC1238" s="4">
        <v>8</v>
      </c>
    </row>
    <row r="1239" spans="1:29" x14ac:dyDescent="0.25">
      <c r="AC1239" s="4">
        <v>8</v>
      </c>
    </row>
    <row r="1240" spans="1:29" ht="26" x14ac:dyDescent="0.6">
      <c r="I1240" s="34">
        <v>46082</v>
      </c>
    </row>
    <row r="1241" spans="1:29" x14ac:dyDescent="0.25">
      <c r="A1241" s="28"/>
      <c r="B1241" s="28"/>
      <c r="C1241" s="28"/>
      <c r="D1241" s="28"/>
      <c r="E1241" s="28"/>
      <c r="F1241" s="7"/>
      <c r="G1241" s="7"/>
      <c r="H1241" s="7"/>
      <c r="I1241" s="7" t="s">
        <v>231</v>
      </c>
      <c r="J1241" s="7"/>
      <c r="K1241" s="7"/>
      <c r="L1241" s="7"/>
      <c r="M1241" s="7"/>
      <c r="N1241" s="7"/>
      <c r="O1241" s="28"/>
      <c r="P1241" s="28"/>
      <c r="Q1241" s="28"/>
      <c r="R1241" s="28"/>
      <c r="S1241" s="28"/>
      <c r="T1241" s="28"/>
      <c r="U1241" s="7"/>
      <c r="V1241" s="7"/>
      <c r="W1241" s="7"/>
    </row>
    <row r="1242" spans="1:29" x14ac:dyDescent="0.25">
      <c r="A1242" s="28"/>
      <c r="B1242" s="28"/>
      <c r="C1242" s="28"/>
      <c r="D1242" s="28"/>
      <c r="E1242" s="28"/>
      <c r="F1242" s="7"/>
      <c r="G1242" s="7"/>
      <c r="H1242" s="7"/>
      <c r="I1242" s="7"/>
      <c r="J1242" s="7"/>
      <c r="K1242" s="7"/>
      <c r="L1242" s="7"/>
      <c r="M1242" s="7"/>
      <c r="N1242" s="7"/>
      <c r="O1242" s="28"/>
      <c r="P1242" s="28"/>
      <c r="Q1242" s="28"/>
      <c r="R1242" s="28"/>
      <c r="S1242" s="28"/>
      <c r="T1242" s="28"/>
      <c r="U1242" s="7"/>
      <c r="V1242" s="7"/>
      <c r="W1242" s="7"/>
    </row>
    <row r="1243" spans="1:29" x14ac:dyDescent="0.25">
      <c r="A1243" s="3">
        <v>46082</v>
      </c>
      <c r="B1243" s="9" t="s">
        <v>0</v>
      </c>
      <c r="C1243" s="10">
        <v>20412</v>
      </c>
      <c r="D1243" s="9">
        <v>2855</v>
      </c>
      <c r="E1243" s="7">
        <v>810</v>
      </c>
      <c r="F1243" s="9">
        <v>1875</v>
      </c>
      <c r="G1243" s="9">
        <v>5450</v>
      </c>
      <c r="H1243" s="9">
        <v>3100</v>
      </c>
      <c r="I1243" s="9">
        <v>11250</v>
      </c>
      <c r="J1243" s="9">
        <v>1930</v>
      </c>
      <c r="K1243" s="9">
        <v>137.80000000000001</v>
      </c>
      <c r="L1243" s="9">
        <v>173.6</v>
      </c>
      <c r="M1243" s="9">
        <v>0</v>
      </c>
      <c r="N1243" s="9">
        <v>35</v>
      </c>
      <c r="O1243" s="9">
        <v>475</v>
      </c>
      <c r="P1243" s="9">
        <v>25</v>
      </c>
      <c r="Q1243" s="9">
        <v>0</v>
      </c>
      <c r="R1243" s="9">
        <v>0</v>
      </c>
      <c r="S1243" s="9">
        <v>164</v>
      </c>
      <c r="T1243" s="9">
        <v>31</v>
      </c>
      <c r="U1243" s="40">
        <v>0</v>
      </c>
      <c r="V1243" s="40">
        <v>31</v>
      </c>
      <c r="W1243" s="40"/>
    </row>
    <row r="1244" spans="1:29" x14ac:dyDescent="0.25">
      <c r="A1244" s="23">
        <v>46082</v>
      </c>
      <c r="B1244" s="7" t="s">
        <v>33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>
        <v>-44</v>
      </c>
      <c r="T1244" s="7">
        <v>-31</v>
      </c>
      <c r="U1244" s="7">
        <v>0</v>
      </c>
      <c r="V1244" s="7">
        <v>-10</v>
      </c>
      <c r="W1244" s="7"/>
      <c r="AC1244" s="4">
        <v>5</v>
      </c>
    </row>
    <row r="1245" spans="1:29" x14ac:dyDescent="0.25">
      <c r="A1245" s="23">
        <v>46083</v>
      </c>
      <c r="B1245" s="7" t="s">
        <v>252</v>
      </c>
      <c r="C1245" s="7">
        <v>-2730</v>
      </c>
      <c r="D1245" s="7">
        <v>-1260</v>
      </c>
      <c r="E1245" s="7"/>
      <c r="F1245" s="7">
        <v>-175</v>
      </c>
      <c r="G1245" s="7">
        <v>-700</v>
      </c>
      <c r="H1245" s="7">
        <v>-1085</v>
      </c>
      <c r="I1245" s="7">
        <v>-280</v>
      </c>
      <c r="J1245" s="7">
        <v>-770</v>
      </c>
      <c r="K1245" s="7">
        <v>-7</v>
      </c>
      <c r="L1245" s="7">
        <v>-21</v>
      </c>
      <c r="M1245" s="7"/>
      <c r="N1245" s="7">
        <v>-3.5</v>
      </c>
      <c r="O1245" s="7"/>
      <c r="P1245" s="7"/>
      <c r="Q1245" s="7"/>
      <c r="R1245" s="7"/>
      <c r="S1245" s="7"/>
      <c r="T1245" s="7">
        <v>140</v>
      </c>
      <c r="U1245" s="7"/>
      <c r="V1245" s="7"/>
      <c r="W1245" s="7"/>
      <c r="X1245" s="4">
        <v>7</v>
      </c>
      <c r="AC1245" s="4">
        <v>5</v>
      </c>
    </row>
    <row r="1246" spans="1:29" x14ac:dyDescent="0.25">
      <c r="A1246" s="23">
        <v>46083</v>
      </c>
      <c r="B1246" s="7" t="s">
        <v>33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>
        <v>-44</v>
      </c>
      <c r="T1246" s="7">
        <v>-31</v>
      </c>
      <c r="U1246" s="7">
        <v>0</v>
      </c>
      <c r="V1246" s="7">
        <v>-10</v>
      </c>
      <c r="W1246" s="7"/>
    </row>
    <row r="1247" spans="1:29" x14ac:dyDescent="0.25">
      <c r="A1247" s="23">
        <v>46084</v>
      </c>
      <c r="B1247" s="7" t="s">
        <v>33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>
        <v>-44</v>
      </c>
      <c r="T1247" s="7">
        <v>-31</v>
      </c>
      <c r="U1247" s="7">
        <v>0</v>
      </c>
      <c r="V1247" s="7">
        <v>-10</v>
      </c>
      <c r="W1247" s="7"/>
    </row>
    <row r="1248" spans="1:29" x14ac:dyDescent="0.25">
      <c r="A1248" s="23">
        <v>46084</v>
      </c>
      <c r="B1248" s="7" t="s">
        <v>118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>
        <v>40</v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</row>
    <row r="1249" spans="1:25" x14ac:dyDescent="0.25">
      <c r="A1249" s="23">
        <v>46084</v>
      </c>
      <c r="B1249" s="7" t="s">
        <v>256</v>
      </c>
      <c r="C1249" s="7">
        <v>-520</v>
      </c>
      <c r="D1249" s="7">
        <v>-130</v>
      </c>
      <c r="E1249" s="7"/>
      <c r="F1249" s="7"/>
      <c r="G1249" s="7">
        <v>-10</v>
      </c>
      <c r="H1249" s="7">
        <v>-310</v>
      </c>
      <c r="I1249" s="7"/>
      <c r="J1249" s="7">
        <v>-30</v>
      </c>
      <c r="K1249" s="7"/>
      <c r="L1249" s="7"/>
      <c r="M1249" s="7">
        <v>-0.3</v>
      </c>
      <c r="N1249" s="7"/>
      <c r="O1249" s="7">
        <v>-27.5</v>
      </c>
      <c r="P1249" s="7"/>
      <c r="Q1249" s="7"/>
      <c r="R1249" s="7"/>
      <c r="S1249" s="7"/>
      <c r="T1249" s="7"/>
      <c r="U1249" s="7"/>
      <c r="V1249" s="7">
        <v>20</v>
      </c>
      <c r="W1249" s="7"/>
      <c r="X1249" s="7"/>
      <c r="Y1249" s="4">
        <v>1</v>
      </c>
    </row>
    <row r="1250" spans="1:25" x14ac:dyDescent="0.25">
      <c r="A1250" s="23">
        <v>46085</v>
      </c>
      <c r="B1250" s="7" t="s">
        <v>254</v>
      </c>
      <c r="C1250" s="7">
        <v>4045</v>
      </c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</row>
    <row r="1251" spans="1:25" x14ac:dyDescent="0.25">
      <c r="A1251" s="23">
        <v>46085</v>
      </c>
      <c r="B1251" s="7" t="s">
        <v>33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>
        <v>-44</v>
      </c>
      <c r="T1251" s="7">
        <v>-31</v>
      </c>
      <c r="U1251" s="7">
        <v>0</v>
      </c>
      <c r="V1251" s="7">
        <v>-10</v>
      </c>
      <c r="W1251" s="7"/>
    </row>
    <row r="1252" spans="1:25" x14ac:dyDescent="0.25">
      <c r="A1252" s="23">
        <v>46085</v>
      </c>
      <c r="B1252" s="7" t="s">
        <v>253</v>
      </c>
      <c r="C1252" s="7">
        <v>-1040</v>
      </c>
      <c r="D1252" s="7">
        <v>-260</v>
      </c>
      <c r="E1252" s="7"/>
      <c r="F1252" s="7"/>
      <c r="G1252" s="7">
        <v>-20</v>
      </c>
      <c r="H1252" s="7">
        <v>-620</v>
      </c>
      <c r="I1252" s="7"/>
      <c r="J1252" s="7">
        <v>-60</v>
      </c>
      <c r="K1252" s="7"/>
      <c r="L1252" s="7"/>
      <c r="M1252" s="7">
        <v>-0.6</v>
      </c>
      <c r="N1252" s="7"/>
      <c r="O1252" s="7">
        <v>-55</v>
      </c>
      <c r="P1252" s="7"/>
      <c r="Q1252" s="7"/>
      <c r="R1252" s="7"/>
      <c r="S1252" s="7"/>
      <c r="T1252" s="7"/>
      <c r="U1252" s="7"/>
      <c r="V1252" s="7">
        <v>40</v>
      </c>
      <c r="W1252" s="7"/>
      <c r="Y1252" s="4">
        <v>2</v>
      </c>
    </row>
    <row r="1253" spans="1:25" x14ac:dyDescent="0.25">
      <c r="A1253" s="23">
        <v>46085</v>
      </c>
      <c r="B1253" s="7" t="s">
        <v>17</v>
      </c>
      <c r="C1253" s="7"/>
      <c r="D1253" s="7">
        <v>50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</row>
    <row r="1254" spans="1:25" x14ac:dyDescent="0.25">
      <c r="A1254" s="23">
        <v>46085</v>
      </c>
      <c r="B1254" s="7" t="s">
        <v>81</v>
      </c>
      <c r="C1254" s="7">
        <v>-1200</v>
      </c>
      <c r="D1254" s="7">
        <v>-375</v>
      </c>
      <c r="E1254" s="7"/>
      <c r="F1254" s="7">
        <v>-75</v>
      </c>
      <c r="G1254" s="7">
        <v>-270</v>
      </c>
      <c r="H1254" s="7">
        <v>-510</v>
      </c>
      <c r="I1254" s="7">
        <v>-330</v>
      </c>
      <c r="J1254" s="7">
        <v>-240</v>
      </c>
      <c r="K1254" s="7">
        <v>-3</v>
      </c>
      <c r="L1254" s="7">
        <v>-9</v>
      </c>
      <c r="M1254" s="7"/>
      <c r="N1254" s="7">
        <v>-1.5</v>
      </c>
      <c r="O1254" s="7"/>
      <c r="P1254" s="7"/>
      <c r="Q1254" s="7"/>
      <c r="R1254" s="7"/>
      <c r="S1254" s="7">
        <v>60</v>
      </c>
      <c r="T1254" s="7"/>
      <c r="U1254" s="7"/>
      <c r="V1254" s="7"/>
      <c r="W1254" s="7">
        <v>3</v>
      </c>
    </row>
    <row r="1255" spans="1:25" x14ac:dyDescent="0.25">
      <c r="A1255" s="23">
        <v>46086</v>
      </c>
      <c r="B1255" s="7" t="s">
        <v>33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>
        <v>-44</v>
      </c>
      <c r="T1255" s="7">
        <v>-31</v>
      </c>
      <c r="U1255" s="7">
        <v>0</v>
      </c>
      <c r="V1255" s="7">
        <v>-10</v>
      </c>
      <c r="W1255" s="7"/>
    </row>
    <row r="1256" spans="1:25" x14ac:dyDescent="0.25">
      <c r="A1256" s="23">
        <v>46086</v>
      </c>
      <c r="B1256" s="7" t="s">
        <v>1</v>
      </c>
      <c r="C1256" s="7">
        <v>-2000</v>
      </c>
      <c r="D1256" s="7">
        <v>-625</v>
      </c>
      <c r="E1256" s="7"/>
      <c r="F1256" s="7">
        <v>-125</v>
      </c>
      <c r="G1256" s="7">
        <v>-450</v>
      </c>
      <c r="H1256" s="7">
        <v>-850</v>
      </c>
      <c r="I1256" s="7">
        <v>-550</v>
      </c>
      <c r="J1256" s="7">
        <v>-400</v>
      </c>
      <c r="K1256" s="7">
        <v>-5</v>
      </c>
      <c r="L1256" s="7">
        <v>-15</v>
      </c>
      <c r="M1256" s="7"/>
      <c r="N1256" s="7">
        <v>-2.5</v>
      </c>
      <c r="O1256" s="7"/>
      <c r="P1256" s="7"/>
      <c r="Q1256" s="7"/>
      <c r="R1256" s="7"/>
      <c r="S1256" s="7">
        <v>100</v>
      </c>
      <c r="T1256" s="7"/>
      <c r="U1256" s="7"/>
      <c r="V1256" s="7"/>
      <c r="W1256" s="7">
        <v>5</v>
      </c>
    </row>
    <row r="1257" spans="1:25" x14ac:dyDescent="0.25">
      <c r="A1257" s="23">
        <v>46086</v>
      </c>
      <c r="B1257" s="7" t="s">
        <v>255</v>
      </c>
      <c r="C1257" s="7"/>
      <c r="D1257" s="7"/>
      <c r="E1257" s="7"/>
      <c r="F1257" s="7"/>
      <c r="G1257" s="7"/>
      <c r="H1257" s="7">
        <v>3900</v>
      </c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</row>
    <row r="1258" spans="1:25" x14ac:dyDescent="0.25">
      <c r="A1258" s="23">
        <v>46086</v>
      </c>
      <c r="B1258" s="7" t="s">
        <v>55</v>
      </c>
      <c r="C1258" s="7"/>
      <c r="D1258" s="7"/>
      <c r="E1258" s="7"/>
      <c r="F1258" s="7"/>
      <c r="G1258" s="7"/>
      <c r="H1258" s="7"/>
      <c r="I1258" s="7"/>
      <c r="J1258" s="7">
        <v>2560</v>
      </c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</row>
    <row r="1259" spans="1:25" x14ac:dyDescent="0.25">
      <c r="A1259" s="23">
        <v>46086</v>
      </c>
      <c r="B1259" s="7" t="s">
        <v>74</v>
      </c>
      <c r="C1259" s="7"/>
      <c r="D1259" s="7">
        <v>5850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</row>
    <row r="1260" spans="1:25" x14ac:dyDescent="0.25">
      <c r="A1260" s="23">
        <v>46086</v>
      </c>
      <c r="B1260" s="7" t="s">
        <v>205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>
        <v>20</v>
      </c>
      <c r="R1260" s="7"/>
      <c r="S1260" s="7"/>
      <c r="T1260" s="7"/>
      <c r="U1260" s="7"/>
      <c r="V1260" s="7"/>
      <c r="W1260" s="7"/>
    </row>
    <row r="1261" spans="1:25" x14ac:dyDescent="0.25">
      <c r="A1261" s="23">
        <v>46086</v>
      </c>
      <c r="B1261" s="7" t="s">
        <v>219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>
        <v>25</v>
      </c>
      <c r="S1261" s="7"/>
      <c r="T1261" s="7"/>
      <c r="U1261" s="7"/>
      <c r="V1261" s="7"/>
      <c r="W1261" s="7"/>
    </row>
    <row r="1262" spans="1:25" x14ac:dyDescent="0.25">
      <c r="A1262" s="23">
        <v>46086</v>
      </c>
      <c r="B1262" s="7" t="s">
        <v>126</v>
      </c>
      <c r="C1262" s="7">
        <v>-390</v>
      </c>
      <c r="D1262" s="7">
        <v>-180</v>
      </c>
      <c r="E1262" s="7"/>
      <c r="F1262" s="7">
        <v>-25</v>
      </c>
      <c r="G1262" s="7">
        <v>-100</v>
      </c>
      <c r="H1262" s="7">
        <v>-155</v>
      </c>
      <c r="I1262" s="7">
        <v>-40</v>
      </c>
      <c r="J1262" s="7">
        <v>-110</v>
      </c>
      <c r="K1262" s="7">
        <v>-1</v>
      </c>
      <c r="L1262" s="7">
        <v>-3</v>
      </c>
      <c r="M1262" s="7">
        <v>-0.5</v>
      </c>
      <c r="N1262" s="7">
        <v>-0.5</v>
      </c>
      <c r="O1262" s="7"/>
      <c r="P1262" s="7"/>
      <c r="Q1262" s="7"/>
      <c r="R1262" s="7"/>
      <c r="S1262" s="7"/>
      <c r="T1262" s="7">
        <v>20</v>
      </c>
      <c r="U1262" s="7"/>
      <c r="V1262" s="7"/>
      <c r="W1262" s="7"/>
      <c r="X1262" s="4">
        <v>1</v>
      </c>
    </row>
    <row r="1263" spans="1:25" x14ac:dyDescent="0.25">
      <c r="A1263" s="23">
        <v>46087</v>
      </c>
      <c r="B1263" s="7" t="s">
        <v>145</v>
      </c>
      <c r="C1263" s="7">
        <v>-4000</v>
      </c>
      <c r="D1263" s="7">
        <v>-1250</v>
      </c>
      <c r="E1263" s="7"/>
      <c r="F1263" s="7">
        <v>-250</v>
      </c>
      <c r="G1263" s="7">
        <v>-900</v>
      </c>
      <c r="H1263" s="7">
        <v>-1700</v>
      </c>
      <c r="I1263" s="7">
        <v>-1100</v>
      </c>
      <c r="J1263" s="7">
        <v>-800</v>
      </c>
      <c r="K1263" s="7">
        <v>-10</v>
      </c>
      <c r="L1263" s="7">
        <v>-30</v>
      </c>
      <c r="M1263" s="7"/>
      <c r="N1263" s="7">
        <v>-5</v>
      </c>
      <c r="O1263" s="7"/>
      <c r="P1263" s="7"/>
      <c r="Q1263" s="7">
        <v>-5</v>
      </c>
      <c r="R1263" s="7">
        <v>-5</v>
      </c>
      <c r="S1263" s="7">
        <v>200</v>
      </c>
      <c r="T1263" s="7"/>
      <c r="U1263" s="7"/>
      <c r="V1263" s="7"/>
      <c r="W1263" s="7">
        <v>10</v>
      </c>
    </row>
    <row r="1264" spans="1:25" x14ac:dyDescent="0.25">
      <c r="A1264" s="23">
        <v>46087</v>
      </c>
      <c r="B1264" s="7" t="s">
        <v>33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>
        <v>-44</v>
      </c>
      <c r="T1264" s="7">
        <v>-31</v>
      </c>
      <c r="U1264" s="7">
        <v>0</v>
      </c>
      <c r="V1264" s="7">
        <v>-10</v>
      </c>
      <c r="W1264" s="7"/>
    </row>
    <row r="1265" spans="1:29" x14ac:dyDescent="0.25">
      <c r="A1265" s="23">
        <v>46088</v>
      </c>
      <c r="B1265" s="7" t="s">
        <v>127</v>
      </c>
      <c r="C1265" s="7">
        <v>-2340</v>
      </c>
      <c r="D1265" s="7">
        <v>-1080</v>
      </c>
      <c r="E1265" s="7"/>
      <c r="F1265" s="7">
        <v>-150</v>
      </c>
      <c r="G1265" s="7">
        <v>-600</v>
      </c>
      <c r="H1265" s="7">
        <v>-930</v>
      </c>
      <c r="I1265" s="7">
        <v>-240</v>
      </c>
      <c r="J1265" s="7">
        <v>-660</v>
      </c>
      <c r="K1265" s="7">
        <v>-6</v>
      </c>
      <c r="L1265" s="7">
        <v>-18</v>
      </c>
      <c r="M1265" s="7">
        <v>-3</v>
      </c>
      <c r="N1265" s="7">
        <v>-3</v>
      </c>
      <c r="O1265" s="7"/>
      <c r="P1265" s="7"/>
      <c r="Q1265" s="7"/>
      <c r="R1265" s="7"/>
      <c r="S1265" s="7"/>
      <c r="T1265" s="7">
        <v>120</v>
      </c>
      <c r="U1265" s="7"/>
      <c r="V1265" s="7"/>
      <c r="W1265" s="7"/>
      <c r="X1265" s="4">
        <v>6</v>
      </c>
    </row>
    <row r="1266" spans="1:29" x14ac:dyDescent="0.25">
      <c r="A1266" s="23">
        <v>46088</v>
      </c>
      <c r="B1266" s="7" t="s">
        <v>33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>
        <v>-44</v>
      </c>
      <c r="T1266" s="7">
        <v>-31</v>
      </c>
      <c r="U1266" s="7">
        <v>0</v>
      </c>
      <c r="V1266" s="7">
        <v>-12</v>
      </c>
      <c r="W1266" s="7"/>
    </row>
    <row r="1267" spans="1:29" x14ac:dyDescent="0.25">
      <c r="A1267" s="23">
        <v>46089</v>
      </c>
      <c r="B1267" s="7" t="s">
        <v>33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>
        <v>-44</v>
      </c>
      <c r="T1267" s="7">
        <v>-31</v>
      </c>
      <c r="U1267" s="7">
        <v>0</v>
      </c>
      <c r="V1267" s="7">
        <v>-12</v>
      </c>
      <c r="W1267" s="7"/>
      <c r="X1267" s="7"/>
      <c r="AC1267" s="4">
        <v>6</v>
      </c>
    </row>
    <row r="1268" spans="1:29" x14ac:dyDescent="0.25">
      <c r="A1268" s="23">
        <v>46090</v>
      </c>
      <c r="B1268" s="7" t="s">
        <v>126</v>
      </c>
      <c r="C1268" s="7">
        <v>-390</v>
      </c>
      <c r="D1268" s="7">
        <v>-180</v>
      </c>
      <c r="E1268" s="7"/>
      <c r="F1268" s="7">
        <v>-25</v>
      </c>
      <c r="G1268" s="7">
        <v>-100</v>
      </c>
      <c r="H1268" s="7">
        <v>-155</v>
      </c>
      <c r="I1268" s="7">
        <v>-40</v>
      </c>
      <c r="J1268" s="7">
        <v>-110</v>
      </c>
      <c r="K1268" s="7">
        <v>-1</v>
      </c>
      <c r="L1268" s="7">
        <v>-3</v>
      </c>
      <c r="M1268" s="7">
        <v>-0.5</v>
      </c>
      <c r="N1268" s="7">
        <v>-0.5</v>
      </c>
      <c r="O1268" s="7"/>
      <c r="P1268" s="7"/>
      <c r="Q1268" s="7"/>
      <c r="R1268" s="7"/>
      <c r="S1268" s="7"/>
      <c r="T1268" s="7">
        <v>20</v>
      </c>
      <c r="U1268" s="7"/>
      <c r="V1268" s="7"/>
      <c r="W1268" s="7"/>
      <c r="X1268" s="7">
        <v>1</v>
      </c>
    </row>
    <row r="1269" spans="1:29" x14ac:dyDescent="0.25">
      <c r="A1269" s="23">
        <v>46090</v>
      </c>
      <c r="B1269" s="7" t="s">
        <v>253</v>
      </c>
      <c r="C1269" s="7">
        <v>-1040</v>
      </c>
      <c r="D1269" s="7">
        <v>-260</v>
      </c>
      <c r="E1269" s="7"/>
      <c r="F1269" s="7"/>
      <c r="G1269" s="7">
        <v>-20</v>
      </c>
      <c r="H1269" s="7">
        <v>-620</v>
      </c>
      <c r="I1269" s="7"/>
      <c r="J1269" s="7">
        <v>-60</v>
      </c>
      <c r="K1269" s="7"/>
      <c r="L1269" s="7"/>
      <c r="M1269" s="7">
        <v>-0.6</v>
      </c>
      <c r="N1269" s="7"/>
      <c r="O1269" s="7">
        <v>-55</v>
      </c>
      <c r="P1269" s="7">
        <v>-1</v>
      </c>
      <c r="Q1269" s="7"/>
      <c r="R1269" s="7"/>
      <c r="S1269" s="7"/>
      <c r="T1269" s="7"/>
      <c r="U1269" s="7"/>
      <c r="V1269" s="7">
        <v>40</v>
      </c>
      <c r="W1269" s="7"/>
      <c r="X1269" s="7"/>
      <c r="Y1269" s="4">
        <v>2</v>
      </c>
    </row>
    <row r="1270" spans="1:29" x14ac:dyDescent="0.25">
      <c r="A1270" s="23">
        <v>46090</v>
      </c>
      <c r="B1270" s="7" t="s">
        <v>33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>
        <v>-44</v>
      </c>
      <c r="T1270" s="7">
        <v>-31</v>
      </c>
      <c r="U1270" s="7">
        <v>0</v>
      </c>
      <c r="V1270" s="7">
        <v>-12</v>
      </c>
      <c r="W1270" s="7"/>
      <c r="X1270" s="7"/>
    </row>
    <row r="1271" spans="1:29" x14ac:dyDescent="0.25">
      <c r="A1271" s="23">
        <v>46090</v>
      </c>
      <c r="B1271" s="7" t="s">
        <v>17</v>
      </c>
      <c r="C1271" s="7"/>
      <c r="D1271" s="7">
        <v>100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 spans="1:29" x14ac:dyDescent="0.25">
      <c r="A1272" s="23">
        <v>46091</v>
      </c>
      <c r="B1272" s="7" t="s">
        <v>255</v>
      </c>
      <c r="C1272" s="7"/>
      <c r="D1272" s="7"/>
      <c r="E1272" s="7"/>
      <c r="F1272" s="7"/>
      <c r="G1272" s="7"/>
      <c r="H1272" s="7">
        <v>6000</v>
      </c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 spans="1:29" x14ac:dyDescent="0.25">
      <c r="A1273" s="23">
        <v>46091</v>
      </c>
      <c r="B1273" s="7" t="s">
        <v>55</v>
      </c>
      <c r="C1273" s="7"/>
      <c r="D1273" s="7"/>
      <c r="E1273" s="7"/>
      <c r="F1273" s="7"/>
      <c r="G1273" s="7"/>
      <c r="H1273" s="7"/>
      <c r="I1273" s="7"/>
      <c r="J1273" s="7">
        <v>2320</v>
      </c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 spans="1:29" x14ac:dyDescent="0.25">
      <c r="A1274" s="23">
        <v>46091</v>
      </c>
      <c r="B1274" s="7" t="s">
        <v>17</v>
      </c>
      <c r="C1274" s="7"/>
      <c r="D1274" s="7">
        <v>4000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 spans="1:29" x14ac:dyDescent="0.25">
      <c r="A1275" s="23">
        <v>46091</v>
      </c>
      <c r="B1275" s="7" t="s">
        <v>33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>
        <v>-44</v>
      </c>
      <c r="T1275" s="7">
        <v>-31</v>
      </c>
      <c r="U1275" s="7">
        <v>0</v>
      </c>
      <c r="V1275" s="7">
        <v>-12</v>
      </c>
      <c r="W1275" s="7"/>
      <c r="X1275" s="7"/>
    </row>
    <row r="1276" spans="1:29" x14ac:dyDescent="0.25">
      <c r="A1276" s="23">
        <v>46092</v>
      </c>
      <c r="B1276" s="7" t="s">
        <v>122</v>
      </c>
      <c r="C1276" s="7">
        <v>-1170</v>
      </c>
      <c r="D1276" s="7">
        <v>-540</v>
      </c>
      <c r="E1276" s="7"/>
      <c r="F1276" s="7">
        <v>-75</v>
      </c>
      <c r="G1276" s="7">
        <v>-300</v>
      </c>
      <c r="H1276" s="7">
        <v>-465</v>
      </c>
      <c r="I1276" s="7">
        <v>-120</v>
      </c>
      <c r="J1276" s="7">
        <v>-330</v>
      </c>
      <c r="K1276" s="7">
        <v>-3</v>
      </c>
      <c r="L1276" s="7">
        <v>-9</v>
      </c>
      <c r="M1276" s="7">
        <v>-1.5</v>
      </c>
      <c r="N1276" s="7">
        <v>-1.5</v>
      </c>
      <c r="O1276" s="7"/>
      <c r="P1276" s="7"/>
      <c r="Q1276" s="7"/>
      <c r="R1276" s="7"/>
      <c r="S1276" s="7"/>
      <c r="T1276" s="7">
        <v>60</v>
      </c>
      <c r="X1276" s="7">
        <v>3</v>
      </c>
    </row>
    <row r="1277" spans="1:29" x14ac:dyDescent="0.25">
      <c r="A1277" s="23">
        <v>46092</v>
      </c>
      <c r="B1277" s="7" t="s">
        <v>253</v>
      </c>
      <c r="C1277" s="7">
        <v>-1040</v>
      </c>
      <c r="D1277" s="7">
        <v>-260</v>
      </c>
      <c r="E1277" s="7"/>
      <c r="F1277" s="7"/>
      <c r="G1277" s="7">
        <v>-20</v>
      </c>
      <c r="H1277" s="7">
        <v>-620</v>
      </c>
      <c r="I1277" s="7"/>
      <c r="J1277" s="7">
        <v>-60</v>
      </c>
      <c r="K1277" s="7"/>
      <c r="L1277" s="7"/>
      <c r="M1277" s="7">
        <v>-0.6</v>
      </c>
      <c r="N1277" s="7"/>
      <c r="O1277" s="7">
        <v>-55</v>
      </c>
      <c r="P1277" s="7">
        <v>-2</v>
      </c>
      <c r="Q1277" s="7"/>
      <c r="R1277" s="7"/>
      <c r="S1277" s="7"/>
      <c r="T1277" s="7"/>
      <c r="U1277" s="7"/>
      <c r="V1277" s="7">
        <v>40</v>
      </c>
      <c r="W1277" s="7"/>
      <c r="X1277" s="7"/>
      <c r="Y1277" s="4">
        <v>2</v>
      </c>
    </row>
    <row r="1278" spans="1:29" x14ac:dyDescent="0.25">
      <c r="A1278" s="23">
        <v>46092</v>
      </c>
      <c r="B1278" s="7" t="s">
        <v>33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>
        <v>-44</v>
      </c>
      <c r="T1278" s="7">
        <v>-31</v>
      </c>
      <c r="U1278" s="7">
        <v>0</v>
      </c>
      <c r="V1278" s="7">
        <v>-12</v>
      </c>
      <c r="W1278" s="7"/>
      <c r="X1278" s="7"/>
    </row>
    <row r="1279" spans="1:29" x14ac:dyDescent="0.25">
      <c r="A1279" s="23">
        <v>46093</v>
      </c>
      <c r="B1279" s="7" t="s">
        <v>1</v>
      </c>
      <c r="C1279" s="7">
        <v>-2000</v>
      </c>
      <c r="D1279" s="7">
        <v>-625</v>
      </c>
      <c r="E1279" s="7"/>
      <c r="F1279" s="7">
        <v>-125</v>
      </c>
      <c r="G1279" s="7">
        <v>-450</v>
      </c>
      <c r="H1279" s="7">
        <v>-850</v>
      </c>
      <c r="I1279" s="7">
        <v>-550</v>
      </c>
      <c r="J1279" s="7">
        <v>-400</v>
      </c>
      <c r="K1279" s="7">
        <v>-5</v>
      </c>
      <c r="L1279" s="7">
        <v>-15</v>
      </c>
      <c r="M1279" s="7"/>
      <c r="N1279" s="7">
        <v>-2.5</v>
      </c>
      <c r="O1279" s="7"/>
      <c r="P1279" s="7"/>
      <c r="Q1279" s="7"/>
      <c r="R1279" s="7"/>
      <c r="S1279" s="7">
        <v>100</v>
      </c>
      <c r="T1279" s="7"/>
      <c r="U1279" s="7"/>
      <c r="V1279" s="7"/>
      <c r="W1279" s="7">
        <v>5</v>
      </c>
      <c r="X1279" s="7"/>
    </row>
    <row r="1280" spans="1:29" x14ac:dyDescent="0.25">
      <c r="A1280" s="23">
        <v>46093</v>
      </c>
      <c r="B1280" s="7" t="s">
        <v>37</v>
      </c>
      <c r="C1280" s="7">
        <v>11250</v>
      </c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 spans="1:25" x14ac:dyDescent="0.25">
      <c r="A1281" s="23">
        <v>46093</v>
      </c>
      <c r="B1281" s="7" t="s">
        <v>17</v>
      </c>
      <c r="C1281" s="7"/>
      <c r="D1281" s="7">
        <v>12000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 spans="1:25" x14ac:dyDescent="0.25">
      <c r="A1282" s="23">
        <v>46093</v>
      </c>
      <c r="B1282" s="7" t="s">
        <v>33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>
        <v>-44</v>
      </c>
      <c r="T1282" s="7">
        <v>-31</v>
      </c>
      <c r="U1282" s="7">
        <v>0</v>
      </c>
      <c r="V1282" s="7">
        <v>-12</v>
      </c>
      <c r="W1282" s="7"/>
      <c r="X1282" s="7"/>
    </row>
    <row r="1283" spans="1:25" x14ac:dyDescent="0.25">
      <c r="A1283" s="23">
        <v>46094</v>
      </c>
      <c r="B1283" s="7" t="s">
        <v>126</v>
      </c>
      <c r="C1283" s="7">
        <v>-390</v>
      </c>
      <c r="D1283" s="7">
        <v>-180</v>
      </c>
      <c r="E1283" s="7"/>
      <c r="F1283" s="7">
        <v>-25</v>
      </c>
      <c r="G1283" s="7">
        <v>-100</v>
      </c>
      <c r="H1283" s="7">
        <v>-155</v>
      </c>
      <c r="I1283" s="7">
        <v>-40</v>
      </c>
      <c r="J1283" s="7">
        <v>-110</v>
      </c>
      <c r="K1283" s="7">
        <v>-1</v>
      </c>
      <c r="L1283" s="7">
        <v>-3</v>
      </c>
      <c r="M1283" s="7">
        <v>-0.5</v>
      </c>
      <c r="N1283" s="7">
        <v>-0.5</v>
      </c>
      <c r="O1283" s="7"/>
      <c r="P1283" s="7"/>
      <c r="Q1283" s="7"/>
      <c r="R1283" s="7"/>
      <c r="S1283" s="7"/>
      <c r="T1283" s="7">
        <v>20</v>
      </c>
      <c r="U1283" s="7"/>
      <c r="V1283" s="7"/>
      <c r="W1283" s="7"/>
      <c r="X1283" s="7">
        <v>1</v>
      </c>
    </row>
    <row r="1284" spans="1:25" x14ac:dyDescent="0.25">
      <c r="A1284" s="23">
        <v>46094</v>
      </c>
      <c r="B1284" s="7" t="s">
        <v>33</v>
      </c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>
        <v>-44</v>
      </c>
      <c r="T1284" s="7">
        <v>-31</v>
      </c>
      <c r="U1284" s="7">
        <v>0</v>
      </c>
      <c r="V1284" s="7">
        <v>-12</v>
      </c>
      <c r="W1284" s="7"/>
      <c r="X1284" s="7"/>
    </row>
    <row r="1285" spans="1:25" x14ac:dyDescent="0.25">
      <c r="A1285" s="23">
        <v>46094</v>
      </c>
      <c r="B1285" s="7" t="s">
        <v>8</v>
      </c>
      <c r="C1285" s="7"/>
      <c r="D1285" s="7"/>
      <c r="E1285" s="7"/>
      <c r="F1285" s="7"/>
      <c r="G1285" s="7">
        <v>11000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 spans="1:25" x14ac:dyDescent="0.25">
      <c r="A1286" s="23">
        <v>46095</v>
      </c>
      <c r="B1286" s="7" t="s">
        <v>33</v>
      </c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>
        <v>-44</v>
      </c>
      <c r="T1286" s="7">
        <v>-31</v>
      </c>
      <c r="U1286" s="7">
        <v>0</v>
      </c>
      <c r="V1286" s="7">
        <v>-14</v>
      </c>
      <c r="W1286" s="7"/>
      <c r="X1286" s="7"/>
    </row>
    <row r="1287" spans="1:25" x14ac:dyDescent="0.25">
      <c r="A1287" s="23">
        <v>46095</v>
      </c>
      <c r="B1287" s="7" t="s">
        <v>122</v>
      </c>
      <c r="C1287" s="7">
        <v>-1170</v>
      </c>
      <c r="D1287" s="7">
        <v>-540</v>
      </c>
      <c r="E1287" s="7"/>
      <c r="F1287" s="7">
        <v>-75</v>
      </c>
      <c r="G1287" s="7">
        <v>-300</v>
      </c>
      <c r="H1287" s="7">
        <v>-465</v>
      </c>
      <c r="I1287" s="7">
        <v>-120</v>
      </c>
      <c r="J1287" s="7">
        <v>-330</v>
      </c>
      <c r="K1287" s="7">
        <v>-3</v>
      </c>
      <c r="L1287" s="7">
        <v>-9</v>
      </c>
      <c r="M1287" s="7">
        <v>-1.5</v>
      </c>
      <c r="N1287" s="7">
        <v>-1.5</v>
      </c>
      <c r="O1287" s="7"/>
      <c r="P1287" s="7"/>
      <c r="Q1287" s="7"/>
      <c r="R1287" s="7"/>
      <c r="S1287" s="7"/>
      <c r="T1287" s="7">
        <v>60</v>
      </c>
      <c r="W1287" s="7"/>
      <c r="X1287" s="7">
        <v>3</v>
      </c>
    </row>
    <row r="1288" spans="1:25" x14ac:dyDescent="0.25">
      <c r="A1288" s="23">
        <v>46095</v>
      </c>
      <c r="B1288" s="7" t="s">
        <v>69</v>
      </c>
      <c r="C1288" s="7">
        <v>-2400</v>
      </c>
      <c r="D1288" s="7">
        <v>-780</v>
      </c>
      <c r="E1288" s="7"/>
      <c r="F1288" s="7">
        <v>-150</v>
      </c>
      <c r="G1288" s="7">
        <v>-540</v>
      </c>
      <c r="H1288" s="7">
        <v>-1020</v>
      </c>
      <c r="I1288" s="7">
        <v>-660</v>
      </c>
      <c r="J1288" s="7">
        <v>-480</v>
      </c>
      <c r="K1288" s="7">
        <v>-6</v>
      </c>
      <c r="L1288" s="7">
        <v>-18</v>
      </c>
      <c r="M1288" s="7"/>
      <c r="N1288" s="7">
        <v>-3</v>
      </c>
      <c r="O1288" s="7"/>
      <c r="P1288" s="7"/>
      <c r="Q1288" s="7">
        <v>-3</v>
      </c>
      <c r="R1288" s="7">
        <v>-3</v>
      </c>
      <c r="S1288" s="7">
        <v>120</v>
      </c>
      <c r="T1288" s="7"/>
      <c r="U1288" s="7"/>
      <c r="V1288" s="7"/>
      <c r="W1288" s="7">
        <v>6</v>
      </c>
      <c r="X1288" s="7"/>
    </row>
    <row r="1289" spans="1:25" x14ac:dyDescent="0.25">
      <c r="A1289" s="23">
        <v>46096</v>
      </c>
      <c r="B1289" s="7" t="s">
        <v>253</v>
      </c>
      <c r="C1289" s="7">
        <v>-1040</v>
      </c>
      <c r="D1289" s="7">
        <v>-260</v>
      </c>
      <c r="E1289" s="7"/>
      <c r="F1289" s="7"/>
      <c r="G1289" s="7">
        <v>-20</v>
      </c>
      <c r="H1289" s="7">
        <v>-620</v>
      </c>
      <c r="I1289" s="7"/>
      <c r="J1289" s="7">
        <v>-60</v>
      </c>
      <c r="K1289" s="7"/>
      <c r="L1289" s="7"/>
      <c r="M1289" s="7">
        <v>-0.6</v>
      </c>
      <c r="N1289" s="7"/>
      <c r="O1289" s="7">
        <v>-55</v>
      </c>
      <c r="P1289" s="7">
        <v>-2</v>
      </c>
      <c r="Q1289" s="7"/>
      <c r="R1289" s="7"/>
      <c r="S1289" s="7"/>
      <c r="T1289" s="7"/>
      <c r="U1289" s="7"/>
      <c r="V1289" s="7">
        <v>40</v>
      </c>
      <c r="W1289" s="7"/>
      <c r="X1289" s="7"/>
      <c r="Y1289" s="4">
        <v>2</v>
      </c>
    </row>
    <row r="1290" spans="1:25" x14ac:dyDescent="0.25">
      <c r="A1290" s="23">
        <v>46096</v>
      </c>
      <c r="B1290" s="7" t="s">
        <v>33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>
        <v>-44</v>
      </c>
      <c r="T1290" s="7">
        <v>-31</v>
      </c>
      <c r="U1290" s="7">
        <v>0</v>
      </c>
      <c r="V1290" s="7">
        <v>-14</v>
      </c>
      <c r="W1290" s="7"/>
      <c r="X1290" s="7"/>
    </row>
    <row r="1291" spans="1:25" x14ac:dyDescent="0.25">
      <c r="A1291" s="23">
        <v>46097</v>
      </c>
      <c r="B1291" s="7" t="s">
        <v>33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>
        <v>-44</v>
      </c>
      <c r="T1291" s="7">
        <v>-31</v>
      </c>
      <c r="U1291" s="7">
        <v>0</v>
      </c>
      <c r="V1291" s="7">
        <v>-14</v>
      </c>
      <c r="W1291" s="7"/>
      <c r="X1291" s="7"/>
    </row>
    <row r="1292" spans="1:25" x14ac:dyDescent="0.25">
      <c r="A1292" s="23">
        <v>46097</v>
      </c>
      <c r="B1292" s="7" t="s">
        <v>258</v>
      </c>
      <c r="C1292" s="7">
        <v>726</v>
      </c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 spans="1:25" x14ac:dyDescent="0.25">
      <c r="A1293" s="23">
        <v>46097</v>
      </c>
      <c r="B1293" s="7" t="s">
        <v>146</v>
      </c>
      <c r="C1293" s="7">
        <v>-1950</v>
      </c>
      <c r="D1293" s="7">
        <v>-900</v>
      </c>
      <c r="E1293" s="7"/>
      <c r="F1293" s="7">
        <v>-125</v>
      </c>
      <c r="G1293" s="7">
        <v>-500</v>
      </c>
      <c r="H1293" s="7">
        <v>-775</v>
      </c>
      <c r="I1293" s="7">
        <v>-200</v>
      </c>
      <c r="J1293" s="7">
        <v>-550</v>
      </c>
      <c r="K1293" s="7">
        <v>-10</v>
      </c>
      <c r="L1293" s="7">
        <v>-15</v>
      </c>
      <c r="M1293" s="7">
        <v>-2.5</v>
      </c>
      <c r="N1293" s="7">
        <v>-2.5</v>
      </c>
      <c r="O1293" s="7"/>
      <c r="P1293" s="7"/>
      <c r="Q1293" s="7"/>
      <c r="R1293" s="7"/>
      <c r="S1293" s="7"/>
      <c r="T1293" s="7">
        <v>100</v>
      </c>
      <c r="U1293" s="7"/>
      <c r="V1293" s="7"/>
      <c r="W1293" s="7"/>
      <c r="X1293" s="4">
        <v>5</v>
      </c>
    </row>
    <row r="1294" spans="1:25" x14ac:dyDescent="0.25">
      <c r="A1294" s="23">
        <v>46098</v>
      </c>
      <c r="B1294" s="7" t="s">
        <v>253</v>
      </c>
      <c r="C1294" s="7">
        <v>-1040</v>
      </c>
      <c r="D1294" s="7">
        <v>-260</v>
      </c>
      <c r="E1294" s="7"/>
      <c r="F1294" s="7"/>
      <c r="G1294" s="7">
        <v>-20</v>
      </c>
      <c r="H1294" s="7">
        <v>-620</v>
      </c>
      <c r="I1294" s="7"/>
      <c r="J1294" s="7">
        <v>-60</v>
      </c>
      <c r="K1294" s="7"/>
      <c r="L1294" s="7"/>
      <c r="M1294" s="7">
        <v>-0.6</v>
      </c>
      <c r="N1294" s="7"/>
      <c r="O1294" s="7">
        <v>-55</v>
      </c>
      <c r="P1294" s="7">
        <v>-2</v>
      </c>
      <c r="Q1294" s="7"/>
      <c r="R1294" s="7"/>
      <c r="S1294" s="7"/>
      <c r="T1294" s="7"/>
      <c r="U1294" s="7"/>
      <c r="V1294" s="7">
        <v>40</v>
      </c>
      <c r="W1294" s="7"/>
      <c r="X1294" s="7"/>
      <c r="Y1294" s="4">
        <v>2</v>
      </c>
    </row>
    <row r="1295" spans="1:25" x14ac:dyDescent="0.25">
      <c r="A1295" s="23">
        <v>46098</v>
      </c>
      <c r="B1295" s="7" t="s">
        <v>59</v>
      </c>
      <c r="C1295" s="7">
        <v>-800</v>
      </c>
      <c r="D1295" s="7">
        <v>-250</v>
      </c>
      <c r="E1295" s="7"/>
      <c r="F1295" s="7">
        <v>-50</v>
      </c>
      <c r="G1295" s="7">
        <v>-180</v>
      </c>
      <c r="H1295" s="7">
        <v>-340</v>
      </c>
      <c r="I1295" s="7">
        <v>-220</v>
      </c>
      <c r="J1295" s="7">
        <v>-160</v>
      </c>
      <c r="K1295" s="7">
        <v>-2</v>
      </c>
      <c r="L1295" s="7">
        <v>-6</v>
      </c>
      <c r="M1295" s="7"/>
      <c r="N1295" s="7">
        <v>-1</v>
      </c>
      <c r="O1295" s="7"/>
      <c r="P1295" s="7"/>
      <c r="Q1295" s="7">
        <v>-1</v>
      </c>
      <c r="R1295" s="7">
        <v>-1</v>
      </c>
      <c r="S1295" s="7">
        <v>40</v>
      </c>
      <c r="T1295" s="7"/>
      <c r="U1295" s="7"/>
      <c r="V1295" s="7"/>
      <c r="W1295" s="7">
        <v>2</v>
      </c>
    </row>
    <row r="1296" spans="1:25" x14ac:dyDescent="0.25">
      <c r="A1296" s="23">
        <v>46098</v>
      </c>
      <c r="B1296" s="7" t="s">
        <v>33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>
        <v>-44</v>
      </c>
      <c r="T1296" s="7">
        <v>-31</v>
      </c>
      <c r="U1296" s="7">
        <v>0</v>
      </c>
      <c r="V1296" s="7">
        <v>-14</v>
      </c>
      <c r="W1296" s="7"/>
    </row>
    <row r="1297" spans="1:25" x14ac:dyDescent="0.25">
      <c r="A1297" s="23">
        <v>46099</v>
      </c>
      <c r="B1297" s="7" t="s">
        <v>255</v>
      </c>
      <c r="C1297" s="7"/>
      <c r="D1297" s="7"/>
      <c r="E1297" s="7"/>
      <c r="F1297" s="7"/>
      <c r="G1297" s="7"/>
      <c r="H1297" s="7">
        <v>6950</v>
      </c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</row>
    <row r="1298" spans="1:25" x14ac:dyDescent="0.25">
      <c r="A1298" s="23">
        <v>46099</v>
      </c>
      <c r="B1298" s="7" t="s">
        <v>55</v>
      </c>
      <c r="C1298" s="7"/>
      <c r="D1298" s="7"/>
      <c r="E1298" s="7"/>
      <c r="F1298" s="7"/>
      <c r="G1298" s="7"/>
      <c r="H1298" s="7"/>
      <c r="I1298" s="7"/>
      <c r="J1298" s="7">
        <v>2880</v>
      </c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</row>
    <row r="1299" spans="1:25" x14ac:dyDescent="0.25">
      <c r="A1299" s="23">
        <v>46099</v>
      </c>
      <c r="B1299" s="7" t="s">
        <v>35</v>
      </c>
      <c r="C1299" s="7"/>
      <c r="D1299" s="7"/>
      <c r="E1299" s="7"/>
      <c r="F1299" s="7">
        <v>2500</v>
      </c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</row>
    <row r="1300" spans="1:25" x14ac:dyDescent="0.25">
      <c r="A1300" s="23">
        <v>46099</v>
      </c>
      <c r="B1300" s="7" t="s">
        <v>33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>
        <v>-20</v>
      </c>
      <c r="T1300" s="7">
        <v>-31</v>
      </c>
      <c r="U1300" s="7">
        <v>0</v>
      </c>
      <c r="V1300" s="7">
        <v>-14</v>
      </c>
      <c r="W1300" s="7">
        <v>1</v>
      </c>
    </row>
    <row r="1301" spans="1:25" x14ac:dyDescent="0.25">
      <c r="A1301" s="23">
        <v>46099</v>
      </c>
      <c r="B1301" s="7" t="s">
        <v>264</v>
      </c>
      <c r="C1301" s="7"/>
      <c r="D1301" s="7">
        <v>12000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</row>
    <row r="1302" spans="1:25" x14ac:dyDescent="0.25">
      <c r="A1302" s="23">
        <v>46100</v>
      </c>
      <c r="B1302" s="7" t="s">
        <v>259</v>
      </c>
      <c r="C1302" s="7">
        <v>12640</v>
      </c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</row>
    <row r="1303" spans="1:25" x14ac:dyDescent="0.25">
      <c r="A1303" s="23">
        <v>46100</v>
      </c>
      <c r="B1303" s="7" t="s">
        <v>256</v>
      </c>
      <c r="C1303" s="7">
        <v>-520</v>
      </c>
      <c r="D1303" s="7">
        <v>-130</v>
      </c>
      <c r="E1303" s="7"/>
      <c r="F1303" s="7"/>
      <c r="G1303" s="7">
        <v>-10</v>
      </c>
      <c r="H1303" s="7">
        <v>-310</v>
      </c>
      <c r="I1303" s="7"/>
      <c r="J1303" s="7">
        <v>-30</v>
      </c>
      <c r="K1303" s="7"/>
      <c r="L1303" s="7"/>
      <c r="M1303" s="7">
        <v>-0.3</v>
      </c>
      <c r="N1303" s="7"/>
      <c r="O1303" s="7">
        <v>-27.5</v>
      </c>
      <c r="P1303" s="7">
        <v>-1</v>
      </c>
      <c r="Q1303" s="7"/>
      <c r="R1303" s="7"/>
      <c r="S1303" s="7"/>
      <c r="T1303" s="7"/>
      <c r="U1303" s="7"/>
      <c r="V1303" s="7">
        <v>20</v>
      </c>
      <c r="W1303" s="7"/>
      <c r="Y1303" s="4">
        <v>1</v>
      </c>
    </row>
    <row r="1304" spans="1:25" x14ac:dyDescent="0.25">
      <c r="A1304" s="23">
        <v>46100</v>
      </c>
      <c r="B1304" s="7" t="s">
        <v>126</v>
      </c>
      <c r="C1304" s="7">
        <v>-390</v>
      </c>
      <c r="D1304" s="7">
        <v>-180</v>
      </c>
      <c r="E1304" s="7"/>
      <c r="F1304" s="7">
        <v>-25</v>
      </c>
      <c r="G1304" s="7">
        <v>-100</v>
      </c>
      <c r="H1304" s="7">
        <v>-155</v>
      </c>
      <c r="I1304" s="7">
        <v>-40</v>
      </c>
      <c r="J1304" s="7">
        <v>-110</v>
      </c>
      <c r="K1304" s="7">
        <v>-1</v>
      </c>
      <c r="L1304" s="7">
        <v>-3</v>
      </c>
      <c r="M1304" s="7">
        <v>-0.5</v>
      </c>
      <c r="N1304" s="7">
        <v>-0.5</v>
      </c>
      <c r="O1304" s="7"/>
      <c r="P1304" s="7"/>
      <c r="Q1304" s="7"/>
      <c r="R1304" s="7"/>
      <c r="S1304" s="7"/>
      <c r="T1304" s="7">
        <v>20</v>
      </c>
      <c r="U1304" s="7"/>
      <c r="V1304" s="7"/>
      <c r="W1304" s="7"/>
      <c r="X1304" s="4">
        <v>1</v>
      </c>
    </row>
    <row r="1305" spans="1:25" x14ac:dyDescent="0.25">
      <c r="A1305" s="23">
        <v>46100</v>
      </c>
      <c r="B1305" s="7" t="s">
        <v>13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>
        <v>50</v>
      </c>
      <c r="O1305" s="7"/>
      <c r="P1305" s="7"/>
      <c r="Q1305" s="7"/>
      <c r="R1305" s="7"/>
      <c r="S1305" s="7"/>
      <c r="T1305" s="7"/>
      <c r="U1305" s="7"/>
      <c r="V1305" s="7"/>
      <c r="W1305" s="7"/>
    </row>
    <row r="1306" spans="1:25" x14ac:dyDescent="0.25">
      <c r="A1306" s="23">
        <v>46100</v>
      </c>
      <c r="B1306" s="7" t="s">
        <v>12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>
        <v>250</v>
      </c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</row>
    <row r="1307" spans="1:25" x14ac:dyDescent="0.25">
      <c r="A1307" s="23">
        <v>46100</v>
      </c>
      <c r="B1307" s="7" t="s">
        <v>33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>
        <v>-11</v>
      </c>
      <c r="T1307" s="7">
        <v>-31</v>
      </c>
      <c r="U1307" s="7">
        <v>0</v>
      </c>
      <c r="V1307" s="7">
        <v>-14</v>
      </c>
      <c r="W1307" s="7"/>
    </row>
    <row r="1308" spans="1:25" x14ac:dyDescent="0.25">
      <c r="A1308" s="23">
        <v>46101</v>
      </c>
      <c r="B1308" s="7" t="s">
        <v>259</v>
      </c>
      <c r="C1308" s="7">
        <v>12680</v>
      </c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W1308" s="7"/>
    </row>
    <row r="1309" spans="1:25" x14ac:dyDescent="0.25">
      <c r="A1309" s="23">
        <v>46101</v>
      </c>
      <c r="B1309" s="7" t="s">
        <v>129</v>
      </c>
      <c r="C1309" s="7">
        <v>-1560</v>
      </c>
      <c r="D1309" s="7">
        <v>-720</v>
      </c>
      <c r="E1309" s="7"/>
      <c r="F1309" s="7">
        <v>-100</v>
      </c>
      <c r="G1309" s="7">
        <v>-400</v>
      </c>
      <c r="H1309" s="7">
        <v>-620</v>
      </c>
      <c r="I1309" s="7">
        <v>-160</v>
      </c>
      <c r="J1309" s="7">
        <v>-440</v>
      </c>
      <c r="K1309" s="7">
        <v>-4</v>
      </c>
      <c r="L1309" s="7">
        <v>-12</v>
      </c>
      <c r="M1309" s="7">
        <v>-2</v>
      </c>
      <c r="N1309" s="7">
        <v>-2</v>
      </c>
      <c r="O1309" s="7"/>
      <c r="P1309" s="7"/>
      <c r="Q1309" s="7"/>
      <c r="R1309" s="7"/>
      <c r="S1309" s="7"/>
      <c r="T1309" s="7">
        <v>80</v>
      </c>
      <c r="W1309" s="7"/>
      <c r="X1309" s="7">
        <v>4</v>
      </c>
    </row>
    <row r="1310" spans="1:25" x14ac:dyDescent="0.25">
      <c r="A1310" s="23">
        <v>46101</v>
      </c>
      <c r="B1310" s="7" t="s">
        <v>33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>
        <v>-5</v>
      </c>
      <c r="T1310" s="7">
        <v>-31</v>
      </c>
      <c r="U1310" s="7">
        <v>0</v>
      </c>
      <c r="V1310" s="7">
        <v>-14</v>
      </c>
      <c r="W1310" s="7"/>
    </row>
    <row r="1311" spans="1:25" x14ac:dyDescent="0.25">
      <c r="A1311" s="23">
        <v>46102</v>
      </c>
      <c r="B1311" s="7" t="s">
        <v>33</v>
      </c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>
        <v>-35</v>
      </c>
      <c r="U1311" s="7">
        <v>0</v>
      </c>
      <c r="V1311" s="7">
        <v>-16</v>
      </c>
      <c r="W1311" s="7"/>
    </row>
    <row r="1312" spans="1:25" x14ac:dyDescent="0.25">
      <c r="A1312" s="23">
        <v>46102</v>
      </c>
      <c r="B1312" s="7" t="s">
        <v>265</v>
      </c>
      <c r="C1312" s="7">
        <v>-2080</v>
      </c>
      <c r="D1312" s="7">
        <v>-520</v>
      </c>
      <c r="E1312" s="7"/>
      <c r="F1312" s="7"/>
      <c r="G1312" s="7">
        <v>-40</v>
      </c>
      <c r="H1312" s="7">
        <v>-1240</v>
      </c>
      <c r="I1312" s="7"/>
      <c r="J1312" s="7">
        <v>-120</v>
      </c>
      <c r="K1312" s="7"/>
      <c r="L1312" s="7"/>
      <c r="M1312" s="7">
        <v>-4</v>
      </c>
      <c r="N1312" s="7"/>
      <c r="O1312" s="7">
        <v>-110</v>
      </c>
      <c r="P1312" s="7">
        <v>-4</v>
      </c>
      <c r="Q1312" s="7"/>
      <c r="R1312" s="7"/>
      <c r="S1312" s="7"/>
      <c r="T1312" s="7"/>
      <c r="U1312" s="7"/>
      <c r="V1312" s="7">
        <v>80</v>
      </c>
      <c r="W1312" s="7"/>
      <c r="X1312" s="7"/>
      <c r="Y1312" s="4">
        <v>4</v>
      </c>
    </row>
    <row r="1313" spans="1:25" x14ac:dyDescent="0.25">
      <c r="A1313" s="23">
        <v>46102</v>
      </c>
      <c r="B1313" s="7" t="s">
        <v>124</v>
      </c>
      <c r="C1313" s="7">
        <v>-780</v>
      </c>
      <c r="D1313" s="7">
        <v>-360</v>
      </c>
      <c r="E1313" s="7"/>
      <c r="F1313" s="7">
        <v>-50</v>
      </c>
      <c r="G1313" s="7">
        <v>-200</v>
      </c>
      <c r="H1313" s="7">
        <v>-310</v>
      </c>
      <c r="I1313" s="7">
        <v>-80</v>
      </c>
      <c r="J1313" s="7">
        <v>-220</v>
      </c>
      <c r="K1313" s="7">
        <v>-2</v>
      </c>
      <c r="L1313" s="7">
        <v>-6</v>
      </c>
      <c r="M1313" s="7">
        <v>-1</v>
      </c>
      <c r="N1313" s="7">
        <v>-1</v>
      </c>
      <c r="O1313" s="7"/>
      <c r="P1313" s="7"/>
      <c r="Q1313" s="7"/>
      <c r="R1313" s="7"/>
      <c r="S1313" s="7"/>
      <c r="T1313" s="7">
        <v>40</v>
      </c>
      <c r="U1313" s="7"/>
      <c r="V1313" s="7"/>
      <c r="W1313" s="7"/>
      <c r="X1313" s="4">
        <v>2</v>
      </c>
    </row>
    <row r="1314" spans="1:25" x14ac:dyDescent="0.25">
      <c r="A1314" s="23">
        <v>46102</v>
      </c>
      <c r="B1314" s="7" t="s">
        <v>195</v>
      </c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>
        <v>-2</v>
      </c>
      <c r="N1314" s="7"/>
      <c r="O1314" s="7"/>
      <c r="P1314" s="7"/>
      <c r="Q1314" s="7"/>
      <c r="R1314" s="7"/>
      <c r="S1314" s="7"/>
      <c r="T1314" s="7"/>
      <c r="U1314" s="7"/>
      <c r="V1314" s="7"/>
      <c r="W1314" s="7"/>
    </row>
    <row r="1315" spans="1:25" x14ac:dyDescent="0.25">
      <c r="A1315" s="23">
        <v>46102</v>
      </c>
      <c r="B1315" s="7" t="s">
        <v>266</v>
      </c>
      <c r="C1315" s="7">
        <v>216</v>
      </c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</row>
    <row r="1316" spans="1:25" x14ac:dyDescent="0.25">
      <c r="A1316" s="23">
        <v>46103</v>
      </c>
      <c r="B1316" s="7" t="s">
        <v>33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>
        <v>-31</v>
      </c>
      <c r="U1316" s="7">
        <v>0</v>
      </c>
      <c r="V1316" s="7">
        <v>-16</v>
      </c>
      <c r="W1316" s="7"/>
    </row>
    <row r="1317" spans="1:25" x14ac:dyDescent="0.25">
      <c r="A1317" s="23">
        <v>46104</v>
      </c>
      <c r="B1317" s="7" t="s">
        <v>267</v>
      </c>
      <c r="C1317" s="7">
        <v>-3510</v>
      </c>
      <c r="D1317" s="7">
        <v>-1620</v>
      </c>
      <c r="E1317" s="7"/>
      <c r="F1317" s="7">
        <v>-225</v>
      </c>
      <c r="G1317" s="7">
        <v>-900</v>
      </c>
      <c r="H1317" s="7">
        <v>-1395</v>
      </c>
      <c r="I1317" s="7">
        <v>-360</v>
      </c>
      <c r="J1317" s="7">
        <v>-990</v>
      </c>
      <c r="K1317" s="7">
        <v>-9</v>
      </c>
      <c r="L1317" s="7">
        <v>-27</v>
      </c>
      <c r="M1317" s="7">
        <v>-4.5</v>
      </c>
      <c r="N1317" s="7">
        <v>-4.5</v>
      </c>
      <c r="O1317" s="7"/>
      <c r="P1317" s="7"/>
      <c r="Q1317" s="7"/>
      <c r="R1317" s="7"/>
      <c r="S1317" s="7"/>
      <c r="T1317" s="7">
        <v>180</v>
      </c>
      <c r="U1317" s="7"/>
      <c r="V1317" s="7"/>
      <c r="W1317" s="7"/>
      <c r="X1317" s="4">
        <v>9</v>
      </c>
    </row>
    <row r="1318" spans="1:25" x14ac:dyDescent="0.25">
      <c r="A1318" s="23">
        <v>46104</v>
      </c>
      <c r="B1318" s="7" t="s">
        <v>33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>
        <v>-31</v>
      </c>
      <c r="U1318" s="7">
        <v>0</v>
      </c>
      <c r="V1318" s="7">
        <v>-16</v>
      </c>
      <c r="W1318" s="7"/>
    </row>
    <row r="1319" spans="1:25" x14ac:dyDescent="0.25">
      <c r="A1319" s="23">
        <v>46105</v>
      </c>
      <c r="B1319" s="7" t="s">
        <v>33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>
        <v>-31</v>
      </c>
      <c r="U1319" s="7">
        <v>0</v>
      </c>
      <c r="V1319" s="7">
        <v>-16</v>
      </c>
      <c r="W1319" s="7"/>
    </row>
    <row r="1320" spans="1:25" x14ac:dyDescent="0.25">
      <c r="A1320" s="23">
        <v>46106</v>
      </c>
      <c r="B1320" s="7" t="s">
        <v>33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>
        <v>-31</v>
      </c>
      <c r="U1320" s="7">
        <v>0</v>
      </c>
      <c r="V1320" s="7">
        <v>-18</v>
      </c>
      <c r="W1320" s="7"/>
    </row>
    <row r="1321" spans="1:25" x14ac:dyDescent="0.25">
      <c r="A1321" s="23">
        <v>46106</v>
      </c>
      <c r="B1321" s="7" t="s">
        <v>18</v>
      </c>
      <c r="C1321" s="7"/>
      <c r="D1321" s="7"/>
      <c r="E1321" s="7"/>
      <c r="F1321" s="7"/>
      <c r="G1321" s="7"/>
      <c r="H1321" s="7">
        <v>12300</v>
      </c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</row>
    <row r="1322" spans="1:25" x14ac:dyDescent="0.25">
      <c r="A1322" s="23">
        <v>46106</v>
      </c>
      <c r="B1322" s="7" t="s">
        <v>55</v>
      </c>
      <c r="C1322" s="7"/>
      <c r="D1322" s="7"/>
      <c r="E1322" s="7"/>
      <c r="F1322" s="7"/>
      <c r="G1322" s="7"/>
      <c r="H1322" s="7"/>
      <c r="I1322" s="7"/>
      <c r="J1322" s="7">
        <v>12320</v>
      </c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</row>
    <row r="1323" spans="1:25" x14ac:dyDescent="0.25">
      <c r="A1323" s="23">
        <v>46107</v>
      </c>
      <c r="B1323" s="7" t="s">
        <v>33</v>
      </c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>
        <v>-31</v>
      </c>
      <c r="U1323" s="7">
        <v>0</v>
      </c>
      <c r="V1323" s="7">
        <v>-18</v>
      </c>
      <c r="W1323" s="7"/>
    </row>
    <row r="1324" spans="1:25" x14ac:dyDescent="0.25">
      <c r="A1324" s="23">
        <v>46107</v>
      </c>
      <c r="B1324" s="7" t="s">
        <v>18</v>
      </c>
      <c r="C1324" s="7"/>
      <c r="D1324" s="7"/>
      <c r="E1324" s="7"/>
      <c r="F1324" s="7"/>
      <c r="G1324" s="7"/>
      <c r="H1324" s="7">
        <v>10900</v>
      </c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</row>
    <row r="1325" spans="1:25" x14ac:dyDescent="0.25">
      <c r="A1325" s="23">
        <v>46107</v>
      </c>
      <c r="B1325" s="7" t="s">
        <v>34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>
        <v>1025</v>
      </c>
      <c r="P1325" s="7"/>
      <c r="Q1325" s="7"/>
      <c r="R1325" s="7"/>
      <c r="S1325" s="7"/>
      <c r="T1325" s="7"/>
      <c r="U1325" s="7"/>
      <c r="V1325" s="7"/>
      <c r="W1325" s="7"/>
    </row>
    <row r="1326" spans="1:25" x14ac:dyDescent="0.25">
      <c r="A1326" s="23">
        <v>46107</v>
      </c>
      <c r="B1326" s="7" t="s">
        <v>217</v>
      </c>
      <c r="C1326" s="7"/>
      <c r="D1326" s="7"/>
      <c r="E1326" s="7"/>
      <c r="F1326" s="7"/>
      <c r="G1326" s="7"/>
      <c r="H1326" s="7"/>
      <c r="I1326" s="7"/>
      <c r="J1326" s="7"/>
      <c r="K1326" s="7">
        <v>80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</row>
    <row r="1327" spans="1:25" x14ac:dyDescent="0.25">
      <c r="A1327" s="23">
        <v>46107</v>
      </c>
      <c r="B1327" s="7" t="s">
        <v>86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>
        <v>50</v>
      </c>
      <c r="Q1327" s="7"/>
      <c r="R1327" s="7"/>
      <c r="S1327" s="7"/>
      <c r="T1327" s="7"/>
      <c r="U1327" s="7"/>
      <c r="V1327" s="7"/>
      <c r="W1327" s="7"/>
    </row>
    <row r="1328" spans="1:25" x14ac:dyDescent="0.25">
      <c r="A1328" s="23">
        <v>46107</v>
      </c>
      <c r="B1328" s="7" t="s">
        <v>256</v>
      </c>
      <c r="C1328" s="7">
        <v>-520</v>
      </c>
      <c r="D1328" s="7">
        <v>-130</v>
      </c>
      <c r="E1328" s="7"/>
      <c r="F1328" s="7"/>
      <c r="G1328" s="7">
        <v>-10</v>
      </c>
      <c r="H1328" s="7">
        <v>-310</v>
      </c>
      <c r="I1328" s="7"/>
      <c r="J1328" s="7">
        <v>-30</v>
      </c>
      <c r="K1328" s="7"/>
      <c r="L1328" s="7"/>
      <c r="M1328" s="7">
        <v>-1</v>
      </c>
      <c r="N1328" s="7"/>
      <c r="O1328" s="7">
        <v>-27.5</v>
      </c>
      <c r="P1328" s="7">
        <v>-1</v>
      </c>
      <c r="Q1328" s="7"/>
      <c r="R1328" s="7"/>
      <c r="S1328" s="7"/>
      <c r="T1328" s="7"/>
      <c r="U1328" s="7"/>
      <c r="V1328" s="7">
        <v>20</v>
      </c>
      <c r="W1328" s="7"/>
      <c r="Y1328" s="4">
        <v>1</v>
      </c>
    </row>
    <row r="1329" spans="1:29" x14ac:dyDescent="0.25">
      <c r="A1329" s="23">
        <v>46108</v>
      </c>
      <c r="B1329" s="7" t="s">
        <v>33</v>
      </c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>
        <v>-31</v>
      </c>
      <c r="U1329" s="7">
        <v>0</v>
      </c>
      <c r="V1329" s="7">
        <v>-18</v>
      </c>
      <c r="W1329" s="7"/>
    </row>
    <row r="1330" spans="1:29" x14ac:dyDescent="0.25">
      <c r="A1330" s="23">
        <v>46108</v>
      </c>
      <c r="B1330" s="7" t="s">
        <v>265</v>
      </c>
      <c r="C1330" s="7">
        <v>-2080</v>
      </c>
      <c r="D1330" s="7">
        <f>D1329-520</f>
        <v>-520</v>
      </c>
      <c r="E1330" s="7"/>
      <c r="F1330" s="7"/>
      <c r="G1330" s="7">
        <v>-40</v>
      </c>
      <c r="H1330" s="7">
        <v>-1240</v>
      </c>
      <c r="I1330" s="7"/>
      <c r="J1330" s="7">
        <v>-120</v>
      </c>
      <c r="K1330" s="7"/>
      <c r="L1330" s="7"/>
      <c r="M1330" s="7">
        <v>-2</v>
      </c>
      <c r="N1330" s="7"/>
      <c r="O1330" s="7">
        <v>-110</v>
      </c>
      <c r="P1330" s="7">
        <v>-4</v>
      </c>
      <c r="Q1330" s="7"/>
      <c r="R1330" s="7"/>
      <c r="S1330" s="7"/>
      <c r="T1330" s="7"/>
      <c r="U1330" s="7"/>
      <c r="V1330" s="7">
        <v>80</v>
      </c>
      <c r="W1330" s="7"/>
      <c r="X1330" s="7"/>
      <c r="Y1330" s="7">
        <v>4</v>
      </c>
    </row>
    <row r="1331" spans="1:29" x14ac:dyDescent="0.25">
      <c r="A1331" s="23">
        <v>46109</v>
      </c>
      <c r="B1331" s="7" t="s">
        <v>132</v>
      </c>
      <c r="C1331" s="7">
        <v>-3120</v>
      </c>
      <c r="D1331" s="7">
        <v>-1440</v>
      </c>
      <c r="E1331" s="7"/>
      <c r="F1331" s="7">
        <v>-200</v>
      </c>
      <c r="G1331" s="7">
        <v>-800</v>
      </c>
      <c r="H1331" s="7">
        <v>-1240</v>
      </c>
      <c r="I1331" s="7">
        <v>-320</v>
      </c>
      <c r="J1331" s="7">
        <v>-880</v>
      </c>
      <c r="K1331" s="7">
        <v>-8</v>
      </c>
      <c r="L1331" s="7">
        <v>-24</v>
      </c>
      <c r="M1331" s="7">
        <v>-4</v>
      </c>
      <c r="N1331" s="7">
        <v>-4</v>
      </c>
      <c r="O1331" s="7"/>
      <c r="P1331" s="7"/>
      <c r="Q1331" s="7"/>
      <c r="R1331" s="7"/>
      <c r="S1331" s="7"/>
      <c r="T1331" s="7">
        <v>160</v>
      </c>
      <c r="U1331" s="7"/>
      <c r="V1331" s="7"/>
      <c r="W1331" s="7"/>
      <c r="X1331" s="7">
        <v>8</v>
      </c>
    </row>
    <row r="1332" spans="1:29" x14ac:dyDescent="0.25">
      <c r="A1332" s="23">
        <v>46109</v>
      </c>
      <c r="B1332" s="7" t="s">
        <v>33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>
        <v>-31</v>
      </c>
      <c r="U1332" s="7">
        <v>0</v>
      </c>
      <c r="V1332" s="7">
        <v>-20</v>
      </c>
      <c r="W1332" s="7"/>
      <c r="X1332" s="7"/>
    </row>
    <row r="1333" spans="1:29" x14ac:dyDescent="0.25">
      <c r="A1333" s="23">
        <v>46110</v>
      </c>
      <c r="B1333" s="7" t="s">
        <v>33</v>
      </c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>
        <v>-31</v>
      </c>
      <c r="U1333" s="7">
        <v>0</v>
      </c>
      <c r="V1333" s="7">
        <v>-20</v>
      </c>
      <c r="W1333" s="7"/>
      <c r="X1333" s="7"/>
    </row>
    <row r="1334" spans="1:29" x14ac:dyDescent="0.25">
      <c r="A1334" s="23">
        <v>46111</v>
      </c>
      <c r="B1334" s="7" t="s">
        <v>124</v>
      </c>
      <c r="C1334" s="7">
        <v>-780</v>
      </c>
      <c r="D1334" s="7">
        <v>-360</v>
      </c>
      <c r="E1334" s="7"/>
      <c r="F1334" s="7">
        <v>-50</v>
      </c>
      <c r="G1334" s="7">
        <v>-200</v>
      </c>
      <c r="H1334" s="7">
        <v>-310</v>
      </c>
      <c r="I1334" s="7">
        <v>-80</v>
      </c>
      <c r="J1334" s="7">
        <v>-220</v>
      </c>
      <c r="K1334" s="7">
        <v>-2</v>
      </c>
      <c r="L1334" s="7">
        <v>-6</v>
      </c>
      <c r="M1334" s="7">
        <v>-1</v>
      </c>
      <c r="N1334" s="7">
        <v>-1</v>
      </c>
      <c r="O1334" s="7"/>
      <c r="P1334" s="7"/>
      <c r="Q1334" s="7"/>
      <c r="R1334" s="7"/>
      <c r="S1334" s="7"/>
      <c r="T1334" s="7">
        <v>40</v>
      </c>
      <c r="U1334" s="7"/>
      <c r="V1334" s="7"/>
      <c r="W1334" s="7"/>
      <c r="X1334" s="7">
        <v>2</v>
      </c>
    </row>
    <row r="1335" spans="1:29" x14ac:dyDescent="0.25">
      <c r="A1335" s="23">
        <v>46111</v>
      </c>
      <c r="B1335" s="7" t="s">
        <v>33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>
        <v>-31</v>
      </c>
      <c r="U1335" s="7">
        <v>0</v>
      </c>
      <c r="V1335" s="7">
        <v>-20</v>
      </c>
      <c r="W1335" s="7"/>
      <c r="X1335" s="7"/>
    </row>
    <row r="1336" spans="1:29" x14ac:dyDescent="0.25">
      <c r="A1336" s="23">
        <v>46112</v>
      </c>
      <c r="B1336" s="7" t="s">
        <v>265</v>
      </c>
      <c r="C1336" s="7">
        <v>-2080</v>
      </c>
      <c r="D1336" s="7">
        <v>-520</v>
      </c>
      <c r="E1336" s="7"/>
      <c r="F1336" s="7"/>
      <c r="G1336" s="7">
        <v>-40</v>
      </c>
      <c r="H1336" s="7">
        <v>-1240</v>
      </c>
      <c r="I1336" s="7"/>
      <c r="J1336" s="7">
        <v>-120</v>
      </c>
      <c r="K1336" s="7"/>
      <c r="L1336" s="7"/>
      <c r="M1336" s="7">
        <v>-2</v>
      </c>
      <c r="N1336" s="7"/>
      <c r="O1336" s="7">
        <v>-110</v>
      </c>
      <c r="P1336" s="7">
        <v>-4</v>
      </c>
      <c r="Q1336" s="7"/>
      <c r="R1336" s="7"/>
      <c r="S1336" s="7"/>
      <c r="T1336" s="7"/>
      <c r="U1336" s="7"/>
      <c r="V1336" s="7">
        <v>80</v>
      </c>
      <c r="W1336" s="7"/>
      <c r="X1336" s="7"/>
      <c r="Y1336" s="4">
        <v>4</v>
      </c>
    </row>
    <row r="1337" spans="1:29" x14ac:dyDescent="0.25">
      <c r="A1337" s="23">
        <v>46112</v>
      </c>
      <c r="B1337" s="7" t="s">
        <v>33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>
        <v>-31</v>
      </c>
      <c r="U1337" s="7">
        <v>0</v>
      </c>
      <c r="V1337" s="7">
        <v>-20</v>
      </c>
      <c r="W1337" s="7"/>
      <c r="X1337" s="7"/>
    </row>
    <row r="1338" spans="1:29" x14ac:dyDescent="0.25">
      <c r="A1338" s="23">
        <v>46112</v>
      </c>
      <c r="B1338" s="7" t="s">
        <v>273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>
        <v>9</v>
      </c>
      <c r="W1338" s="7"/>
      <c r="X1338" s="7"/>
    </row>
    <row r="1339" spans="1:29" x14ac:dyDescent="0.25">
      <c r="A1339" s="23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 spans="1:29" x14ac:dyDescent="0.25">
      <c r="A1340" s="23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>
        <f>SUM(X1322:X1339)</f>
        <v>10</v>
      </c>
      <c r="Y1340" s="7">
        <f>SUM(Y1322:Y1339)</f>
        <v>9</v>
      </c>
    </row>
    <row r="1341" spans="1:29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>
        <f>SUM(W1244:W1340)</f>
        <v>32</v>
      </c>
      <c r="X1341" s="7">
        <f t="shared" ref="X1341:Y1341" si="41">SUM(X1244:X1340)</f>
        <v>63</v>
      </c>
      <c r="Y1341" s="7">
        <f t="shared" si="41"/>
        <v>34</v>
      </c>
      <c r="AC1341" s="4">
        <v>6</v>
      </c>
    </row>
    <row r="1342" spans="1:29" x14ac:dyDescent="0.25">
      <c r="A1342" s="20"/>
      <c r="B1342" s="21" t="s">
        <v>25</v>
      </c>
      <c r="C1342" s="22">
        <f t="shared" ref="C1342:V1342" si="42">SUM(C1243:C1341)</f>
        <v>15899</v>
      </c>
      <c r="D1342" s="22">
        <f t="shared" si="42"/>
        <v>20160</v>
      </c>
      <c r="E1342" s="22">
        <f t="shared" si="42"/>
        <v>810</v>
      </c>
      <c r="F1342" s="22">
        <f t="shared" si="42"/>
        <v>2275</v>
      </c>
      <c r="G1342" s="22">
        <f t="shared" si="42"/>
        <v>8110</v>
      </c>
      <c r="H1342" s="22">
        <f t="shared" si="42"/>
        <v>21915</v>
      </c>
      <c r="I1342" s="22">
        <f t="shared" si="42"/>
        <v>5720</v>
      </c>
      <c r="J1342" s="22">
        <f t="shared" si="42"/>
        <v>12950</v>
      </c>
      <c r="K1342" s="22">
        <f t="shared" si="42"/>
        <v>128.80000000000001</v>
      </c>
      <c r="L1342" s="22">
        <f t="shared" si="42"/>
        <v>171.6</v>
      </c>
      <c r="M1342" s="22">
        <f t="shared" si="42"/>
        <v>2.399999999999995</v>
      </c>
      <c r="N1342" s="22">
        <f t="shared" si="42"/>
        <v>43</v>
      </c>
      <c r="O1342" s="22">
        <f t="shared" si="42"/>
        <v>812.5</v>
      </c>
      <c r="P1342" s="22">
        <f t="shared" si="42"/>
        <v>54</v>
      </c>
      <c r="Q1342" s="22">
        <f t="shared" si="42"/>
        <v>11</v>
      </c>
      <c r="R1342" s="22">
        <f t="shared" si="42"/>
        <v>16</v>
      </c>
      <c r="S1342" s="22">
        <f t="shared" si="42"/>
        <v>0</v>
      </c>
      <c r="T1342" s="22">
        <f t="shared" si="42"/>
        <v>126</v>
      </c>
      <c r="U1342" s="22">
        <f t="shared" si="42"/>
        <v>0</v>
      </c>
      <c r="V1342" s="22">
        <f t="shared" si="42"/>
        <v>100</v>
      </c>
      <c r="W1342" s="7"/>
      <c r="AC1342" s="4">
        <v>6</v>
      </c>
    </row>
    <row r="1343" spans="1:29" x14ac:dyDescent="0.25">
      <c r="A1343" s="17"/>
      <c r="B1343" s="17" t="s">
        <v>28</v>
      </c>
      <c r="C1343" s="17">
        <v>1020.5</v>
      </c>
      <c r="D1343" s="17">
        <v>343</v>
      </c>
      <c r="E1343" s="17">
        <v>0</v>
      </c>
      <c r="F1343" s="17">
        <v>38.75</v>
      </c>
      <c r="G1343" s="17">
        <v>163</v>
      </c>
      <c r="H1343" s="17">
        <v>488.25</v>
      </c>
      <c r="I1343" s="17">
        <v>62</v>
      </c>
      <c r="J1343" s="17">
        <v>194.5</v>
      </c>
      <c r="K1343" s="17">
        <v>2.35</v>
      </c>
      <c r="L1343" s="17">
        <v>4.6500000000000004</v>
      </c>
      <c r="M1343" s="17">
        <v>0.8</v>
      </c>
      <c r="N1343" s="17">
        <v>0.77500000000000002</v>
      </c>
      <c r="O1343" s="17">
        <v>22</v>
      </c>
      <c r="P1343" s="17">
        <v>1</v>
      </c>
      <c r="Q1343" s="17">
        <v>0</v>
      </c>
      <c r="R1343" s="17">
        <v>0</v>
      </c>
      <c r="S1343" s="17">
        <v>0</v>
      </c>
      <c r="T1343" s="17">
        <v>31</v>
      </c>
      <c r="U1343" s="21">
        <v>0</v>
      </c>
      <c r="V1343" s="21">
        <v>16</v>
      </c>
      <c r="W1343" s="7"/>
      <c r="AC1343" s="4">
        <v>6</v>
      </c>
    </row>
    <row r="1344" spans="1:29" x14ac:dyDescent="0.25">
      <c r="A1344" s="17"/>
      <c r="B1344" s="17" t="s">
        <v>26</v>
      </c>
      <c r="C1344" s="18">
        <f>C1342/C1343</f>
        <v>15.579617834394904</v>
      </c>
      <c r="D1344" s="18">
        <f t="shared" ref="D1344:V1344" si="43">D1342/D1343</f>
        <v>58.775510204081634</v>
      </c>
      <c r="E1344" s="18" t="e">
        <f t="shared" si="43"/>
        <v>#DIV/0!</v>
      </c>
      <c r="F1344" s="18">
        <f t="shared" si="43"/>
        <v>58.70967741935484</v>
      </c>
      <c r="G1344" s="18">
        <f t="shared" si="43"/>
        <v>49.754601226993863</v>
      </c>
      <c r="H1344" s="18">
        <f t="shared" si="43"/>
        <v>44.884792626728114</v>
      </c>
      <c r="I1344" s="18">
        <f t="shared" si="43"/>
        <v>92.258064516129039</v>
      </c>
      <c r="J1344" s="18">
        <f t="shared" si="43"/>
        <v>66.580976863753207</v>
      </c>
      <c r="K1344" s="18">
        <f t="shared" si="43"/>
        <v>54.808510638297875</v>
      </c>
      <c r="L1344" s="18">
        <f t="shared" si="43"/>
        <v>36.903225806451609</v>
      </c>
      <c r="M1344" s="18">
        <f t="shared" si="43"/>
        <v>2.9999999999999938</v>
      </c>
      <c r="N1344" s="18">
        <f t="shared" si="43"/>
        <v>55.483870967741936</v>
      </c>
      <c r="O1344" s="18">
        <f t="shared" si="43"/>
        <v>36.93181818181818</v>
      </c>
      <c r="P1344" s="18">
        <f t="shared" si="43"/>
        <v>54</v>
      </c>
      <c r="Q1344" s="18" t="e">
        <f t="shared" si="43"/>
        <v>#DIV/0!</v>
      </c>
      <c r="R1344" s="18" t="e">
        <f t="shared" si="43"/>
        <v>#DIV/0!</v>
      </c>
      <c r="S1344" s="18" t="e">
        <f t="shared" si="43"/>
        <v>#DIV/0!</v>
      </c>
      <c r="T1344" s="18">
        <f t="shared" si="43"/>
        <v>4.064516129032258</v>
      </c>
      <c r="U1344" s="18" t="e">
        <f t="shared" si="43"/>
        <v>#DIV/0!</v>
      </c>
      <c r="V1344" s="18">
        <f t="shared" si="43"/>
        <v>6.25</v>
      </c>
      <c r="W1344" s="7"/>
      <c r="AC1344" s="4">
        <v>8</v>
      </c>
    </row>
    <row r="1345" spans="1:29" x14ac:dyDescent="0.25">
      <c r="A1345" s="21"/>
      <c r="B1345" s="21" t="s">
        <v>102</v>
      </c>
      <c r="C1345" s="21">
        <f>C1343*31</f>
        <v>31635.5</v>
      </c>
      <c r="D1345" s="21">
        <f t="shared" ref="D1345:V1345" si="44">D1343*31</f>
        <v>10633</v>
      </c>
      <c r="E1345" s="21">
        <f t="shared" si="44"/>
        <v>0</v>
      </c>
      <c r="F1345" s="21">
        <f t="shared" si="44"/>
        <v>1201.25</v>
      </c>
      <c r="G1345" s="21">
        <f t="shared" si="44"/>
        <v>5053</v>
      </c>
      <c r="H1345" s="21">
        <f t="shared" si="44"/>
        <v>15135.75</v>
      </c>
      <c r="I1345" s="21">
        <f t="shared" si="44"/>
        <v>1922</v>
      </c>
      <c r="J1345" s="21">
        <f t="shared" si="44"/>
        <v>6029.5</v>
      </c>
      <c r="K1345" s="21">
        <f t="shared" si="44"/>
        <v>72.850000000000009</v>
      </c>
      <c r="L1345" s="21">
        <f t="shared" si="44"/>
        <v>144.15</v>
      </c>
      <c r="M1345" s="21">
        <f t="shared" si="44"/>
        <v>24.8</v>
      </c>
      <c r="N1345" s="21">
        <f t="shared" si="44"/>
        <v>24.025000000000002</v>
      </c>
      <c r="O1345" s="21">
        <f t="shared" si="44"/>
        <v>682</v>
      </c>
      <c r="P1345" s="21">
        <f t="shared" si="44"/>
        <v>31</v>
      </c>
      <c r="Q1345" s="21">
        <f t="shared" si="44"/>
        <v>0</v>
      </c>
      <c r="R1345" s="21">
        <f t="shared" si="44"/>
        <v>0</v>
      </c>
      <c r="S1345" s="21">
        <f t="shared" si="44"/>
        <v>0</v>
      </c>
      <c r="T1345" s="21">
        <f t="shared" si="44"/>
        <v>961</v>
      </c>
      <c r="U1345" s="21">
        <f t="shared" si="44"/>
        <v>0</v>
      </c>
      <c r="V1345" s="21">
        <f t="shared" si="44"/>
        <v>496</v>
      </c>
      <c r="W1345" s="7"/>
      <c r="AC1345" s="4">
        <v>8</v>
      </c>
    </row>
    <row r="1349" spans="1:29" ht="26" x14ac:dyDescent="0.6">
      <c r="I1349" s="34">
        <v>46113</v>
      </c>
    </row>
    <row r="1350" spans="1:29" x14ac:dyDescent="0.25">
      <c r="A1350" s="28"/>
      <c r="B1350" s="28"/>
      <c r="C1350" s="28"/>
      <c r="D1350" s="28"/>
      <c r="E1350" s="28"/>
      <c r="F1350" s="7"/>
      <c r="G1350" s="7"/>
      <c r="H1350" s="7"/>
      <c r="I1350" s="7" t="s">
        <v>231</v>
      </c>
      <c r="J1350" s="7"/>
      <c r="K1350" s="7"/>
      <c r="L1350" s="7"/>
      <c r="M1350" s="7"/>
      <c r="N1350" s="7"/>
      <c r="O1350" s="28"/>
      <c r="P1350" s="28"/>
      <c r="Q1350" s="28"/>
      <c r="R1350" s="28"/>
      <c r="S1350" s="28"/>
      <c r="T1350" s="28"/>
      <c r="U1350" s="7"/>
      <c r="V1350" s="7"/>
      <c r="W1350" s="7"/>
    </row>
    <row r="1351" spans="1:29" x14ac:dyDescent="0.25">
      <c r="A1351" s="28"/>
      <c r="B1351" s="28"/>
      <c r="C1351" s="28"/>
      <c r="D1351" s="28"/>
      <c r="E1351" s="28"/>
      <c r="F1351" s="7"/>
      <c r="G1351" s="7"/>
      <c r="H1351" s="7"/>
      <c r="I1351" s="7"/>
      <c r="J1351" s="7"/>
      <c r="K1351" s="7"/>
      <c r="L1351" s="7"/>
      <c r="M1351" s="7"/>
      <c r="N1351" s="7"/>
      <c r="O1351" s="28"/>
      <c r="P1351" s="28"/>
      <c r="Q1351" s="28"/>
      <c r="R1351" s="28"/>
      <c r="S1351" s="28"/>
      <c r="T1351" s="28"/>
      <c r="U1351" s="7"/>
      <c r="V1351" s="7"/>
      <c r="W1351" s="7"/>
    </row>
    <row r="1352" spans="1:29" x14ac:dyDescent="0.25">
      <c r="A1352" s="3">
        <v>46113</v>
      </c>
      <c r="B1352" s="9" t="s">
        <v>0</v>
      </c>
      <c r="C1352" s="10">
        <v>14927</v>
      </c>
      <c r="D1352" s="9">
        <v>20287</v>
      </c>
      <c r="E1352" s="7">
        <v>810</v>
      </c>
      <c r="F1352" s="9">
        <v>2275</v>
      </c>
      <c r="G1352" s="9">
        <v>8160</v>
      </c>
      <c r="H1352" s="9">
        <v>21885</v>
      </c>
      <c r="I1352" s="9">
        <v>5700</v>
      </c>
      <c r="J1352" s="9">
        <v>12950</v>
      </c>
      <c r="K1352" s="9">
        <v>125</v>
      </c>
      <c r="L1352" s="9">
        <v>173</v>
      </c>
      <c r="M1352" s="9">
        <v>2</v>
      </c>
      <c r="N1352" s="9">
        <v>42.5</v>
      </c>
      <c r="O1352" s="9">
        <v>812.5</v>
      </c>
      <c r="P1352" s="9">
        <v>54</v>
      </c>
      <c r="Q1352" s="9">
        <v>9</v>
      </c>
      <c r="R1352" s="9">
        <v>14</v>
      </c>
      <c r="S1352" s="9">
        <v>0</v>
      </c>
      <c r="T1352" s="9">
        <v>124</v>
      </c>
      <c r="U1352" s="40">
        <v>0</v>
      </c>
      <c r="V1352" s="40">
        <v>100</v>
      </c>
      <c r="W1352" s="40"/>
    </row>
    <row r="1353" spans="1:29" x14ac:dyDescent="0.25">
      <c r="A1353" s="23">
        <v>46113</v>
      </c>
      <c r="B1353" s="7" t="s">
        <v>33</v>
      </c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>
        <v>-31</v>
      </c>
      <c r="U1353" s="7">
        <v>0</v>
      </c>
      <c r="V1353" s="7">
        <v>-22</v>
      </c>
      <c r="W1353" s="7"/>
      <c r="X1353" s="7"/>
      <c r="Y1353" s="7"/>
    </row>
    <row r="1354" spans="1:29" x14ac:dyDescent="0.25">
      <c r="A1354" s="23">
        <v>46113</v>
      </c>
      <c r="B1354" s="7" t="s">
        <v>276</v>
      </c>
      <c r="C1354" s="7">
        <v>-1560</v>
      </c>
      <c r="D1354" s="7">
        <v>-390</v>
      </c>
      <c r="E1354" s="7"/>
      <c r="F1354" s="7"/>
      <c r="G1354" s="7">
        <v>-30</v>
      </c>
      <c r="H1354" s="7">
        <v>-930</v>
      </c>
      <c r="I1354" s="7"/>
      <c r="J1354" s="7">
        <v>-90</v>
      </c>
      <c r="K1354" s="7"/>
      <c r="L1354" s="7"/>
      <c r="M1354" s="7">
        <v>-2</v>
      </c>
      <c r="N1354" s="7"/>
      <c r="O1354" s="7">
        <v>-82.5</v>
      </c>
      <c r="P1354" s="7">
        <v>-3</v>
      </c>
      <c r="Q1354" s="7"/>
      <c r="R1354" s="7"/>
      <c r="S1354" s="7"/>
      <c r="T1354" s="7"/>
      <c r="U1354" s="7"/>
      <c r="V1354" s="7">
        <v>60</v>
      </c>
      <c r="W1354" s="7"/>
      <c r="X1354" s="4">
        <v>3</v>
      </c>
      <c r="Y1354" s="4">
        <v>1</v>
      </c>
    </row>
    <row r="1355" spans="1:29" x14ac:dyDescent="0.25">
      <c r="A1355" s="23">
        <v>46114</v>
      </c>
      <c r="B1355" s="7" t="s">
        <v>33</v>
      </c>
      <c r="C1355" s="7"/>
      <c r="D1355" s="7"/>
      <c r="E1355" s="7"/>
      <c r="F1355" s="7"/>
      <c r="G1355" s="7"/>
      <c r="H1355" s="7"/>
      <c r="I1355" s="7"/>
      <c r="J1355" s="7"/>
      <c r="K1355" s="7">
        <v>20</v>
      </c>
      <c r="L1355" s="7"/>
      <c r="M1355" s="7"/>
      <c r="N1355" s="7"/>
      <c r="O1355" s="7"/>
      <c r="P1355" s="7"/>
      <c r="Q1355" s="7"/>
      <c r="R1355" s="7"/>
      <c r="S1355" s="7"/>
      <c r="T1355" s="7">
        <v>-31</v>
      </c>
      <c r="U1355" s="7">
        <v>0</v>
      </c>
      <c r="V1355" s="7">
        <v>-22</v>
      </c>
      <c r="W1355" s="7"/>
      <c r="X1355" s="7"/>
    </row>
    <row r="1356" spans="1:29" x14ac:dyDescent="0.25">
      <c r="A1356" s="23">
        <v>46114</v>
      </c>
      <c r="B1356" s="7" t="s">
        <v>17</v>
      </c>
      <c r="C1356" s="7"/>
      <c r="D1356" s="7">
        <v>10000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 spans="1:29" x14ac:dyDescent="0.25">
      <c r="A1357" s="23">
        <v>46114</v>
      </c>
      <c r="B1357" s="7" t="s">
        <v>275</v>
      </c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>
        <v>80</v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 spans="1:29" x14ac:dyDescent="0.25">
      <c r="A1358" s="23">
        <v>46115</v>
      </c>
      <c r="B1358" s="7" t="s">
        <v>132</v>
      </c>
      <c r="C1358" s="7">
        <v>-3120</v>
      </c>
      <c r="D1358" s="7">
        <v>-1440</v>
      </c>
      <c r="E1358" s="7"/>
      <c r="F1358" s="7">
        <v>-200</v>
      </c>
      <c r="G1358" s="7">
        <v>-800</v>
      </c>
      <c r="H1358" s="7">
        <v>-1240</v>
      </c>
      <c r="I1358" s="7">
        <v>-320</v>
      </c>
      <c r="J1358" s="7">
        <v>-880</v>
      </c>
      <c r="K1358" s="7">
        <v>-8</v>
      </c>
      <c r="L1358" s="7">
        <v>-24</v>
      </c>
      <c r="M1358" s="7">
        <v>-4</v>
      </c>
      <c r="N1358" s="7">
        <v>-4</v>
      </c>
      <c r="O1358" s="7"/>
      <c r="P1358" s="7"/>
      <c r="Q1358" s="7"/>
      <c r="R1358" s="7"/>
      <c r="S1358" s="7"/>
      <c r="T1358" s="7">
        <v>160</v>
      </c>
      <c r="U1358" s="7"/>
      <c r="V1358" s="7"/>
      <c r="W1358" s="7">
        <v>8</v>
      </c>
      <c r="X1358" s="7"/>
    </row>
    <row r="1359" spans="1:29" x14ac:dyDescent="0.25">
      <c r="A1359" s="23">
        <v>46115</v>
      </c>
      <c r="B1359" s="7" t="s">
        <v>33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>
        <v>-31</v>
      </c>
      <c r="U1359" s="7">
        <v>0</v>
      </c>
      <c r="V1359" s="7">
        <v>-22</v>
      </c>
      <c r="W1359" s="7"/>
      <c r="X1359" s="7"/>
    </row>
    <row r="1360" spans="1:29" x14ac:dyDescent="0.25">
      <c r="A1360" s="23">
        <v>46116</v>
      </c>
      <c r="B1360" s="7" t="s">
        <v>277</v>
      </c>
      <c r="C1360" s="7">
        <v>-5200</v>
      </c>
      <c r="D1360" s="7">
        <v>-1300</v>
      </c>
      <c r="E1360" s="7"/>
      <c r="F1360" s="7"/>
      <c r="G1360" s="7">
        <v>-100</v>
      </c>
      <c r="H1360" s="7">
        <v>-3100</v>
      </c>
      <c r="I1360" s="7"/>
      <c r="J1360" s="7">
        <v>-300</v>
      </c>
      <c r="K1360" s="7"/>
      <c r="L1360" s="7"/>
      <c r="M1360" s="7">
        <v>-3</v>
      </c>
      <c r="N1360" s="7"/>
      <c r="O1360" s="7">
        <v>-275</v>
      </c>
      <c r="P1360" s="7">
        <v>-10</v>
      </c>
      <c r="Q1360" s="7"/>
      <c r="R1360" s="7"/>
      <c r="S1360" s="7"/>
      <c r="T1360" s="7"/>
      <c r="U1360" s="7"/>
      <c r="V1360" s="7">
        <v>200</v>
      </c>
      <c r="W1360" s="7"/>
      <c r="X1360" s="7">
        <v>10</v>
      </c>
    </row>
    <row r="1361" spans="1:24" x14ac:dyDescent="0.25">
      <c r="A1361" s="23">
        <v>46116</v>
      </c>
      <c r="B1361" s="7" t="s">
        <v>33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>
        <v>-31</v>
      </c>
      <c r="U1361" s="7">
        <v>0</v>
      </c>
      <c r="V1361" s="7">
        <v>-22</v>
      </c>
      <c r="W1361" s="7"/>
      <c r="X1361" s="7"/>
    </row>
    <row r="1362" spans="1:24" x14ac:dyDescent="0.25">
      <c r="A1362" s="23">
        <v>46117</v>
      </c>
      <c r="B1362" s="7" t="s">
        <v>33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>
        <v>-31</v>
      </c>
      <c r="U1362" s="7">
        <v>0</v>
      </c>
      <c r="V1362" s="7">
        <v>-22</v>
      </c>
      <c r="W1362" s="7"/>
      <c r="X1362" s="7"/>
    </row>
    <row r="1363" spans="1:24" x14ac:dyDescent="0.25">
      <c r="A1363" s="23">
        <v>46118</v>
      </c>
      <c r="B1363" s="7" t="s">
        <v>33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>
        <v>-31</v>
      </c>
      <c r="U1363" s="7">
        <v>0</v>
      </c>
      <c r="V1363" s="7">
        <v>-22</v>
      </c>
      <c r="W1363" s="7"/>
      <c r="X1363" s="7"/>
    </row>
    <row r="1364" spans="1:24" x14ac:dyDescent="0.25">
      <c r="A1364" s="23">
        <v>46119</v>
      </c>
      <c r="B1364" s="7" t="s">
        <v>33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>
        <v>-31</v>
      </c>
      <c r="U1364" s="7">
        <v>0</v>
      </c>
      <c r="V1364" s="7">
        <v>-22</v>
      </c>
      <c r="W1364" s="7"/>
      <c r="X1364" s="7"/>
    </row>
    <row r="1365" spans="1:24" x14ac:dyDescent="0.25">
      <c r="A1365" s="23">
        <v>46120</v>
      </c>
      <c r="B1365" s="7" t="s">
        <v>33</v>
      </c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>
        <v>-31</v>
      </c>
      <c r="U1365" s="7">
        <v>0</v>
      </c>
      <c r="V1365" s="7">
        <v>-22</v>
      </c>
      <c r="W1365" s="7"/>
      <c r="X1365" s="7"/>
    </row>
    <row r="1366" spans="1:24" x14ac:dyDescent="0.25">
      <c r="A1366" s="23">
        <v>46120</v>
      </c>
      <c r="B1366" s="7" t="s">
        <v>146</v>
      </c>
      <c r="C1366" s="7">
        <v>-1950</v>
      </c>
      <c r="D1366" s="7">
        <v>-900</v>
      </c>
      <c r="E1366" s="7"/>
      <c r="F1366" s="7">
        <v>-125</v>
      </c>
      <c r="G1366" s="7">
        <v>-500</v>
      </c>
      <c r="H1366" s="7">
        <v>-775</v>
      </c>
      <c r="I1366" s="7">
        <v>-200</v>
      </c>
      <c r="J1366" s="7">
        <v>-550</v>
      </c>
      <c r="K1366" s="7">
        <v>-5</v>
      </c>
      <c r="L1366" s="7">
        <v>-15</v>
      </c>
      <c r="M1366" s="7">
        <v>-2.5</v>
      </c>
      <c r="N1366" s="7">
        <v>-2.5</v>
      </c>
      <c r="O1366" s="7"/>
      <c r="P1366" s="7"/>
      <c r="Q1366" s="7"/>
      <c r="R1366" s="7"/>
      <c r="S1366" s="7"/>
      <c r="T1366" s="7">
        <v>100</v>
      </c>
      <c r="U1366" s="7"/>
      <c r="V1366" s="7"/>
      <c r="W1366" s="7">
        <v>5</v>
      </c>
      <c r="X1366" s="7"/>
    </row>
    <row r="1367" spans="1:24" x14ac:dyDescent="0.25">
      <c r="A1367" s="23">
        <v>46120</v>
      </c>
      <c r="B1367" s="7" t="s">
        <v>278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>
        <v>-80</v>
      </c>
      <c r="W1367" s="7"/>
      <c r="X1367" s="7"/>
    </row>
    <row r="1368" spans="1:24" x14ac:dyDescent="0.25">
      <c r="A1368" s="23">
        <v>46120</v>
      </c>
      <c r="B1368" s="7" t="s">
        <v>279</v>
      </c>
      <c r="C1368" s="7">
        <v>117</v>
      </c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 spans="1:24" x14ac:dyDescent="0.25">
      <c r="A1369" s="23">
        <v>46121</v>
      </c>
      <c r="B1369" s="7" t="s">
        <v>280</v>
      </c>
      <c r="C1369" s="7">
        <v>-180</v>
      </c>
      <c r="D1369" s="7">
        <v>-540</v>
      </c>
      <c r="E1369" s="7">
        <v>-560</v>
      </c>
      <c r="G1369" s="7">
        <v>-20</v>
      </c>
      <c r="H1369" s="7">
        <v>-60</v>
      </c>
      <c r="I1369" s="7">
        <v>-240</v>
      </c>
      <c r="J1369" s="7">
        <v>-300</v>
      </c>
      <c r="K1369" s="7"/>
      <c r="L1369" s="7"/>
      <c r="M1369" s="7">
        <v>-1</v>
      </c>
      <c r="N1369" s="7"/>
      <c r="O1369" s="7">
        <v>-50</v>
      </c>
      <c r="P1369" s="7">
        <v>-4</v>
      </c>
      <c r="Q1369" s="7"/>
      <c r="R1369" s="7"/>
      <c r="S1369" s="7"/>
      <c r="T1369" s="7"/>
      <c r="U1369" s="7"/>
      <c r="V1369" s="7">
        <v>80</v>
      </c>
      <c r="W1369" s="7"/>
      <c r="X1369" s="7">
        <v>4</v>
      </c>
    </row>
    <row r="1370" spans="1:24" x14ac:dyDescent="0.25">
      <c r="A1370" s="23">
        <v>46121</v>
      </c>
      <c r="B1370" s="7" t="s">
        <v>33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>
        <v>-31</v>
      </c>
      <c r="U1370" s="7">
        <v>0</v>
      </c>
      <c r="V1370" s="7">
        <v>-22</v>
      </c>
      <c r="W1370" s="7"/>
      <c r="X1370" s="7"/>
    </row>
    <row r="1371" spans="1:24" x14ac:dyDescent="0.25">
      <c r="A1371" s="23">
        <v>46121</v>
      </c>
      <c r="B1371" s="7" t="s">
        <v>122</v>
      </c>
      <c r="C1371" s="7">
        <v>-1170</v>
      </c>
      <c r="D1371" s="7">
        <v>-540</v>
      </c>
      <c r="E1371" s="7"/>
      <c r="F1371" s="7">
        <v>-75</v>
      </c>
      <c r="G1371" s="7">
        <v>-300</v>
      </c>
      <c r="H1371" s="7">
        <v>-465</v>
      </c>
      <c r="I1371" s="7">
        <v>-120</v>
      </c>
      <c r="J1371" s="7">
        <v>-330</v>
      </c>
      <c r="K1371" s="7">
        <v>-3</v>
      </c>
      <c r="L1371" s="7">
        <v>-9</v>
      </c>
      <c r="M1371" s="7">
        <v>-1.5</v>
      </c>
      <c r="N1371" s="7">
        <v>-1.5</v>
      </c>
      <c r="O1371" s="7"/>
      <c r="P1371" s="7"/>
      <c r="Q1371" s="7"/>
      <c r="R1371" s="7"/>
      <c r="S1371" s="7"/>
      <c r="T1371" s="7">
        <v>60</v>
      </c>
      <c r="W1371" s="7">
        <v>3</v>
      </c>
      <c r="X1371" s="7"/>
    </row>
    <row r="1372" spans="1:24" x14ac:dyDescent="0.25">
      <c r="A1372" s="23">
        <v>46121</v>
      </c>
      <c r="B1372" s="7" t="s">
        <v>281</v>
      </c>
      <c r="C1372" s="7">
        <v>292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W1372" s="7"/>
      <c r="X1372" s="7"/>
    </row>
    <row r="1373" spans="1:24" x14ac:dyDescent="0.25">
      <c r="A1373" s="23">
        <v>46121</v>
      </c>
      <c r="B1373" s="7" t="s">
        <v>278</v>
      </c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V1373" s="4">
        <v>-60</v>
      </c>
      <c r="W1373" s="7"/>
      <c r="X1373" s="7"/>
    </row>
    <row r="1374" spans="1:24" x14ac:dyDescent="0.25">
      <c r="A1374" s="23">
        <v>46122</v>
      </c>
      <c r="B1374" s="7" t="s">
        <v>33</v>
      </c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>
        <v>-31</v>
      </c>
      <c r="U1374" s="7">
        <v>0</v>
      </c>
      <c r="V1374" s="7">
        <v>-24</v>
      </c>
      <c r="W1374" s="7"/>
      <c r="X1374" s="7"/>
    </row>
    <row r="1375" spans="1:24" x14ac:dyDescent="0.25">
      <c r="A1375" s="23">
        <v>46122</v>
      </c>
      <c r="B1375" s="7" t="s">
        <v>284</v>
      </c>
      <c r="C1375" s="7">
        <v>-45</v>
      </c>
      <c r="D1375" s="7">
        <v>-135</v>
      </c>
      <c r="E1375" s="7">
        <v>-140</v>
      </c>
      <c r="F1375" s="7"/>
      <c r="G1375" s="7">
        <v>-5</v>
      </c>
      <c r="H1375" s="7">
        <v>-15</v>
      </c>
      <c r="I1375" s="7">
        <v>-60</v>
      </c>
      <c r="J1375" s="7">
        <v>-75</v>
      </c>
      <c r="K1375" s="7"/>
      <c r="L1375" s="7"/>
      <c r="M1375" s="7">
        <v>-0.5</v>
      </c>
      <c r="N1375" s="7"/>
      <c r="O1375" s="7">
        <v>-12.5</v>
      </c>
      <c r="P1375" s="7">
        <v>-1</v>
      </c>
      <c r="Q1375" s="7"/>
      <c r="R1375" s="7"/>
      <c r="S1375" s="7"/>
      <c r="T1375" s="7"/>
      <c r="V1375" s="4">
        <v>20</v>
      </c>
      <c r="W1375" s="7"/>
      <c r="X1375" s="7">
        <v>1</v>
      </c>
    </row>
    <row r="1376" spans="1:24" x14ac:dyDescent="0.25">
      <c r="A1376" s="23">
        <v>46122</v>
      </c>
      <c r="B1376" s="7" t="s">
        <v>129</v>
      </c>
      <c r="C1376" s="7">
        <v>-1560</v>
      </c>
      <c r="D1376" s="7">
        <v>-720</v>
      </c>
      <c r="E1376" s="7"/>
      <c r="F1376" s="7">
        <v>-100</v>
      </c>
      <c r="G1376" s="7">
        <v>-400</v>
      </c>
      <c r="H1376" s="7">
        <v>-620</v>
      </c>
      <c r="I1376" s="7">
        <v>-160</v>
      </c>
      <c r="J1376" s="7">
        <v>-440</v>
      </c>
      <c r="K1376" s="7">
        <v>-4</v>
      </c>
      <c r="L1376" s="7">
        <v>-12</v>
      </c>
      <c r="M1376" s="7">
        <v>-2</v>
      </c>
      <c r="N1376" s="7">
        <v>-2</v>
      </c>
      <c r="O1376" s="7"/>
      <c r="P1376" s="7"/>
      <c r="Q1376" s="7"/>
      <c r="R1376" s="7"/>
      <c r="S1376" s="7"/>
      <c r="T1376" s="7">
        <v>80</v>
      </c>
      <c r="W1376" s="7">
        <v>4</v>
      </c>
      <c r="X1376" s="7"/>
    </row>
    <row r="1377" spans="1:24" x14ac:dyDescent="0.25">
      <c r="A1377" s="23">
        <v>46123</v>
      </c>
      <c r="B1377" s="7" t="s">
        <v>33</v>
      </c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>
        <v>-31</v>
      </c>
      <c r="U1377" s="7">
        <v>0</v>
      </c>
      <c r="V1377" s="7">
        <v>-24</v>
      </c>
      <c r="W1377" s="7"/>
      <c r="X1377" s="7"/>
    </row>
    <row r="1378" spans="1:24" x14ac:dyDescent="0.25">
      <c r="A1378" s="23">
        <v>46123</v>
      </c>
      <c r="B1378" s="7" t="s">
        <v>285</v>
      </c>
      <c r="C1378" s="7">
        <v>12600</v>
      </c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 spans="1:24" x14ac:dyDescent="0.25">
      <c r="A1379" s="23">
        <v>46124</v>
      </c>
      <c r="B1379" s="7" t="s">
        <v>33</v>
      </c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>
        <v>-31</v>
      </c>
      <c r="U1379" s="7">
        <v>0</v>
      </c>
      <c r="V1379" s="7">
        <v>-24</v>
      </c>
      <c r="W1379" s="7"/>
      <c r="X1379" s="7"/>
    </row>
    <row r="1380" spans="1:24" x14ac:dyDescent="0.25">
      <c r="A1380" s="23">
        <v>46125</v>
      </c>
      <c r="B1380" s="7" t="s">
        <v>33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>
        <v>-31</v>
      </c>
      <c r="U1380" s="7">
        <v>0</v>
      </c>
      <c r="V1380" s="7">
        <v>-24</v>
      </c>
      <c r="W1380" s="7"/>
      <c r="X1380" s="7"/>
    </row>
    <row r="1381" spans="1:24" x14ac:dyDescent="0.25">
      <c r="A1381" s="23">
        <v>46125</v>
      </c>
      <c r="B1381" s="7" t="s">
        <v>146</v>
      </c>
      <c r="C1381" s="7">
        <v>-1950</v>
      </c>
      <c r="D1381" s="7">
        <v>-900</v>
      </c>
      <c r="E1381" s="7"/>
      <c r="F1381" s="7">
        <v>-125</v>
      </c>
      <c r="G1381" s="7">
        <v>-500</v>
      </c>
      <c r="H1381" s="7">
        <v>-775</v>
      </c>
      <c r="I1381" s="7">
        <v>-200</v>
      </c>
      <c r="J1381" s="7">
        <v>-550</v>
      </c>
      <c r="K1381" s="7">
        <v>-5</v>
      </c>
      <c r="L1381" s="7">
        <v>-15</v>
      </c>
      <c r="M1381" s="7">
        <v>-2.5</v>
      </c>
      <c r="N1381" s="7">
        <v>-2.5</v>
      </c>
      <c r="O1381" s="7"/>
      <c r="P1381" s="7"/>
      <c r="Q1381" s="7"/>
      <c r="R1381" s="7"/>
      <c r="S1381" s="7"/>
      <c r="T1381" s="7">
        <v>100</v>
      </c>
      <c r="U1381" s="7"/>
      <c r="V1381" s="7"/>
      <c r="W1381" s="7">
        <v>5</v>
      </c>
      <c r="X1381" s="7"/>
    </row>
    <row r="1382" spans="1:24" x14ac:dyDescent="0.25">
      <c r="A1382" s="23">
        <v>46126</v>
      </c>
      <c r="B1382" s="7" t="s">
        <v>54</v>
      </c>
      <c r="C1382" s="7"/>
      <c r="D1382" s="7"/>
      <c r="E1382" s="7"/>
      <c r="F1382" s="7"/>
      <c r="G1382" s="7"/>
      <c r="H1382" s="7"/>
      <c r="I1382" s="7">
        <v>7500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 spans="1:24" x14ac:dyDescent="0.25">
      <c r="A1383" s="23">
        <v>46126</v>
      </c>
      <c r="B1383" s="7" t="s">
        <v>83</v>
      </c>
      <c r="C1383" s="7"/>
      <c r="D1383" s="7"/>
      <c r="E1383" s="7">
        <v>3510</v>
      </c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 spans="1:24" x14ac:dyDescent="0.25">
      <c r="A1384" s="23">
        <v>46126</v>
      </c>
      <c r="B1384" s="7" t="s">
        <v>33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>
        <v>-31</v>
      </c>
      <c r="U1384" s="7">
        <v>0</v>
      </c>
      <c r="V1384" s="7">
        <v>-25</v>
      </c>
      <c r="W1384" s="7"/>
      <c r="X1384" s="7"/>
    </row>
    <row r="1385" spans="1:24" x14ac:dyDescent="0.25">
      <c r="A1385" s="23">
        <v>46126</v>
      </c>
      <c r="B1385" s="7" t="s">
        <v>286</v>
      </c>
      <c r="C1385" s="7">
        <v>-810</v>
      </c>
      <c r="D1385" s="7">
        <v>-1215</v>
      </c>
      <c r="E1385" s="7">
        <v>-1260</v>
      </c>
      <c r="F1385" s="7"/>
      <c r="G1385" s="7">
        <v>-45</v>
      </c>
      <c r="H1385" s="7">
        <v>-135</v>
      </c>
      <c r="I1385" s="7">
        <v>-540</v>
      </c>
      <c r="J1385" s="7">
        <v>-675</v>
      </c>
      <c r="K1385" s="7"/>
      <c r="L1385" s="7"/>
      <c r="M1385" s="7">
        <v>-4.5</v>
      </c>
      <c r="N1385" s="7"/>
      <c r="O1385" s="7">
        <v>-112.5</v>
      </c>
      <c r="P1385" s="7">
        <v>-5.5</v>
      </c>
      <c r="Q1385" s="7"/>
      <c r="R1385" s="7"/>
      <c r="S1385" s="7"/>
      <c r="T1385" s="7"/>
      <c r="V1385" s="4">
        <v>180</v>
      </c>
      <c r="W1385" s="7"/>
      <c r="X1385" s="7">
        <v>9</v>
      </c>
    </row>
    <row r="1386" spans="1:24" x14ac:dyDescent="0.25">
      <c r="A1386" s="23">
        <v>46127</v>
      </c>
      <c r="B1386" s="7" t="s">
        <v>33</v>
      </c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>
        <v>-31</v>
      </c>
      <c r="U1386" s="7">
        <v>0</v>
      </c>
      <c r="V1386" s="7">
        <v>-26</v>
      </c>
      <c r="W1386" s="7"/>
      <c r="X1386" s="7"/>
    </row>
    <row r="1387" spans="1:24" x14ac:dyDescent="0.25">
      <c r="A1387" s="23">
        <v>46128</v>
      </c>
      <c r="B1387" s="7" t="s">
        <v>33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>
        <v>-31</v>
      </c>
      <c r="U1387" s="7">
        <v>0</v>
      </c>
      <c r="V1387" s="7">
        <v>-26</v>
      </c>
      <c r="W1387" s="7"/>
      <c r="X1387" s="7"/>
    </row>
    <row r="1388" spans="1:24" x14ac:dyDescent="0.25">
      <c r="A1388" s="23">
        <v>46128</v>
      </c>
      <c r="B1388" s="7" t="s">
        <v>146</v>
      </c>
      <c r="C1388" s="7">
        <v>-1950</v>
      </c>
      <c r="D1388" s="7">
        <v>-900</v>
      </c>
      <c r="E1388" s="7"/>
      <c r="F1388" s="7">
        <v>-125</v>
      </c>
      <c r="G1388" s="7">
        <v>-500</v>
      </c>
      <c r="H1388" s="7">
        <v>-775</v>
      </c>
      <c r="I1388" s="7">
        <v>-200</v>
      </c>
      <c r="J1388" s="7">
        <v>-550</v>
      </c>
      <c r="K1388" s="7">
        <v>-5</v>
      </c>
      <c r="L1388" s="7">
        <v>-15</v>
      </c>
      <c r="M1388" s="7">
        <v>-2.5</v>
      </c>
      <c r="N1388" s="7">
        <v>-2.5</v>
      </c>
      <c r="O1388" s="7"/>
      <c r="P1388" s="7"/>
      <c r="Q1388" s="7"/>
      <c r="R1388" s="7"/>
      <c r="S1388" s="7"/>
      <c r="T1388" s="7">
        <v>100</v>
      </c>
      <c r="U1388" s="7"/>
      <c r="V1388" s="7"/>
      <c r="W1388" s="7">
        <v>5</v>
      </c>
      <c r="X1388" s="7"/>
    </row>
    <row r="1389" spans="1:24" x14ac:dyDescent="0.25">
      <c r="A1389" s="23">
        <v>46128</v>
      </c>
      <c r="B1389" s="7" t="s">
        <v>287</v>
      </c>
      <c r="C1389" s="7">
        <v>-1525</v>
      </c>
      <c r="D1389" s="7">
        <v>-1000</v>
      </c>
      <c r="E1389" s="7">
        <v>-700</v>
      </c>
      <c r="F1389" s="7"/>
      <c r="G1389" s="7">
        <v>-50</v>
      </c>
      <c r="H1389" s="7">
        <v>-850</v>
      </c>
      <c r="I1389" s="7">
        <v>-300</v>
      </c>
      <c r="J1389" s="7">
        <v>-450</v>
      </c>
      <c r="K1389" s="7"/>
      <c r="L1389" s="7"/>
      <c r="M1389" s="7">
        <v>-2.5</v>
      </c>
      <c r="N1389" s="7"/>
      <c r="O1389" s="7">
        <v>-125</v>
      </c>
      <c r="P1389" s="7">
        <v>-5</v>
      </c>
      <c r="Q1389" s="7"/>
      <c r="R1389" s="7"/>
      <c r="S1389" s="7"/>
      <c r="T1389" s="7"/>
      <c r="U1389" s="7"/>
      <c r="V1389" s="7">
        <v>100</v>
      </c>
      <c r="W1389" s="7"/>
      <c r="X1389" s="7">
        <v>5</v>
      </c>
    </row>
    <row r="1390" spans="1:24" x14ac:dyDescent="0.25">
      <c r="A1390" s="23">
        <v>46129</v>
      </c>
      <c r="B1390" s="7" t="s">
        <v>33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>
        <v>-31</v>
      </c>
      <c r="U1390" s="7">
        <v>0</v>
      </c>
      <c r="V1390" s="7">
        <v>-28</v>
      </c>
      <c r="W1390" s="7"/>
      <c r="X1390" s="7"/>
    </row>
    <row r="1391" spans="1:24" x14ac:dyDescent="0.25">
      <c r="A1391" s="23">
        <v>46129</v>
      </c>
      <c r="B1391" s="7" t="s">
        <v>290</v>
      </c>
      <c r="C1391" s="7">
        <v>964</v>
      </c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 spans="1:24" x14ac:dyDescent="0.25">
      <c r="A1392" s="23">
        <v>46129</v>
      </c>
      <c r="B1392" s="7" t="s">
        <v>291</v>
      </c>
      <c r="C1392" s="7">
        <v>381</v>
      </c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 spans="1:24" x14ac:dyDescent="0.25">
      <c r="A1393" s="23">
        <v>46129</v>
      </c>
      <c r="B1393" s="7" t="s">
        <v>18</v>
      </c>
      <c r="C1393" s="7"/>
      <c r="D1393" s="7"/>
      <c r="E1393" s="7"/>
      <c r="F1393" s="7"/>
      <c r="G1393" s="7"/>
      <c r="H1393" s="7">
        <v>2300</v>
      </c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 spans="1:24" x14ac:dyDescent="0.25">
      <c r="A1394" s="23">
        <v>46130</v>
      </c>
      <c r="B1394" s="7" t="s">
        <v>33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>
        <v>-31</v>
      </c>
      <c r="U1394" s="7">
        <v>0</v>
      </c>
      <c r="V1394" s="7">
        <v>-28</v>
      </c>
      <c r="W1394" s="7"/>
      <c r="X1394" s="7"/>
    </row>
    <row r="1395" spans="1:24" x14ac:dyDescent="0.25">
      <c r="A1395" s="23">
        <v>46131</v>
      </c>
      <c r="B1395" s="7" t="s">
        <v>33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>
        <v>-31</v>
      </c>
      <c r="U1395" s="7">
        <v>0</v>
      </c>
      <c r="V1395" s="7">
        <v>-28</v>
      </c>
      <c r="W1395" s="7"/>
      <c r="X1395" s="7"/>
    </row>
    <row r="1396" spans="1:24" x14ac:dyDescent="0.25">
      <c r="A1396" s="23">
        <v>46132</v>
      </c>
      <c r="B1396" s="7" t="s">
        <v>146</v>
      </c>
      <c r="C1396" s="7">
        <v>-1950</v>
      </c>
      <c r="D1396" s="7">
        <v>-900</v>
      </c>
      <c r="E1396" s="7"/>
      <c r="F1396" s="7">
        <v>-125</v>
      </c>
      <c r="G1396" s="7">
        <v>-500</v>
      </c>
      <c r="H1396" s="7">
        <v>-775</v>
      </c>
      <c r="I1396" s="7">
        <v>-200</v>
      </c>
      <c r="J1396" s="7">
        <v>-550</v>
      </c>
      <c r="K1396" s="7">
        <v>-5</v>
      </c>
      <c r="L1396" s="7">
        <v>-15</v>
      </c>
      <c r="M1396" s="7">
        <v>-2.5</v>
      </c>
      <c r="N1396" s="7">
        <v>-2.5</v>
      </c>
      <c r="O1396" s="7"/>
      <c r="P1396" s="7"/>
      <c r="Q1396" s="7"/>
      <c r="R1396" s="7"/>
      <c r="S1396" s="7"/>
      <c r="T1396" s="7">
        <v>100</v>
      </c>
      <c r="U1396" s="7"/>
      <c r="V1396" s="7"/>
      <c r="W1396" s="7">
        <v>5</v>
      </c>
      <c r="X1396" s="7"/>
    </row>
    <row r="1397" spans="1:24" x14ac:dyDescent="0.25">
      <c r="A1397" s="23">
        <v>46132</v>
      </c>
      <c r="B1397" s="7" t="s">
        <v>33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>
        <v>-31</v>
      </c>
      <c r="U1397" s="7">
        <v>0</v>
      </c>
      <c r="V1397" s="7">
        <v>-28</v>
      </c>
      <c r="W1397" s="7"/>
      <c r="X1397" s="7"/>
    </row>
    <row r="1398" spans="1:24" x14ac:dyDescent="0.25">
      <c r="A1398" s="23">
        <v>46133</v>
      </c>
      <c r="B1398" s="7" t="s">
        <v>89</v>
      </c>
      <c r="C1398" s="7">
        <v>12600</v>
      </c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 spans="1:24" x14ac:dyDescent="0.25">
      <c r="A1399" s="23">
        <v>46133</v>
      </c>
      <c r="B1399" s="7" t="s">
        <v>22</v>
      </c>
      <c r="C1399" s="7"/>
      <c r="D1399" s="7">
        <v>12000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 spans="1:24" x14ac:dyDescent="0.25">
      <c r="A1400" s="23">
        <v>46133</v>
      </c>
      <c r="B1400" s="7" t="s">
        <v>33</v>
      </c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>
        <v>-31</v>
      </c>
      <c r="U1400" s="7">
        <v>0</v>
      </c>
      <c r="V1400" s="7">
        <v>-28</v>
      </c>
      <c r="W1400" s="7"/>
      <c r="X1400" s="7"/>
    </row>
    <row r="1401" spans="1:24" x14ac:dyDescent="0.25">
      <c r="A1401" s="23">
        <v>46134</v>
      </c>
      <c r="B1401" s="7" t="s">
        <v>33</v>
      </c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>
        <v>-31</v>
      </c>
      <c r="U1401" s="7">
        <v>0</v>
      </c>
      <c r="V1401" s="7">
        <v>-28</v>
      </c>
      <c r="W1401" s="7"/>
      <c r="X1401" s="7"/>
    </row>
    <row r="1402" spans="1:24" x14ac:dyDescent="0.25">
      <c r="A1402" s="23">
        <v>46135</v>
      </c>
      <c r="B1402" s="7" t="s">
        <v>33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>
        <v>-31</v>
      </c>
      <c r="U1402" s="7">
        <v>0</v>
      </c>
      <c r="V1402" s="7">
        <v>-28</v>
      </c>
      <c r="W1402" s="7"/>
      <c r="X1402" s="7"/>
    </row>
    <row r="1403" spans="1:24" x14ac:dyDescent="0.25">
      <c r="A1403" s="23">
        <v>46135</v>
      </c>
      <c r="B1403" s="7" t="s">
        <v>124</v>
      </c>
      <c r="C1403" s="7">
        <v>-780</v>
      </c>
      <c r="D1403" s="7">
        <v>-360</v>
      </c>
      <c r="E1403" s="7"/>
      <c r="F1403" s="7">
        <v>-50</v>
      </c>
      <c r="G1403" s="7">
        <v>-200</v>
      </c>
      <c r="H1403" s="7">
        <v>-310</v>
      </c>
      <c r="I1403" s="7">
        <v>-80</v>
      </c>
      <c r="J1403" s="7">
        <v>-220</v>
      </c>
      <c r="K1403" s="7">
        <v>-2</v>
      </c>
      <c r="L1403" s="7">
        <v>-6</v>
      </c>
      <c r="M1403" s="7">
        <v>-1</v>
      </c>
      <c r="N1403" s="7">
        <v>-1</v>
      </c>
      <c r="O1403" s="7"/>
      <c r="P1403" s="7"/>
      <c r="Q1403" s="7"/>
      <c r="R1403" s="7"/>
      <c r="S1403" s="7"/>
      <c r="T1403" s="7">
        <v>40</v>
      </c>
      <c r="U1403" s="7"/>
      <c r="V1403" s="7"/>
      <c r="W1403" s="7">
        <v>2</v>
      </c>
      <c r="X1403" s="7"/>
    </row>
    <row r="1404" spans="1:24" x14ac:dyDescent="0.25">
      <c r="A1404" s="23">
        <v>46135</v>
      </c>
      <c r="B1404" s="7" t="s">
        <v>293</v>
      </c>
      <c r="C1404" s="7">
        <v>-1220</v>
      </c>
      <c r="D1404" s="7">
        <v>-880</v>
      </c>
      <c r="E1404" s="7">
        <v>-560</v>
      </c>
      <c r="F1404" s="7">
        <v>-100</v>
      </c>
      <c r="G1404" s="7">
        <v>-40</v>
      </c>
      <c r="H1404" s="7">
        <v>-600</v>
      </c>
      <c r="I1404" s="7">
        <v>-280</v>
      </c>
      <c r="J1404" s="7">
        <v>-320</v>
      </c>
      <c r="K1404" s="7"/>
      <c r="L1404" s="7"/>
      <c r="M1404" s="7">
        <v>-2</v>
      </c>
      <c r="N1404" s="7"/>
      <c r="O1404" s="7"/>
      <c r="P1404" s="7">
        <v>-4</v>
      </c>
      <c r="Q1404" s="7"/>
      <c r="R1404" s="7"/>
      <c r="S1404" s="7"/>
      <c r="T1404" s="7"/>
      <c r="U1404" s="7"/>
      <c r="V1404" s="7">
        <v>80</v>
      </c>
      <c r="W1404" s="7"/>
      <c r="X1404" s="7">
        <v>4</v>
      </c>
    </row>
    <row r="1405" spans="1:24" x14ac:dyDescent="0.25">
      <c r="A1405" s="23">
        <v>46136</v>
      </c>
      <c r="B1405" s="7" t="s">
        <v>33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>
        <v>-31</v>
      </c>
      <c r="U1405" s="7">
        <v>0</v>
      </c>
      <c r="V1405" s="7">
        <v>-28</v>
      </c>
      <c r="W1405" s="7"/>
      <c r="X1405" s="7"/>
    </row>
    <row r="1406" spans="1:24" x14ac:dyDescent="0.25">
      <c r="A1406" s="23">
        <v>46136</v>
      </c>
      <c r="B1406" s="7" t="s">
        <v>83</v>
      </c>
      <c r="C1406" s="7"/>
      <c r="D1406" s="7"/>
      <c r="E1406" s="7">
        <v>12015</v>
      </c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 spans="1:24" x14ac:dyDescent="0.25">
      <c r="A1407" s="23">
        <v>46137</v>
      </c>
      <c r="B1407" s="7" t="s">
        <v>33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>
        <v>-31</v>
      </c>
      <c r="U1407" s="7">
        <v>0</v>
      </c>
      <c r="V1407" s="7">
        <v>-29</v>
      </c>
      <c r="W1407" s="7"/>
      <c r="X1407" s="7"/>
    </row>
    <row r="1408" spans="1:24" x14ac:dyDescent="0.25">
      <c r="A1408" s="23">
        <v>46137</v>
      </c>
      <c r="B1408" s="7" t="s">
        <v>287</v>
      </c>
      <c r="C1408" s="7">
        <v>-1525</v>
      </c>
      <c r="D1408" s="7">
        <v>-1100</v>
      </c>
      <c r="E1408" s="7">
        <v>-700</v>
      </c>
      <c r="F1408" s="7">
        <v>-125</v>
      </c>
      <c r="G1408" s="7">
        <v>-50</v>
      </c>
      <c r="H1408" s="7">
        <v>-750</v>
      </c>
      <c r="I1408" s="7">
        <v>-350</v>
      </c>
      <c r="J1408" s="7">
        <v>-400</v>
      </c>
      <c r="K1408" s="7"/>
      <c r="L1408" s="7"/>
      <c r="M1408" s="7">
        <v>-2.5</v>
      </c>
      <c r="N1408" s="7"/>
      <c r="O1408" s="7"/>
      <c r="P1408" s="7">
        <v>-5</v>
      </c>
      <c r="Q1408" s="7"/>
      <c r="R1408" s="7"/>
      <c r="S1408" s="7"/>
      <c r="T1408" s="7"/>
      <c r="U1408" s="7"/>
      <c r="V1408" s="7">
        <v>100</v>
      </c>
      <c r="W1408" s="7"/>
      <c r="X1408" s="7">
        <v>5</v>
      </c>
    </row>
    <row r="1409" spans="1:29" x14ac:dyDescent="0.25">
      <c r="A1409" s="23">
        <v>46138</v>
      </c>
      <c r="B1409" s="7" t="s">
        <v>33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>
        <v>-31</v>
      </c>
      <c r="U1409" s="7">
        <v>0</v>
      </c>
      <c r="V1409" s="7">
        <v>-29</v>
      </c>
      <c r="W1409" s="7"/>
      <c r="X1409" s="7"/>
    </row>
    <row r="1410" spans="1:29" x14ac:dyDescent="0.25">
      <c r="A1410" s="23">
        <v>46139</v>
      </c>
      <c r="B1410" s="7" t="s">
        <v>33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>
        <v>-31</v>
      </c>
      <c r="U1410" s="7">
        <v>0</v>
      </c>
      <c r="V1410" s="7">
        <v>-29</v>
      </c>
      <c r="W1410" s="7"/>
      <c r="X1410" s="7"/>
    </row>
    <row r="1411" spans="1:29" x14ac:dyDescent="0.25">
      <c r="A1411" s="23">
        <v>46139</v>
      </c>
      <c r="B1411" s="7" t="s">
        <v>287</v>
      </c>
      <c r="C1411" s="7">
        <v>-1525</v>
      </c>
      <c r="D1411" s="7">
        <v>-1100</v>
      </c>
      <c r="E1411" s="7">
        <v>-700</v>
      </c>
      <c r="F1411" s="7">
        <v>-125</v>
      </c>
      <c r="G1411" s="7">
        <v>-50</v>
      </c>
      <c r="H1411" s="7">
        <v>-750</v>
      </c>
      <c r="I1411" s="7">
        <v>-350</v>
      </c>
      <c r="J1411" s="7">
        <v>-400</v>
      </c>
      <c r="K1411" s="7"/>
      <c r="L1411" s="7"/>
      <c r="M1411" s="7">
        <v>-2.5</v>
      </c>
      <c r="N1411" s="7"/>
      <c r="O1411" s="7"/>
      <c r="P1411" s="7">
        <v>-5</v>
      </c>
      <c r="Q1411" s="7"/>
      <c r="R1411" s="7"/>
      <c r="S1411" s="7"/>
      <c r="T1411" s="7"/>
      <c r="U1411" s="7"/>
      <c r="V1411" s="7">
        <v>100</v>
      </c>
      <c r="W1411" s="7"/>
      <c r="X1411" s="7">
        <v>5</v>
      </c>
    </row>
    <row r="1412" spans="1:29" x14ac:dyDescent="0.25">
      <c r="A1412" s="23">
        <v>46140</v>
      </c>
      <c r="B1412" s="7" t="s">
        <v>33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>
        <v>-31</v>
      </c>
      <c r="U1412" s="7">
        <v>0</v>
      </c>
      <c r="V1412" s="7">
        <v>-30</v>
      </c>
      <c r="W1412" s="7"/>
      <c r="X1412" s="7"/>
    </row>
    <row r="1413" spans="1:29" x14ac:dyDescent="0.25">
      <c r="A1413" s="23">
        <v>46140</v>
      </c>
      <c r="B1413" s="7" t="s">
        <v>13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>
        <v>50</v>
      </c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 spans="1:29" x14ac:dyDescent="0.25">
      <c r="A1414" s="23">
        <v>46140</v>
      </c>
      <c r="B1414" s="7" t="s">
        <v>12</v>
      </c>
      <c r="C1414" s="7"/>
      <c r="D1414" s="7"/>
      <c r="E1414" s="7"/>
      <c r="F1414" s="7"/>
      <c r="G1414" s="7"/>
      <c r="H1414" s="7"/>
      <c r="I1414" s="7"/>
      <c r="J1414" s="7"/>
      <c r="K1414" s="7"/>
      <c r="L1414" s="7">
        <v>250</v>
      </c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 spans="1:29" x14ac:dyDescent="0.25">
      <c r="A1415" s="23">
        <v>46140</v>
      </c>
      <c r="B1415" s="7" t="s">
        <v>127</v>
      </c>
      <c r="C1415" s="7">
        <v>-2340</v>
      </c>
      <c r="D1415" s="7">
        <v>-1080</v>
      </c>
      <c r="E1415" s="7"/>
      <c r="F1415" s="7">
        <v>-150</v>
      </c>
      <c r="G1415" s="7">
        <v>-600</v>
      </c>
      <c r="H1415" s="7">
        <v>-930</v>
      </c>
      <c r="I1415" s="7">
        <v>-240</v>
      </c>
      <c r="J1415" s="7">
        <v>-660</v>
      </c>
      <c r="K1415" s="7">
        <v>-6</v>
      </c>
      <c r="L1415" s="7">
        <v>-18</v>
      </c>
      <c r="M1415" s="7">
        <v>-3</v>
      </c>
      <c r="N1415" s="7">
        <v>-3</v>
      </c>
      <c r="O1415" s="7"/>
      <c r="P1415" s="7"/>
      <c r="Q1415" s="7"/>
      <c r="R1415" s="7"/>
      <c r="S1415" s="7"/>
      <c r="T1415" s="7">
        <v>120</v>
      </c>
      <c r="U1415" s="7"/>
      <c r="V1415" s="7"/>
      <c r="W1415" s="7">
        <v>6</v>
      </c>
    </row>
    <row r="1416" spans="1:29" x14ac:dyDescent="0.25">
      <c r="A1416" s="23">
        <v>46141</v>
      </c>
      <c r="B1416" s="7" t="s">
        <v>146</v>
      </c>
      <c r="C1416" s="7">
        <v>-1950</v>
      </c>
      <c r="D1416" s="7">
        <v>-900</v>
      </c>
      <c r="E1416" s="7"/>
      <c r="F1416" s="7">
        <v>-125</v>
      </c>
      <c r="G1416" s="7">
        <v>-500</v>
      </c>
      <c r="H1416" s="7">
        <v>-775</v>
      </c>
      <c r="I1416" s="7">
        <v>-200</v>
      </c>
      <c r="J1416" s="7">
        <v>-550</v>
      </c>
      <c r="K1416" s="7">
        <v>-5</v>
      </c>
      <c r="L1416" s="7">
        <v>-15</v>
      </c>
      <c r="M1416" s="7">
        <v>-2.5</v>
      </c>
      <c r="N1416" s="7">
        <v>-2.5</v>
      </c>
      <c r="O1416" s="7"/>
      <c r="P1416" s="7"/>
      <c r="Q1416" s="7"/>
      <c r="R1416" s="7"/>
      <c r="S1416" s="7"/>
      <c r="T1416" s="7">
        <v>100</v>
      </c>
      <c r="U1416" s="7"/>
      <c r="V1416" s="7"/>
      <c r="W1416" s="7">
        <v>5</v>
      </c>
    </row>
    <row r="1417" spans="1:29" x14ac:dyDescent="0.25">
      <c r="A1417" s="23">
        <v>46141</v>
      </c>
      <c r="B1417" s="7" t="s">
        <v>33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>
        <v>-31</v>
      </c>
      <c r="U1417" s="7">
        <v>0</v>
      </c>
      <c r="V1417" s="7">
        <v>-30</v>
      </c>
      <c r="W1417" s="7"/>
    </row>
    <row r="1418" spans="1:29" x14ac:dyDescent="0.25">
      <c r="A1418" s="23">
        <v>46141</v>
      </c>
      <c r="B1418" s="7" t="s">
        <v>294</v>
      </c>
      <c r="C1418" s="7">
        <v>-305</v>
      </c>
      <c r="D1418" s="7">
        <v>-200</v>
      </c>
      <c r="E1418" s="7">
        <v>-140</v>
      </c>
      <c r="F1418" s="7"/>
      <c r="G1418" s="7">
        <v>-10</v>
      </c>
      <c r="H1418" s="7">
        <v>-170</v>
      </c>
      <c r="I1418" s="7">
        <v>-60</v>
      </c>
      <c r="J1418" s="7">
        <v>-90</v>
      </c>
      <c r="K1418" s="7"/>
      <c r="L1418" s="7"/>
      <c r="M1418" s="7">
        <f>--0.5</f>
        <v>0.5</v>
      </c>
      <c r="N1418" s="7"/>
      <c r="O1418" s="7">
        <v>-25</v>
      </c>
      <c r="P1418" s="7">
        <v>-1</v>
      </c>
      <c r="Q1418" s="7"/>
      <c r="R1418" s="7"/>
      <c r="S1418" s="7"/>
      <c r="T1418" s="7"/>
      <c r="U1418" s="7"/>
      <c r="V1418" s="7">
        <v>20</v>
      </c>
      <c r="W1418" s="7"/>
      <c r="X1418" s="7">
        <v>1</v>
      </c>
    </row>
    <row r="1419" spans="1:29" x14ac:dyDescent="0.25">
      <c r="A1419" s="23">
        <v>46142</v>
      </c>
      <c r="B1419" s="7" t="s">
        <v>33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>
        <v>-31</v>
      </c>
      <c r="U1419" s="7">
        <v>0</v>
      </c>
      <c r="V1419" s="7">
        <v>-30</v>
      </c>
      <c r="W1419" s="7"/>
      <c r="X1419" s="7"/>
    </row>
    <row r="1420" spans="1:29" x14ac:dyDescent="0.25">
      <c r="A1420" s="23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 spans="1:29" x14ac:dyDescent="0.25">
      <c r="A1421" s="23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 spans="1:29" x14ac:dyDescent="0.25">
      <c r="A1422" s="7"/>
      <c r="B1422" s="7"/>
      <c r="C1422" s="7"/>
      <c r="D1422" s="7"/>
      <c r="E1422" s="7"/>
      <c r="F1422" s="7" t="s">
        <v>198</v>
      </c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>
        <f>SUM(W1353:W1418)</f>
        <v>48</v>
      </c>
      <c r="X1422" s="7">
        <f>SUM(X1353:X1418)</f>
        <v>47</v>
      </c>
      <c r="Y1422" s="7">
        <f>SUM(Y1353:Y1418)</f>
        <v>1</v>
      </c>
      <c r="AC1422" s="4">
        <v>6</v>
      </c>
    </row>
    <row r="1423" spans="1:29" x14ac:dyDescent="0.25">
      <c r="A1423" s="20"/>
      <c r="B1423" s="21" t="s">
        <v>25</v>
      </c>
      <c r="C1423" s="22">
        <f t="shared" ref="C1423:V1423" si="45">SUM(C1352:C1422)</f>
        <v>9266</v>
      </c>
      <c r="D1423" s="22">
        <f t="shared" si="45"/>
        <v>25787</v>
      </c>
      <c r="E1423" s="22">
        <f t="shared" si="45"/>
        <v>11575</v>
      </c>
      <c r="F1423" s="22">
        <f t="shared" si="45"/>
        <v>725</v>
      </c>
      <c r="G1423" s="22">
        <f t="shared" si="45"/>
        <v>2960</v>
      </c>
      <c r="H1423" s="22">
        <f t="shared" si="45"/>
        <v>9385</v>
      </c>
      <c r="I1423" s="22">
        <f t="shared" si="45"/>
        <v>9100</v>
      </c>
      <c r="J1423" s="22">
        <f t="shared" si="45"/>
        <v>4570</v>
      </c>
      <c r="K1423" s="22">
        <f t="shared" si="45"/>
        <v>97</v>
      </c>
      <c r="L1423" s="22">
        <f t="shared" si="45"/>
        <v>279</v>
      </c>
      <c r="M1423" s="22">
        <f t="shared" si="45"/>
        <v>38</v>
      </c>
      <c r="N1423" s="22">
        <f t="shared" si="45"/>
        <v>68.5</v>
      </c>
      <c r="O1423" s="22">
        <f t="shared" si="45"/>
        <v>130</v>
      </c>
      <c r="P1423" s="22">
        <f t="shared" si="45"/>
        <v>10.5</v>
      </c>
      <c r="Q1423" s="22">
        <f t="shared" si="45"/>
        <v>9</v>
      </c>
      <c r="R1423" s="22">
        <f t="shared" si="45"/>
        <v>14</v>
      </c>
      <c r="S1423" s="22">
        <f t="shared" si="45"/>
        <v>0</v>
      </c>
      <c r="T1423" s="22">
        <f t="shared" si="45"/>
        <v>154</v>
      </c>
      <c r="U1423" s="22">
        <f t="shared" si="45"/>
        <v>0</v>
      </c>
      <c r="V1423" s="22">
        <f t="shared" si="45"/>
        <v>128</v>
      </c>
      <c r="W1423" s="7"/>
      <c r="AC1423" s="4">
        <v>6</v>
      </c>
    </row>
    <row r="1424" spans="1:29" x14ac:dyDescent="0.25">
      <c r="A1424" s="17"/>
      <c r="B1424" s="17" t="s">
        <v>28</v>
      </c>
      <c r="C1424" s="17">
        <v>1061.5</v>
      </c>
      <c r="D1424" s="17">
        <v>609</v>
      </c>
      <c r="E1424" s="17">
        <v>210</v>
      </c>
      <c r="F1424" s="17">
        <v>76.25</v>
      </c>
      <c r="G1424" s="17">
        <v>170</v>
      </c>
      <c r="H1424" s="17">
        <v>465.25</v>
      </c>
      <c r="I1424" s="17">
        <v>167</v>
      </c>
      <c r="J1424" s="17">
        <v>290.5</v>
      </c>
      <c r="K1424" s="17">
        <v>1.55</v>
      </c>
      <c r="L1424" s="17">
        <v>4.6500000000000004</v>
      </c>
      <c r="M1424" s="17">
        <v>1.55</v>
      </c>
      <c r="N1424" s="17">
        <v>0.77500000000000002</v>
      </c>
      <c r="O1424" s="17">
        <v>0</v>
      </c>
      <c r="P1424" s="17">
        <v>1.5</v>
      </c>
      <c r="Q1424" s="17">
        <v>0</v>
      </c>
      <c r="R1424" s="17">
        <v>0</v>
      </c>
      <c r="S1424" s="17">
        <v>0</v>
      </c>
      <c r="T1424" s="17">
        <v>31</v>
      </c>
      <c r="U1424" s="21">
        <v>0</v>
      </c>
      <c r="V1424" s="21">
        <v>31</v>
      </c>
      <c r="W1424" s="7"/>
      <c r="AC1424" s="4">
        <v>6</v>
      </c>
    </row>
    <row r="1425" spans="1:29" x14ac:dyDescent="0.25">
      <c r="A1425" s="17"/>
      <c r="B1425" s="17" t="s">
        <v>26</v>
      </c>
      <c r="C1425" s="18">
        <f>C1423/C1424</f>
        <v>8.7291568535091848</v>
      </c>
      <c r="D1425" s="18">
        <f t="shared" ref="D1425:V1425" si="46">D1423/D1424</f>
        <v>42.343185550082104</v>
      </c>
      <c r="E1425" s="18">
        <f t="shared" si="46"/>
        <v>55.11904761904762</v>
      </c>
      <c r="F1425" s="18">
        <f t="shared" si="46"/>
        <v>9.5081967213114762</v>
      </c>
      <c r="G1425" s="18">
        <f t="shared" si="46"/>
        <v>17.411764705882351</v>
      </c>
      <c r="H1425" s="18">
        <f t="shared" si="46"/>
        <v>20.171950564212789</v>
      </c>
      <c r="I1425" s="18">
        <f t="shared" si="46"/>
        <v>54.491017964071858</v>
      </c>
      <c r="J1425" s="18">
        <f t="shared" si="46"/>
        <v>15.731497418244405</v>
      </c>
      <c r="K1425" s="18">
        <f t="shared" si="46"/>
        <v>62.58064516129032</v>
      </c>
      <c r="L1425" s="18">
        <f t="shared" si="46"/>
        <v>59.999999999999993</v>
      </c>
      <c r="M1425" s="18">
        <f t="shared" si="46"/>
        <v>24.516129032258064</v>
      </c>
      <c r="N1425" s="18">
        <f t="shared" si="46"/>
        <v>88.387096774193552</v>
      </c>
      <c r="O1425" s="18" t="e">
        <f t="shared" si="46"/>
        <v>#DIV/0!</v>
      </c>
      <c r="P1425" s="18">
        <f t="shared" si="46"/>
        <v>7</v>
      </c>
      <c r="Q1425" s="18" t="e">
        <f t="shared" si="46"/>
        <v>#DIV/0!</v>
      </c>
      <c r="R1425" s="18" t="e">
        <f t="shared" si="46"/>
        <v>#DIV/0!</v>
      </c>
      <c r="S1425" s="18" t="e">
        <f t="shared" si="46"/>
        <v>#DIV/0!</v>
      </c>
      <c r="T1425" s="18">
        <f t="shared" si="46"/>
        <v>4.967741935483871</v>
      </c>
      <c r="U1425" s="18" t="e">
        <f t="shared" si="46"/>
        <v>#DIV/0!</v>
      </c>
      <c r="V1425" s="18">
        <f t="shared" si="46"/>
        <v>4.129032258064516</v>
      </c>
      <c r="W1425" s="7"/>
      <c r="AC1425" s="4">
        <v>8</v>
      </c>
    </row>
    <row r="1426" spans="1:29" x14ac:dyDescent="0.25">
      <c r="A1426" s="21"/>
      <c r="B1426" s="21" t="s">
        <v>196</v>
      </c>
      <c r="C1426" s="21">
        <f>C1424*30</f>
        <v>31845</v>
      </c>
      <c r="D1426" s="21">
        <f t="shared" ref="D1426:V1426" si="47">D1424*30</f>
        <v>18270</v>
      </c>
      <c r="E1426" s="21">
        <f t="shared" si="47"/>
        <v>6300</v>
      </c>
      <c r="F1426" s="21">
        <f t="shared" si="47"/>
        <v>2287.5</v>
      </c>
      <c r="G1426" s="21">
        <f t="shared" si="47"/>
        <v>5100</v>
      </c>
      <c r="H1426" s="21">
        <f t="shared" si="47"/>
        <v>13957.5</v>
      </c>
      <c r="I1426" s="21">
        <f t="shared" si="47"/>
        <v>5010</v>
      </c>
      <c r="J1426" s="21">
        <f t="shared" si="47"/>
        <v>8715</v>
      </c>
      <c r="K1426" s="21">
        <f t="shared" si="47"/>
        <v>46.5</v>
      </c>
      <c r="L1426" s="21">
        <f t="shared" si="47"/>
        <v>139.5</v>
      </c>
      <c r="M1426" s="21">
        <f t="shared" si="47"/>
        <v>46.5</v>
      </c>
      <c r="N1426" s="21">
        <f t="shared" si="47"/>
        <v>23.25</v>
      </c>
      <c r="O1426" s="21">
        <f t="shared" si="47"/>
        <v>0</v>
      </c>
      <c r="P1426" s="21">
        <f t="shared" si="47"/>
        <v>45</v>
      </c>
      <c r="Q1426" s="21">
        <f t="shared" si="47"/>
        <v>0</v>
      </c>
      <c r="R1426" s="21">
        <f t="shared" si="47"/>
        <v>0</v>
      </c>
      <c r="S1426" s="21">
        <f t="shared" si="47"/>
        <v>0</v>
      </c>
      <c r="T1426" s="21">
        <f t="shared" si="47"/>
        <v>930</v>
      </c>
      <c r="U1426" s="21">
        <f t="shared" si="47"/>
        <v>0</v>
      </c>
      <c r="V1426" s="21">
        <f t="shared" si="47"/>
        <v>930</v>
      </c>
      <c r="W1426" s="7"/>
      <c r="AC1426" s="4">
        <v>8</v>
      </c>
    </row>
    <row r="1428" spans="1:29" ht="26" x14ac:dyDescent="0.6">
      <c r="I1428" s="34">
        <v>46143</v>
      </c>
    </row>
    <row r="1429" spans="1:29" x14ac:dyDescent="0.25">
      <c r="A1429" s="28"/>
      <c r="B1429" s="28"/>
      <c r="C1429" s="28"/>
      <c r="D1429" s="28"/>
      <c r="E1429" s="28"/>
      <c r="F1429" s="7"/>
      <c r="G1429" s="7"/>
      <c r="H1429" s="7"/>
      <c r="I1429" s="7"/>
      <c r="J1429" s="7"/>
      <c r="K1429" s="7"/>
      <c r="L1429" s="7"/>
      <c r="M1429" s="7"/>
      <c r="N1429" s="7"/>
      <c r="O1429" s="28"/>
      <c r="P1429" s="28"/>
      <c r="Q1429" s="28"/>
      <c r="R1429" s="28"/>
      <c r="S1429" s="28"/>
      <c r="T1429" s="28"/>
      <c r="U1429" s="7"/>
      <c r="V1429" s="7"/>
      <c r="W1429" s="7"/>
    </row>
    <row r="1430" spans="1:29" x14ac:dyDescent="0.25">
      <c r="A1430" s="28"/>
      <c r="B1430" s="28"/>
      <c r="C1430" s="28"/>
      <c r="D1430" s="28"/>
      <c r="E1430" s="28"/>
      <c r="F1430" s="7"/>
      <c r="G1430" s="7"/>
      <c r="H1430" s="7"/>
      <c r="I1430" s="7"/>
      <c r="J1430" s="7"/>
      <c r="K1430" s="7"/>
      <c r="L1430" s="7"/>
      <c r="M1430" s="7"/>
      <c r="N1430" s="7"/>
      <c r="O1430" s="28"/>
      <c r="P1430" s="28"/>
      <c r="Q1430" s="28"/>
      <c r="R1430" s="28"/>
      <c r="S1430" s="28"/>
      <c r="T1430" s="28"/>
      <c r="U1430" s="7"/>
      <c r="V1430" s="7"/>
      <c r="W1430" s="7"/>
    </row>
    <row r="1431" spans="1:29" x14ac:dyDescent="0.25">
      <c r="A1431" s="3">
        <v>46143</v>
      </c>
      <c r="B1431" s="9" t="s">
        <v>0</v>
      </c>
      <c r="C1431" s="10">
        <v>8800</v>
      </c>
      <c r="D1431" s="9">
        <v>25600</v>
      </c>
      <c r="E1431" s="7">
        <v>11506</v>
      </c>
      <c r="F1431" s="9">
        <v>725</v>
      </c>
      <c r="G1431" s="9">
        <v>3025</v>
      </c>
      <c r="H1431" s="9">
        <v>9235</v>
      </c>
      <c r="I1431" s="9">
        <v>9280</v>
      </c>
      <c r="J1431" s="9">
        <v>4570</v>
      </c>
      <c r="K1431" s="9">
        <v>97.5</v>
      </c>
      <c r="L1431" s="9">
        <v>279</v>
      </c>
      <c r="M1431" s="9">
        <v>35</v>
      </c>
      <c r="N1431" s="9">
        <v>69</v>
      </c>
      <c r="O1431" s="9">
        <v>146</v>
      </c>
      <c r="P1431" s="9">
        <v>8.4</v>
      </c>
      <c r="Q1431" s="9">
        <v>9</v>
      </c>
      <c r="R1431" s="9">
        <v>14</v>
      </c>
      <c r="S1431" s="9">
        <v>0</v>
      </c>
      <c r="T1431" s="9">
        <v>154</v>
      </c>
      <c r="U1431" s="40">
        <v>0</v>
      </c>
      <c r="V1431" s="40">
        <v>128</v>
      </c>
      <c r="W1431" s="40"/>
    </row>
    <row r="1432" spans="1:29" x14ac:dyDescent="0.25">
      <c r="A1432" s="23">
        <v>46143</v>
      </c>
      <c r="B1432" s="7" t="s">
        <v>33</v>
      </c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>
        <v>-31</v>
      </c>
      <c r="U1432" s="7">
        <v>0</v>
      </c>
      <c r="V1432" s="7">
        <v>-30</v>
      </c>
      <c r="W1432" s="7"/>
    </row>
    <row r="1433" spans="1:29" x14ac:dyDescent="0.25">
      <c r="A1433" s="23">
        <v>46144</v>
      </c>
      <c r="B1433" s="7" t="s">
        <v>297</v>
      </c>
      <c r="C1433" s="7">
        <v>-2440</v>
      </c>
      <c r="D1433" s="7">
        <v>-1760</v>
      </c>
      <c r="E1433" s="7">
        <v>-1120</v>
      </c>
      <c r="F1433" s="7">
        <v>-200</v>
      </c>
      <c r="G1433" s="7">
        <v>-80</v>
      </c>
      <c r="H1433" s="7">
        <v>-1200</v>
      </c>
      <c r="I1433" s="7">
        <v>-560</v>
      </c>
      <c r="J1433" s="7">
        <v>-640</v>
      </c>
      <c r="K1433" s="7"/>
      <c r="L1433" s="7"/>
      <c r="M1433" s="7">
        <v>-4</v>
      </c>
      <c r="N1433" s="7"/>
      <c r="O1433" s="7"/>
      <c r="P1433" s="7">
        <v>-8</v>
      </c>
      <c r="Q1433" s="7"/>
      <c r="R1433" s="7"/>
      <c r="S1433" s="7"/>
      <c r="T1433" s="7"/>
      <c r="U1433" s="7"/>
      <c r="V1433" s="7">
        <v>160</v>
      </c>
      <c r="W1433" s="7"/>
      <c r="X1433" s="7">
        <v>8</v>
      </c>
    </row>
    <row r="1434" spans="1:29" x14ac:dyDescent="0.25">
      <c r="A1434" s="23">
        <v>46144</v>
      </c>
      <c r="B1434" s="7" t="s">
        <v>126</v>
      </c>
      <c r="C1434" s="7">
        <v>-390</v>
      </c>
      <c r="D1434" s="7">
        <v>-180</v>
      </c>
      <c r="E1434" s="7"/>
      <c r="F1434" s="7">
        <v>-25</v>
      </c>
      <c r="G1434" s="7">
        <v>-100</v>
      </c>
      <c r="H1434" s="7">
        <v>-155</v>
      </c>
      <c r="I1434" s="7">
        <v>-40</v>
      </c>
      <c r="J1434" s="7">
        <v>-110</v>
      </c>
      <c r="K1434" s="7">
        <v>-1</v>
      </c>
      <c r="L1434" s="7">
        <v>-3</v>
      </c>
      <c r="M1434" s="7">
        <v>-0.5</v>
      </c>
      <c r="N1434" s="7">
        <v>-0.5</v>
      </c>
      <c r="O1434" s="7"/>
      <c r="P1434" s="7"/>
      <c r="Q1434" s="7"/>
      <c r="R1434" s="7"/>
      <c r="S1434" s="7"/>
      <c r="T1434" s="7">
        <v>20</v>
      </c>
      <c r="U1434" s="7"/>
      <c r="V1434" s="7"/>
      <c r="W1434" s="7">
        <v>1</v>
      </c>
    </row>
    <row r="1435" spans="1:29" x14ac:dyDescent="0.25">
      <c r="A1435" s="23">
        <v>46144</v>
      </c>
      <c r="B1435" s="7" t="s">
        <v>33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>
        <v>-31</v>
      </c>
      <c r="U1435" s="7">
        <v>0</v>
      </c>
      <c r="V1435" s="7">
        <v>-31</v>
      </c>
      <c r="W1435" s="7"/>
      <c r="X1435" s="7"/>
    </row>
    <row r="1436" spans="1:29" x14ac:dyDescent="0.25">
      <c r="A1436" s="23">
        <v>46145</v>
      </c>
      <c r="B1436" s="7" t="s">
        <v>33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>
        <v>-31</v>
      </c>
      <c r="U1436" s="7">
        <v>0</v>
      </c>
      <c r="V1436" s="7">
        <v>-31</v>
      </c>
      <c r="W1436" s="7"/>
      <c r="X1436" s="7"/>
    </row>
    <row r="1437" spans="1:29" x14ac:dyDescent="0.25">
      <c r="A1437" s="23">
        <v>46146</v>
      </c>
      <c r="B1437" s="7" t="s">
        <v>33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>
        <v>-31</v>
      </c>
      <c r="U1437" s="7">
        <v>0</v>
      </c>
      <c r="V1437" s="7">
        <v>-31</v>
      </c>
      <c r="W1437" s="7"/>
      <c r="X1437" s="7"/>
    </row>
    <row r="1438" spans="1:29" x14ac:dyDescent="0.25">
      <c r="A1438" s="23">
        <v>46147</v>
      </c>
      <c r="B1438" s="7" t="s">
        <v>33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>
        <v>-31</v>
      </c>
      <c r="U1438" s="7">
        <v>0</v>
      </c>
      <c r="V1438" s="7">
        <v>-31</v>
      </c>
      <c r="W1438" s="7"/>
      <c r="X1438" s="7"/>
    </row>
    <row r="1439" spans="1:29" x14ac:dyDescent="0.25">
      <c r="A1439" s="23">
        <v>46147</v>
      </c>
      <c r="B1439" s="7" t="s">
        <v>37</v>
      </c>
      <c r="C1439" s="7">
        <v>12740</v>
      </c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 spans="1:29" x14ac:dyDescent="0.25">
      <c r="A1440" s="23">
        <v>46147</v>
      </c>
      <c r="B1440" s="7" t="s">
        <v>8</v>
      </c>
      <c r="C1440" s="7"/>
      <c r="D1440" s="7"/>
      <c r="E1440" s="7"/>
      <c r="F1440" s="7"/>
      <c r="G1440" s="7">
        <v>11000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 spans="1:24" x14ac:dyDescent="0.25">
      <c r="A1441" s="23">
        <v>46148</v>
      </c>
      <c r="B1441" s="7" t="s">
        <v>33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>
        <v>-31</v>
      </c>
      <c r="U1441" s="7">
        <v>0</v>
      </c>
      <c r="V1441" s="7">
        <v>-31</v>
      </c>
      <c r="W1441" s="7"/>
      <c r="X1441" s="7"/>
    </row>
    <row r="1442" spans="1:24" x14ac:dyDescent="0.25">
      <c r="A1442" s="23">
        <v>46148</v>
      </c>
      <c r="B1442" s="7" t="s">
        <v>146</v>
      </c>
      <c r="C1442" s="7">
        <v>-1950</v>
      </c>
      <c r="D1442" s="7">
        <v>-900</v>
      </c>
      <c r="E1442" s="7"/>
      <c r="F1442" s="7">
        <v>-125</v>
      </c>
      <c r="G1442" s="7">
        <v>-500</v>
      </c>
      <c r="H1442" s="7">
        <v>-775</v>
      </c>
      <c r="I1442" s="7">
        <v>-200</v>
      </c>
      <c r="J1442" s="7">
        <v>-550</v>
      </c>
      <c r="K1442" s="7">
        <v>-5</v>
      </c>
      <c r="L1442" s="7">
        <v>-15</v>
      </c>
      <c r="M1442" s="7">
        <v>-2.5</v>
      </c>
      <c r="N1442" s="7">
        <v>-2.5</v>
      </c>
      <c r="O1442" s="7"/>
      <c r="P1442" s="7"/>
      <c r="Q1442" s="7"/>
      <c r="R1442" s="7"/>
      <c r="S1442" s="7"/>
      <c r="T1442" s="7">
        <v>100</v>
      </c>
      <c r="U1442" s="7"/>
      <c r="V1442" s="7"/>
      <c r="W1442" s="7">
        <v>5</v>
      </c>
      <c r="X1442" s="7"/>
    </row>
    <row r="1443" spans="1:24" x14ac:dyDescent="0.25">
      <c r="A1443" s="23">
        <v>46148</v>
      </c>
      <c r="B1443" s="7" t="s">
        <v>299</v>
      </c>
      <c r="C1443" s="7">
        <v>-610</v>
      </c>
      <c r="D1443" s="7">
        <v>-440</v>
      </c>
      <c r="E1443" s="7">
        <v>-280</v>
      </c>
      <c r="F1443" s="7">
        <v>-50</v>
      </c>
      <c r="G1443" s="7">
        <v>-20</v>
      </c>
      <c r="H1443" s="7">
        <v>-300</v>
      </c>
      <c r="I1443" s="7">
        <v>-140</v>
      </c>
      <c r="J1443" s="7">
        <v>-160</v>
      </c>
      <c r="K1443" s="7">
        <v>-2</v>
      </c>
      <c r="L1443" s="7"/>
      <c r="M1443" s="7">
        <v>-1</v>
      </c>
      <c r="N1443" s="7"/>
      <c r="O1443" s="7"/>
      <c r="P1443" s="7"/>
      <c r="Q1443" s="7"/>
      <c r="R1443" s="7"/>
      <c r="S1443" s="7"/>
      <c r="T1443" s="7"/>
      <c r="U1443" s="7"/>
      <c r="V1443" s="7">
        <v>40</v>
      </c>
      <c r="W1443" s="7"/>
      <c r="X1443" s="7">
        <v>2</v>
      </c>
    </row>
    <row r="1444" spans="1:24" x14ac:dyDescent="0.25">
      <c r="A1444" s="23">
        <v>46149</v>
      </c>
      <c r="B1444" s="7" t="s">
        <v>33</v>
      </c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>
        <v>-31</v>
      </c>
      <c r="U1444" s="7">
        <v>0</v>
      </c>
      <c r="V1444" s="7">
        <v>-31</v>
      </c>
      <c r="W1444" s="7"/>
      <c r="X1444" s="7"/>
    </row>
    <row r="1445" spans="1:24" x14ac:dyDescent="0.25">
      <c r="A1445" s="23">
        <v>46149</v>
      </c>
      <c r="B1445" s="7" t="s">
        <v>127</v>
      </c>
      <c r="C1445" s="7">
        <v>-2340</v>
      </c>
      <c r="D1445" s="7">
        <v>-1080</v>
      </c>
      <c r="E1445" s="7"/>
      <c r="F1445" s="7">
        <v>-150</v>
      </c>
      <c r="G1445" s="7">
        <v>-600</v>
      </c>
      <c r="H1445" s="7">
        <v>-930</v>
      </c>
      <c r="I1445" s="7">
        <v>-240</v>
      </c>
      <c r="J1445" s="7">
        <v>-660</v>
      </c>
      <c r="K1445" s="7">
        <v>-6</v>
      </c>
      <c r="L1445" s="7">
        <v>-18</v>
      </c>
      <c r="M1445" s="7">
        <v>-3</v>
      </c>
      <c r="N1445" s="7">
        <v>-3</v>
      </c>
      <c r="O1445" s="7"/>
      <c r="P1445" s="7"/>
      <c r="Q1445" s="7"/>
      <c r="R1445" s="7"/>
      <c r="S1445" s="7"/>
      <c r="T1445" s="7">
        <v>120</v>
      </c>
      <c r="U1445" s="7"/>
      <c r="V1445" s="7"/>
      <c r="W1445" s="7">
        <v>6</v>
      </c>
      <c r="X1445" s="7"/>
    </row>
    <row r="1446" spans="1:24" x14ac:dyDescent="0.25">
      <c r="A1446" s="23">
        <v>46150</v>
      </c>
      <c r="B1446" s="7" t="s">
        <v>33</v>
      </c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>
        <v>-31</v>
      </c>
      <c r="U1446" s="7">
        <v>0</v>
      </c>
      <c r="V1446" s="7">
        <v>-31</v>
      </c>
      <c r="W1446" s="7"/>
      <c r="X1446" s="7"/>
    </row>
    <row r="1447" spans="1:24" x14ac:dyDescent="0.25">
      <c r="A1447" s="23">
        <v>46151</v>
      </c>
      <c r="B1447" s="7" t="s">
        <v>33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>
        <v>-31</v>
      </c>
      <c r="U1447" s="7">
        <v>0</v>
      </c>
      <c r="V1447" s="7">
        <v>-32</v>
      </c>
      <c r="W1447" s="7"/>
      <c r="X1447" s="7"/>
    </row>
    <row r="1448" spans="1:24" x14ac:dyDescent="0.25">
      <c r="A1448" s="23">
        <v>46151</v>
      </c>
      <c r="B1448" s="7" t="s">
        <v>293</v>
      </c>
      <c r="C1448" s="7">
        <v>-1220</v>
      </c>
      <c r="D1448" s="7">
        <v>-880</v>
      </c>
      <c r="E1448" s="7">
        <v>-560</v>
      </c>
      <c r="F1448" s="7">
        <v>-100</v>
      </c>
      <c r="G1448" s="7">
        <v>-40</v>
      </c>
      <c r="H1448" s="7">
        <v>-600</v>
      </c>
      <c r="I1448" s="7">
        <v>-280</v>
      </c>
      <c r="J1448" s="7">
        <v>-320</v>
      </c>
      <c r="K1448" s="7"/>
      <c r="L1448" s="7"/>
      <c r="M1448" s="7">
        <v>-2</v>
      </c>
      <c r="N1448" s="7"/>
      <c r="O1448" s="7"/>
      <c r="P1448" s="7">
        <v>-4</v>
      </c>
      <c r="Q1448" s="7"/>
      <c r="R1448" s="7"/>
      <c r="S1448" s="7">
        <v>2</v>
      </c>
      <c r="T1448" s="7"/>
      <c r="U1448" s="7">
        <v>0</v>
      </c>
      <c r="V1448" s="7">
        <v>78</v>
      </c>
      <c r="W1448" s="7"/>
      <c r="X1448" s="7">
        <v>4</v>
      </c>
    </row>
    <row r="1449" spans="1:24" x14ac:dyDescent="0.25">
      <c r="A1449" s="23">
        <v>46152</v>
      </c>
      <c r="B1449" s="7" t="s">
        <v>33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>
        <v>-31</v>
      </c>
      <c r="U1449" s="7">
        <v>0</v>
      </c>
      <c r="V1449" s="7">
        <v>-32</v>
      </c>
      <c r="W1449" s="7"/>
      <c r="X1449" s="7"/>
    </row>
    <row r="1450" spans="1:24" x14ac:dyDescent="0.25">
      <c r="A1450" s="23">
        <v>46153</v>
      </c>
      <c r="B1450" s="7" t="s">
        <v>33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>
        <v>-31</v>
      </c>
      <c r="U1450" s="7">
        <v>0</v>
      </c>
      <c r="V1450" s="7">
        <v>-32</v>
      </c>
      <c r="W1450" s="7"/>
      <c r="X1450" s="7"/>
    </row>
    <row r="1451" spans="1:24" x14ac:dyDescent="0.25">
      <c r="A1451" s="23">
        <v>46154</v>
      </c>
      <c r="B1451" s="7" t="s">
        <v>18</v>
      </c>
      <c r="C1451" s="7"/>
      <c r="D1451" s="7"/>
      <c r="E1451" s="7"/>
      <c r="F1451" s="7"/>
      <c r="G1451" s="7"/>
      <c r="H1451" s="7">
        <v>8000</v>
      </c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 spans="1:24" x14ac:dyDescent="0.25">
      <c r="A1452" s="23">
        <v>46154</v>
      </c>
      <c r="B1452" s="7" t="s">
        <v>77</v>
      </c>
      <c r="C1452" s="7"/>
      <c r="D1452" s="7"/>
      <c r="E1452" s="7"/>
      <c r="F1452" s="7"/>
      <c r="G1452" s="7"/>
      <c r="H1452" s="7"/>
      <c r="I1452" s="7"/>
      <c r="J1452" s="7">
        <v>1800</v>
      </c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 spans="1:24" x14ac:dyDescent="0.25">
      <c r="A1453" s="23">
        <v>46154</v>
      </c>
      <c r="B1453" s="7" t="s">
        <v>299</v>
      </c>
      <c r="C1453" s="7">
        <v>-610</v>
      </c>
      <c r="D1453" s="7">
        <v>-440</v>
      </c>
      <c r="E1453" s="7">
        <v>-280</v>
      </c>
      <c r="F1453" s="7">
        <v>-50</v>
      </c>
      <c r="G1453" s="7">
        <v>-20</v>
      </c>
      <c r="H1453" s="7">
        <v>-300</v>
      </c>
      <c r="I1453" s="7">
        <v>-140</v>
      </c>
      <c r="J1453" s="7">
        <v>-160</v>
      </c>
      <c r="K1453" s="7">
        <v>-2</v>
      </c>
      <c r="L1453" s="7"/>
      <c r="M1453" s="7">
        <v>-1</v>
      </c>
      <c r="N1453" s="7"/>
      <c r="O1453" s="7"/>
      <c r="P1453" s="7"/>
      <c r="Q1453" s="7"/>
      <c r="R1453" s="7"/>
      <c r="S1453" s="7"/>
      <c r="T1453" s="7"/>
      <c r="U1453" s="7"/>
      <c r="V1453" s="7">
        <v>40</v>
      </c>
      <c r="W1453" s="7"/>
      <c r="X1453" s="7">
        <v>2</v>
      </c>
    </row>
    <row r="1454" spans="1:24" x14ac:dyDescent="0.25">
      <c r="A1454" s="23">
        <v>46154</v>
      </c>
      <c r="B1454" s="7" t="s">
        <v>124</v>
      </c>
      <c r="C1454" s="7">
        <v>-780</v>
      </c>
      <c r="D1454" s="7">
        <v>-360</v>
      </c>
      <c r="E1454" s="7"/>
      <c r="F1454" s="7">
        <v>-50</v>
      </c>
      <c r="G1454" s="7">
        <v>-200</v>
      </c>
      <c r="H1454" s="7">
        <v>-310</v>
      </c>
      <c r="I1454" s="7">
        <v>-80</v>
      </c>
      <c r="J1454" s="7">
        <v>-220</v>
      </c>
      <c r="K1454" s="7">
        <v>-2</v>
      </c>
      <c r="L1454" s="7">
        <v>-6</v>
      </c>
      <c r="M1454" s="7">
        <v>-1</v>
      </c>
      <c r="N1454" s="7">
        <v>-1</v>
      </c>
      <c r="O1454" s="7"/>
      <c r="P1454" s="7"/>
      <c r="Q1454" s="7"/>
      <c r="R1454" s="7"/>
      <c r="S1454" s="7"/>
      <c r="T1454" s="7">
        <v>40</v>
      </c>
      <c r="U1454" s="7"/>
      <c r="V1454" s="7"/>
      <c r="W1454" s="7">
        <v>2</v>
      </c>
      <c r="X1454" s="7"/>
    </row>
    <row r="1455" spans="1:24" x14ac:dyDescent="0.25">
      <c r="A1455" s="23">
        <v>46154</v>
      </c>
      <c r="B1455" s="7" t="s">
        <v>300</v>
      </c>
      <c r="C1455" s="7"/>
      <c r="D1455" s="7"/>
      <c r="E1455" s="7"/>
      <c r="F1455" s="7">
        <v>2500</v>
      </c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 spans="1:24" x14ac:dyDescent="0.25">
      <c r="A1456" s="23">
        <v>46154</v>
      </c>
      <c r="B1456" s="7" t="s">
        <v>86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>
        <v>25</v>
      </c>
      <c r="Q1456" s="7"/>
      <c r="R1456" s="7"/>
      <c r="S1456" s="7"/>
      <c r="T1456" s="7"/>
      <c r="U1456" s="7"/>
      <c r="V1456" s="7"/>
      <c r="W1456" s="7"/>
      <c r="X1456" s="7"/>
    </row>
    <row r="1457" spans="1:24" x14ac:dyDescent="0.25">
      <c r="A1457" s="23">
        <v>46154</v>
      </c>
      <c r="B1457" s="7" t="s">
        <v>33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>
        <v>-31</v>
      </c>
      <c r="U1457" s="7">
        <v>0</v>
      </c>
      <c r="V1457" s="7">
        <v>-32</v>
      </c>
      <c r="W1457" s="7"/>
      <c r="X1457" s="7"/>
    </row>
    <row r="1458" spans="1:24" x14ac:dyDescent="0.25">
      <c r="A1458" s="23">
        <v>46155</v>
      </c>
      <c r="B1458" s="7" t="s">
        <v>301</v>
      </c>
      <c r="C1458" s="7">
        <v>-915</v>
      </c>
      <c r="D1458" s="7">
        <v>-660</v>
      </c>
      <c r="E1458" s="7">
        <v>-420</v>
      </c>
      <c r="F1458" s="7">
        <v>-75</v>
      </c>
      <c r="G1458" s="7">
        <v>-30</v>
      </c>
      <c r="H1458" s="7">
        <v>-450</v>
      </c>
      <c r="I1458" s="7">
        <v>-210</v>
      </c>
      <c r="J1458" s="7">
        <v>-240</v>
      </c>
      <c r="K1458" s="7"/>
      <c r="L1458" s="7"/>
      <c r="M1458" s="7">
        <v>-1.5</v>
      </c>
      <c r="N1458" s="7"/>
      <c r="O1458" s="7"/>
      <c r="P1458" s="7">
        <v>-3</v>
      </c>
      <c r="Q1458" s="7"/>
      <c r="R1458" s="7"/>
      <c r="S1458" s="7"/>
      <c r="T1458" s="7"/>
      <c r="U1458" s="7"/>
      <c r="V1458" s="7">
        <v>60</v>
      </c>
      <c r="W1458" s="7"/>
      <c r="X1458" s="7">
        <v>3</v>
      </c>
    </row>
    <row r="1459" spans="1:24" x14ac:dyDescent="0.25">
      <c r="A1459" s="23">
        <v>46155</v>
      </c>
      <c r="B1459" s="7" t="s">
        <v>146</v>
      </c>
      <c r="C1459" s="7">
        <v>-1950</v>
      </c>
      <c r="D1459" s="7">
        <v>-900</v>
      </c>
      <c r="E1459" s="7"/>
      <c r="F1459" s="7">
        <v>-125</v>
      </c>
      <c r="G1459" s="7">
        <v>-500</v>
      </c>
      <c r="H1459" s="7">
        <v>-775</v>
      </c>
      <c r="I1459" s="7">
        <v>-200</v>
      </c>
      <c r="J1459" s="7">
        <v>-550</v>
      </c>
      <c r="K1459" s="7">
        <v>-5</v>
      </c>
      <c r="L1459" s="7">
        <v>-15</v>
      </c>
      <c r="M1459" s="7">
        <v>-2.5</v>
      </c>
      <c r="N1459" s="7">
        <v>-2.5</v>
      </c>
      <c r="O1459" s="7"/>
      <c r="P1459" s="7"/>
      <c r="Q1459" s="7"/>
      <c r="R1459" s="7"/>
      <c r="S1459" s="7"/>
      <c r="T1459" s="7">
        <v>100</v>
      </c>
      <c r="U1459" s="7"/>
      <c r="V1459" s="7"/>
      <c r="W1459" s="7">
        <v>5</v>
      </c>
      <c r="X1459" s="7"/>
    </row>
    <row r="1460" spans="1:24" x14ac:dyDescent="0.25">
      <c r="A1460" s="23">
        <v>46155</v>
      </c>
      <c r="B1460" s="7" t="s">
        <v>33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>
        <v>-31</v>
      </c>
      <c r="U1460" s="7">
        <v>0</v>
      </c>
      <c r="V1460" s="7">
        <v>-32</v>
      </c>
      <c r="W1460" s="7"/>
      <c r="X1460" s="7"/>
    </row>
    <row r="1461" spans="1:24" x14ac:dyDescent="0.25">
      <c r="A1461" s="23">
        <v>46156</v>
      </c>
      <c r="B1461" s="7" t="s">
        <v>33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>
        <v>-31</v>
      </c>
      <c r="U1461" s="7">
        <v>0</v>
      </c>
      <c r="V1461" s="7">
        <v>-32</v>
      </c>
      <c r="W1461" s="7"/>
      <c r="X1461" s="7"/>
    </row>
    <row r="1462" spans="1:24" x14ac:dyDescent="0.25">
      <c r="A1462" s="23">
        <v>46157</v>
      </c>
      <c r="B1462" s="7" t="s">
        <v>302</v>
      </c>
      <c r="C1462" s="7">
        <v>-3050</v>
      </c>
      <c r="D1462" s="7">
        <v>-2200</v>
      </c>
      <c r="E1462" s="7">
        <v>-1400</v>
      </c>
      <c r="F1462" s="7">
        <v>-250</v>
      </c>
      <c r="G1462" s="7">
        <v>-100</v>
      </c>
      <c r="H1462" s="7">
        <v>-1500</v>
      </c>
      <c r="I1462" s="7">
        <v>-700</v>
      </c>
      <c r="J1462" s="7">
        <v>-800</v>
      </c>
      <c r="K1462" s="7"/>
      <c r="L1462" s="7"/>
      <c r="M1462" s="7">
        <v>-5</v>
      </c>
      <c r="N1462" s="7"/>
      <c r="O1462" s="7"/>
      <c r="P1462" s="7">
        <v>-10</v>
      </c>
      <c r="Q1462" s="7"/>
      <c r="R1462" s="7"/>
      <c r="S1462" s="7"/>
      <c r="T1462" s="7"/>
      <c r="U1462" s="7"/>
      <c r="V1462" s="7">
        <v>200</v>
      </c>
      <c r="W1462" s="7"/>
      <c r="X1462" s="7">
        <v>10</v>
      </c>
    </row>
    <row r="1463" spans="1:24" x14ac:dyDescent="0.25">
      <c r="A1463" s="23">
        <v>46157</v>
      </c>
      <c r="B1463" s="7" t="s">
        <v>33</v>
      </c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>
        <v>-31</v>
      </c>
      <c r="U1463" s="7">
        <v>0</v>
      </c>
      <c r="V1463" s="7">
        <v>-32</v>
      </c>
      <c r="W1463" s="7"/>
      <c r="X1463" s="7"/>
    </row>
    <row r="1464" spans="1:24" x14ac:dyDescent="0.25">
      <c r="A1464" s="23">
        <v>46158</v>
      </c>
      <c r="B1464" s="7" t="s">
        <v>33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>
        <v>-31</v>
      </c>
      <c r="U1464" s="7">
        <v>0</v>
      </c>
      <c r="V1464" s="7">
        <v>-32</v>
      </c>
      <c r="W1464" s="7"/>
      <c r="X1464" s="7"/>
    </row>
    <row r="1465" spans="1:24" x14ac:dyDescent="0.25">
      <c r="A1465" s="23">
        <v>46159</v>
      </c>
      <c r="B1465" s="7" t="s">
        <v>33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>
        <v>-31</v>
      </c>
      <c r="U1465" s="7">
        <v>0</v>
      </c>
      <c r="V1465" s="7">
        <v>-32</v>
      </c>
      <c r="W1465" s="7"/>
      <c r="X1465" s="7"/>
    </row>
    <row r="1466" spans="1:24" x14ac:dyDescent="0.25">
      <c r="A1466" s="23">
        <v>46159</v>
      </c>
      <c r="B1466" s="7" t="s">
        <v>234</v>
      </c>
      <c r="C1466" s="7">
        <v>12620</v>
      </c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 spans="1:24" x14ac:dyDescent="0.25">
      <c r="A1467" s="23">
        <v>46160</v>
      </c>
      <c r="B1467" s="7" t="s">
        <v>33</v>
      </c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>
        <v>-31</v>
      </c>
      <c r="U1467" s="7">
        <v>0</v>
      </c>
      <c r="V1467" s="7">
        <v>-32</v>
      </c>
      <c r="W1467" s="7"/>
      <c r="X1467" s="7"/>
    </row>
    <row r="1468" spans="1:24" x14ac:dyDescent="0.25">
      <c r="A1468" s="23">
        <v>46160</v>
      </c>
      <c r="B1468" s="7" t="s">
        <v>146</v>
      </c>
      <c r="C1468" s="7">
        <v>-1950</v>
      </c>
      <c r="D1468" s="7">
        <v>-900</v>
      </c>
      <c r="E1468" s="7"/>
      <c r="F1468" s="7">
        <v>-125</v>
      </c>
      <c r="G1468" s="7">
        <v>-500</v>
      </c>
      <c r="H1468" s="7">
        <v>-775</v>
      </c>
      <c r="I1468" s="7">
        <v>-200</v>
      </c>
      <c r="J1468" s="7">
        <v>-550</v>
      </c>
      <c r="K1468" s="7">
        <v>-5</v>
      </c>
      <c r="L1468" s="7">
        <v>-15</v>
      </c>
      <c r="M1468" s="7">
        <v>-2.5</v>
      </c>
      <c r="N1468" s="7">
        <v>-2.5</v>
      </c>
      <c r="O1468" s="7"/>
      <c r="P1468" s="7"/>
      <c r="Q1468" s="7"/>
      <c r="R1468" s="7"/>
      <c r="S1468" s="7"/>
      <c r="T1468" s="7">
        <v>100</v>
      </c>
      <c r="U1468" s="7"/>
      <c r="V1468" s="7"/>
      <c r="W1468" s="7">
        <v>5</v>
      </c>
      <c r="X1468" s="7"/>
    </row>
    <row r="1469" spans="1:24" x14ac:dyDescent="0.25">
      <c r="A1469" s="23">
        <v>46161</v>
      </c>
      <c r="B1469" s="7" t="s">
        <v>127</v>
      </c>
      <c r="C1469" s="7">
        <v>-2340</v>
      </c>
      <c r="D1469" s="7">
        <v>-1080</v>
      </c>
      <c r="E1469" s="7"/>
      <c r="F1469" s="7">
        <v>-150</v>
      </c>
      <c r="G1469" s="7">
        <v>-600</v>
      </c>
      <c r="H1469" s="7">
        <v>-930</v>
      </c>
      <c r="I1469" s="7">
        <v>-240</v>
      </c>
      <c r="J1469" s="7">
        <v>-660</v>
      </c>
      <c r="K1469" s="7">
        <v>-6</v>
      </c>
      <c r="L1469" s="7">
        <v>-18</v>
      </c>
      <c r="M1469" s="7">
        <v>-3</v>
      </c>
      <c r="N1469" s="7">
        <v>-3</v>
      </c>
      <c r="O1469" s="7"/>
      <c r="P1469" s="7"/>
      <c r="Q1469" s="7"/>
      <c r="R1469" s="7"/>
      <c r="S1469" s="7"/>
      <c r="T1469" s="7">
        <v>120</v>
      </c>
      <c r="U1469" s="7"/>
      <c r="V1469" s="7"/>
      <c r="W1469" s="7">
        <v>6</v>
      </c>
      <c r="X1469" s="7"/>
    </row>
    <row r="1470" spans="1:24" x14ac:dyDescent="0.25">
      <c r="A1470" s="23">
        <v>46161</v>
      </c>
      <c r="B1470" s="7" t="s">
        <v>33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>
        <v>-2</v>
      </c>
      <c r="T1470" s="7">
        <v>-31</v>
      </c>
      <c r="U1470" s="7">
        <v>0</v>
      </c>
      <c r="V1470" s="7">
        <v>-34</v>
      </c>
      <c r="W1470" s="7"/>
      <c r="X1470" s="7"/>
    </row>
    <row r="1471" spans="1:24" x14ac:dyDescent="0.25">
      <c r="A1471" s="23">
        <v>46162</v>
      </c>
      <c r="B1471" s="7" t="s">
        <v>293</v>
      </c>
      <c r="C1471" s="7">
        <v>-1220</v>
      </c>
      <c r="D1471" s="7">
        <v>-880</v>
      </c>
      <c r="E1471" s="7">
        <v>-560</v>
      </c>
      <c r="F1471" s="7">
        <v>-100</v>
      </c>
      <c r="G1471" s="7">
        <v>-40</v>
      </c>
      <c r="H1471" s="7">
        <v>-600</v>
      </c>
      <c r="I1471" s="7">
        <v>-280</v>
      </c>
      <c r="J1471" s="7">
        <v>-320</v>
      </c>
      <c r="K1471" s="7"/>
      <c r="L1471" s="7"/>
      <c r="M1471" s="7">
        <v>-2</v>
      </c>
      <c r="N1471" s="7"/>
      <c r="O1471" s="7"/>
      <c r="P1471" s="7">
        <v>-4</v>
      </c>
      <c r="Q1471" s="7"/>
      <c r="R1471" s="7"/>
      <c r="S1471" s="7">
        <v>1</v>
      </c>
      <c r="T1471" s="7"/>
      <c r="U1471" s="7">
        <v>0</v>
      </c>
      <c r="V1471" s="7">
        <v>79</v>
      </c>
      <c r="W1471" s="7"/>
      <c r="X1471" s="7">
        <v>4</v>
      </c>
    </row>
    <row r="1472" spans="1:24" x14ac:dyDescent="0.25">
      <c r="A1472" s="23">
        <v>46162</v>
      </c>
      <c r="B1472" s="7" t="s">
        <v>33</v>
      </c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>
        <v>-31</v>
      </c>
      <c r="U1472" s="7">
        <v>0</v>
      </c>
      <c r="V1472" s="7">
        <v>-34</v>
      </c>
      <c r="W1472" s="7"/>
      <c r="X1472" s="7"/>
    </row>
    <row r="1473" spans="1:24" x14ac:dyDescent="0.25">
      <c r="A1473" s="23">
        <v>46163</v>
      </c>
      <c r="B1473" s="7" t="s">
        <v>33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>
        <v>-31</v>
      </c>
      <c r="U1473" s="7">
        <v>0</v>
      </c>
      <c r="V1473" s="7">
        <v>-34</v>
      </c>
      <c r="W1473" s="7"/>
      <c r="X1473" s="7"/>
    </row>
    <row r="1474" spans="1:24" x14ac:dyDescent="0.25">
      <c r="A1474" s="23">
        <v>46164</v>
      </c>
      <c r="B1474" s="7" t="s">
        <v>33</v>
      </c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>
        <v>-31</v>
      </c>
      <c r="U1474" s="7">
        <v>0</v>
      </c>
      <c r="V1474" s="7">
        <v>-34</v>
      </c>
      <c r="W1474" s="7"/>
      <c r="X1474" s="7"/>
    </row>
    <row r="1475" spans="1:24" x14ac:dyDescent="0.25">
      <c r="A1475" s="23">
        <v>46164</v>
      </c>
      <c r="B1475" s="7" t="s">
        <v>18</v>
      </c>
      <c r="C1475" s="7"/>
      <c r="D1475" s="7"/>
      <c r="E1475" s="7"/>
      <c r="F1475" s="7"/>
      <c r="G1475" s="7"/>
      <c r="H1475" s="7">
        <v>5000</v>
      </c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 spans="1:24" x14ac:dyDescent="0.25">
      <c r="A1476" s="23">
        <v>46164</v>
      </c>
      <c r="B1476" s="7" t="s">
        <v>55</v>
      </c>
      <c r="C1476" s="7"/>
      <c r="D1476" s="7"/>
      <c r="E1476" s="7"/>
      <c r="F1476" s="7"/>
      <c r="G1476" s="7"/>
      <c r="H1476" s="7"/>
      <c r="I1476" s="7"/>
      <c r="J1476" s="7">
        <v>7280</v>
      </c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 spans="1:24" x14ac:dyDescent="0.25">
      <c r="A1477" s="23">
        <v>46164</v>
      </c>
      <c r="B1477" s="7" t="s">
        <v>118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>
        <v>40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 spans="1:24" x14ac:dyDescent="0.25">
      <c r="A1478" s="23">
        <v>46165</v>
      </c>
      <c r="B1478" s="7" t="s">
        <v>33</v>
      </c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>
        <v>-31</v>
      </c>
      <c r="U1478" s="7">
        <v>0</v>
      </c>
      <c r="V1478" s="7">
        <v>-34</v>
      </c>
      <c r="W1478" s="7"/>
      <c r="X1478" s="7"/>
    </row>
    <row r="1479" spans="1:24" x14ac:dyDescent="0.25">
      <c r="A1479" s="23">
        <v>46165</v>
      </c>
      <c r="B1479" s="7" t="s">
        <v>297</v>
      </c>
      <c r="C1479" s="7">
        <v>-2440</v>
      </c>
      <c r="D1479" s="7">
        <v>-1900</v>
      </c>
      <c r="E1479" s="7">
        <v>-1120</v>
      </c>
      <c r="F1479" s="7">
        <v>-200</v>
      </c>
      <c r="G1479" s="7">
        <v>-80</v>
      </c>
      <c r="H1479" s="7">
        <v>-1200</v>
      </c>
      <c r="I1479" s="7">
        <v>-560</v>
      </c>
      <c r="J1479" s="7">
        <v>-640</v>
      </c>
      <c r="K1479" s="7">
        <v>-4</v>
      </c>
      <c r="L1479" s="7"/>
      <c r="M1479" s="7">
        <v>-4</v>
      </c>
      <c r="N1479" s="7"/>
      <c r="O1479" s="7"/>
      <c r="P1479" s="7"/>
      <c r="Q1479" s="7"/>
      <c r="R1479" s="7"/>
      <c r="S1479" s="7">
        <v>1</v>
      </c>
      <c r="T1479" s="7"/>
      <c r="U1479" s="7">
        <v>0</v>
      </c>
      <c r="V1479" s="7">
        <v>159</v>
      </c>
      <c r="W1479" s="7"/>
      <c r="X1479" s="7">
        <v>8</v>
      </c>
    </row>
    <row r="1480" spans="1:24" x14ac:dyDescent="0.25">
      <c r="A1480" s="23">
        <v>46166</v>
      </c>
      <c r="B1480" s="7" t="s">
        <v>33</v>
      </c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>
        <v>-1</v>
      </c>
      <c r="T1480" s="7">
        <v>-31</v>
      </c>
      <c r="U1480" s="7">
        <v>0</v>
      </c>
      <c r="V1480" s="7">
        <v>-34</v>
      </c>
      <c r="W1480" s="7"/>
      <c r="X1480" s="7"/>
    </row>
    <row r="1481" spans="1:24" x14ac:dyDescent="0.25">
      <c r="A1481" s="23">
        <v>46167</v>
      </c>
      <c r="B1481" s="7" t="s">
        <v>33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>
        <v>-31</v>
      </c>
      <c r="U1481" s="7">
        <v>0</v>
      </c>
      <c r="V1481" s="7">
        <v>-34</v>
      </c>
      <c r="W1481" s="7"/>
      <c r="X1481" s="7"/>
    </row>
    <row r="1482" spans="1:24" x14ac:dyDescent="0.25">
      <c r="A1482" s="23">
        <v>46167</v>
      </c>
      <c r="B1482" s="7" t="s">
        <v>127</v>
      </c>
      <c r="C1482" s="7">
        <v>-2340</v>
      </c>
      <c r="D1482" s="7">
        <v>-1130</v>
      </c>
      <c r="E1482" s="7"/>
      <c r="F1482" s="7">
        <v>-150</v>
      </c>
      <c r="G1482" s="7">
        <v>-600</v>
      </c>
      <c r="H1482" s="7">
        <v>-930</v>
      </c>
      <c r="I1482" s="7">
        <v>-240</v>
      </c>
      <c r="J1482" s="7">
        <v>-660</v>
      </c>
      <c r="K1482" s="7">
        <v>-6</v>
      </c>
      <c r="L1482" s="7">
        <v>-18</v>
      </c>
      <c r="M1482" s="7">
        <v>-3</v>
      </c>
      <c r="N1482" s="7">
        <v>-3</v>
      </c>
      <c r="O1482" s="7"/>
      <c r="P1482" s="7"/>
      <c r="Q1482" s="7"/>
      <c r="R1482" s="7"/>
      <c r="S1482" s="7"/>
      <c r="T1482" s="7">
        <v>120</v>
      </c>
      <c r="U1482" s="7"/>
      <c r="V1482" s="7"/>
      <c r="W1482" s="7">
        <v>6</v>
      </c>
      <c r="X1482" s="7"/>
    </row>
    <row r="1483" spans="1:24" x14ac:dyDescent="0.25">
      <c r="A1483" s="23">
        <v>46168</v>
      </c>
      <c r="B1483" s="7" t="s">
        <v>127</v>
      </c>
      <c r="C1483" s="7">
        <v>-2340</v>
      </c>
      <c r="D1483" s="7">
        <v>-1130</v>
      </c>
      <c r="E1483" s="7"/>
      <c r="F1483" s="7">
        <v>-150</v>
      </c>
      <c r="G1483" s="7">
        <v>-600</v>
      </c>
      <c r="H1483" s="7">
        <v>-930</v>
      </c>
      <c r="I1483" s="7">
        <v>-240</v>
      </c>
      <c r="J1483" s="7">
        <v>-660</v>
      </c>
      <c r="K1483" s="7">
        <v>-6</v>
      </c>
      <c r="L1483" s="7">
        <v>-18</v>
      </c>
      <c r="M1483" s="7">
        <v>-3</v>
      </c>
      <c r="N1483" s="7">
        <v>-3</v>
      </c>
      <c r="O1483" s="7"/>
      <c r="P1483" s="7"/>
      <c r="Q1483" s="7"/>
      <c r="R1483" s="7"/>
      <c r="S1483" s="7"/>
      <c r="T1483" s="7">
        <v>120</v>
      </c>
      <c r="U1483" s="7"/>
      <c r="V1483" s="7"/>
      <c r="W1483" s="7">
        <v>6</v>
      </c>
      <c r="X1483" s="7"/>
    </row>
    <row r="1484" spans="1:24" x14ac:dyDescent="0.25">
      <c r="A1484" s="23">
        <v>46168</v>
      </c>
      <c r="B1484" s="7" t="s">
        <v>33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>
        <v>-31</v>
      </c>
      <c r="U1484" s="7">
        <v>0</v>
      </c>
      <c r="V1484" s="7">
        <v>-40</v>
      </c>
      <c r="W1484" s="7"/>
      <c r="X1484" s="7"/>
    </row>
    <row r="1485" spans="1:24" x14ac:dyDescent="0.25">
      <c r="A1485" s="23">
        <v>46168</v>
      </c>
      <c r="B1485" s="7" t="s">
        <v>195</v>
      </c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>
        <v>-5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 spans="1:24" x14ac:dyDescent="0.25">
      <c r="A1486" s="23">
        <v>46169</v>
      </c>
      <c r="B1486" s="7" t="s">
        <v>133</v>
      </c>
      <c r="C1486" s="7">
        <v>12660</v>
      </c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 spans="1:24" x14ac:dyDescent="0.25">
      <c r="A1487" s="23">
        <v>46169</v>
      </c>
      <c r="B1487" s="7" t="s">
        <v>33</v>
      </c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>
        <v>-31</v>
      </c>
      <c r="U1487" s="7">
        <v>0</v>
      </c>
      <c r="V1487" s="7">
        <v>-40</v>
      </c>
      <c r="W1487" s="7"/>
      <c r="X1487" s="7"/>
    </row>
    <row r="1488" spans="1:24" x14ac:dyDescent="0.25">
      <c r="A1488" s="23">
        <v>46170</v>
      </c>
      <c r="B1488" s="7" t="s">
        <v>33</v>
      </c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>
        <v>-31</v>
      </c>
      <c r="U1488" s="7">
        <v>0</v>
      </c>
      <c r="V1488" s="7">
        <v>-40</v>
      </c>
      <c r="W1488" s="7"/>
      <c r="X1488" s="7"/>
    </row>
    <row r="1489" spans="1:25" x14ac:dyDescent="0.25">
      <c r="A1489" s="23">
        <v>46171</v>
      </c>
      <c r="B1489" s="7" t="s">
        <v>304</v>
      </c>
      <c r="C1489" s="7">
        <v>-2135</v>
      </c>
      <c r="D1489" s="7">
        <v>-1590</v>
      </c>
      <c r="E1489" s="7">
        <v>-980</v>
      </c>
      <c r="F1489" s="7">
        <v>-175</v>
      </c>
      <c r="G1489" s="7">
        <v>-70</v>
      </c>
      <c r="H1489" s="7">
        <v>-1050</v>
      </c>
      <c r="I1489" s="7">
        <v>-490</v>
      </c>
      <c r="J1489" s="7">
        <v>-560</v>
      </c>
      <c r="K1489" s="7">
        <v>-7</v>
      </c>
      <c r="L1489" s="7"/>
      <c r="M1489" s="7">
        <v>-3.5</v>
      </c>
      <c r="N1489" s="7"/>
      <c r="O1489" s="7"/>
      <c r="P1489" s="7"/>
      <c r="Q1489" s="7"/>
      <c r="R1489" s="7"/>
      <c r="S1489" s="7"/>
      <c r="T1489" s="7"/>
      <c r="U1489" s="7"/>
      <c r="V1489" s="7">
        <v>140</v>
      </c>
      <c r="W1489" s="7"/>
      <c r="X1489" s="7">
        <v>7</v>
      </c>
    </row>
    <row r="1490" spans="1:25" x14ac:dyDescent="0.25">
      <c r="A1490" s="23">
        <v>46171</v>
      </c>
      <c r="B1490" s="7" t="s">
        <v>33</v>
      </c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>
        <v>-31</v>
      </c>
      <c r="U1490" s="7">
        <v>0</v>
      </c>
      <c r="V1490" s="7">
        <v>-40</v>
      </c>
      <c r="W1490" s="7"/>
      <c r="X1490" s="7"/>
    </row>
    <row r="1491" spans="1:25" x14ac:dyDescent="0.25">
      <c r="A1491" s="23">
        <v>46172</v>
      </c>
      <c r="B1491" s="7" t="s">
        <v>297</v>
      </c>
      <c r="C1491" s="7">
        <v>-2440</v>
      </c>
      <c r="D1491" s="7">
        <v>-1900</v>
      </c>
      <c r="E1491" s="7">
        <v>-1120</v>
      </c>
      <c r="F1491" s="7">
        <v>-200</v>
      </c>
      <c r="G1491" s="7">
        <v>-80</v>
      </c>
      <c r="H1491" s="7">
        <v>-1200</v>
      </c>
      <c r="I1491" s="7">
        <v>-560</v>
      </c>
      <c r="J1491" s="7">
        <v>-640</v>
      </c>
      <c r="K1491" s="7">
        <v>-8</v>
      </c>
      <c r="L1491" s="7"/>
      <c r="M1491" s="7">
        <v>-4</v>
      </c>
      <c r="N1491" s="7"/>
      <c r="O1491" s="7"/>
      <c r="P1491" s="7">
        <v>-5</v>
      </c>
      <c r="Q1491" s="7"/>
      <c r="R1491" s="7"/>
      <c r="S1491" s="7">
        <v>1</v>
      </c>
      <c r="T1491" s="7"/>
      <c r="U1491" s="7">
        <v>0</v>
      </c>
      <c r="V1491" s="7">
        <v>159</v>
      </c>
      <c r="W1491" s="7"/>
      <c r="X1491" s="7">
        <v>8</v>
      </c>
    </row>
    <row r="1492" spans="1:25" x14ac:dyDescent="0.25">
      <c r="A1492" s="23">
        <v>46172</v>
      </c>
      <c r="B1492" s="7" t="s">
        <v>122</v>
      </c>
      <c r="C1492" s="7">
        <v>-1170</v>
      </c>
      <c r="D1492" s="7">
        <v>-540</v>
      </c>
      <c r="E1492" s="7"/>
      <c r="F1492" s="7">
        <v>-75</v>
      </c>
      <c r="G1492" s="7">
        <v>-300</v>
      </c>
      <c r="H1492" s="7">
        <v>-465</v>
      </c>
      <c r="I1492" s="7">
        <v>-120</v>
      </c>
      <c r="J1492" s="7">
        <v>-330</v>
      </c>
      <c r="K1492" s="7">
        <v>-3</v>
      </c>
      <c r="L1492" s="7">
        <v>-9</v>
      </c>
      <c r="M1492" s="7">
        <v>-1.5</v>
      </c>
      <c r="N1492" s="7">
        <v>-1.5</v>
      </c>
      <c r="O1492" s="7"/>
      <c r="P1492" s="7"/>
      <c r="Q1492" s="7"/>
      <c r="R1492" s="7"/>
      <c r="S1492" s="7"/>
      <c r="T1492" s="7">
        <v>60</v>
      </c>
      <c r="W1492" s="7">
        <v>3</v>
      </c>
      <c r="X1492" s="7"/>
    </row>
    <row r="1493" spans="1:25" x14ac:dyDescent="0.25">
      <c r="A1493" s="23">
        <v>46172</v>
      </c>
      <c r="B1493" s="7" t="s">
        <v>33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>
        <v>-1</v>
      </c>
      <c r="T1493" s="7">
        <v>-31</v>
      </c>
      <c r="U1493" s="7">
        <v>0</v>
      </c>
      <c r="V1493" s="7">
        <v>-40</v>
      </c>
      <c r="W1493" s="7"/>
      <c r="X1493" s="7"/>
    </row>
    <row r="1494" spans="1:25" x14ac:dyDescent="0.25">
      <c r="A1494" s="23">
        <v>46173</v>
      </c>
      <c r="B1494" s="7" t="s">
        <v>33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>
        <v>-31</v>
      </c>
      <c r="U1494" s="7">
        <v>0</v>
      </c>
      <c r="V1494" s="7">
        <v>-40</v>
      </c>
      <c r="W1494" s="7"/>
      <c r="X1494" s="7"/>
    </row>
    <row r="1495" spans="1:25" x14ac:dyDescent="0.25">
      <c r="A1495" s="23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 spans="1:25" x14ac:dyDescent="0.25">
      <c r="A1496" s="7"/>
      <c r="B1496" s="7"/>
      <c r="C1496" s="7"/>
      <c r="D1496" s="7"/>
      <c r="E1496" s="7"/>
      <c r="F1496" s="7" t="s">
        <v>198</v>
      </c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>
        <f>SUM(Y1432:Y1433)</f>
        <v>0</v>
      </c>
    </row>
    <row r="1497" spans="1:25" x14ac:dyDescent="0.25">
      <c r="A1497" s="20"/>
      <c r="B1497" s="21" t="s">
        <v>25</v>
      </c>
      <c r="C1497" s="22">
        <f t="shared" ref="C1497:V1497" si="48">SUM(C1431:C1496)</f>
        <v>12190</v>
      </c>
      <c r="D1497" s="22">
        <f t="shared" si="48"/>
        <v>4750</v>
      </c>
      <c r="E1497" s="22">
        <f t="shared" si="48"/>
        <v>3666</v>
      </c>
      <c r="F1497" s="22">
        <f t="shared" si="48"/>
        <v>700</v>
      </c>
      <c r="G1497" s="22">
        <f t="shared" si="48"/>
        <v>8965</v>
      </c>
      <c r="H1497" s="22">
        <f t="shared" si="48"/>
        <v>6860</v>
      </c>
      <c r="I1497" s="22">
        <f t="shared" si="48"/>
        <v>3560</v>
      </c>
      <c r="J1497" s="22">
        <f t="shared" si="48"/>
        <v>4220</v>
      </c>
      <c r="K1497" s="22">
        <f t="shared" si="48"/>
        <v>29.5</v>
      </c>
      <c r="L1497" s="22">
        <f t="shared" si="48"/>
        <v>144</v>
      </c>
      <c r="M1497" s="22">
        <f t="shared" si="48"/>
        <v>19.5</v>
      </c>
      <c r="N1497" s="22">
        <f t="shared" si="48"/>
        <v>46.5</v>
      </c>
      <c r="O1497" s="22">
        <f t="shared" si="48"/>
        <v>146</v>
      </c>
      <c r="P1497" s="22">
        <f t="shared" si="48"/>
        <v>-0.60000000000000142</v>
      </c>
      <c r="Q1497" s="22">
        <f t="shared" si="48"/>
        <v>9</v>
      </c>
      <c r="R1497" s="22">
        <f t="shared" si="48"/>
        <v>14</v>
      </c>
      <c r="S1497" s="22">
        <f t="shared" si="48"/>
        <v>1</v>
      </c>
      <c r="T1497" s="22">
        <f t="shared" si="48"/>
        <v>93</v>
      </c>
      <c r="U1497" s="22">
        <f t="shared" si="48"/>
        <v>0</v>
      </c>
      <c r="V1497" s="22">
        <f t="shared" si="48"/>
        <v>198</v>
      </c>
      <c r="W1497" s="7">
        <f>SUM(W1432:W1496)</f>
        <v>45</v>
      </c>
      <c r="X1497" s="7">
        <f>SUM(X1432:X1496)</f>
        <v>56</v>
      </c>
    </row>
    <row r="1498" spans="1:25" x14ac:dyDescent="0.25">
      <c r="A1498" s="17"/>
      <c r="B1498" s="17" t="s">
        <v>28</v>
      </c>
      <c r="C1498" s="17">
        <v>1215</v>
      </c>
      <c r="D1498" s="17">
        <v>719</v>
      </c>
      <c r="E1498" s="17">
        <v>280</v>
      </c>
      <c r="F1498" s="17">
        <v>88.75</v>
      </c>
      <c r="G1498" s="17">
        <v>175</v>
      </c>
      <c r="H1498" s="17">
        <v>540.25</v>
      </c>
      <c r="I1498" s="17">
        <v>202</v>
      </c>
      <c r="J1498" s="17">
        <v>330.5</v>
      </c>
      <c r="K1498" s="17">
        <v>2.0499999999999998</v>
      </c>
      <c r="L1498" s="17">
        <v>4.6500000000000004</v>
      </c>
      <c r="M1498" s="17">
        <v>2.0499999999999998</v>
      </c>
      <c r="N1498" s="17">
        <v>0.77500000000000002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31</v>
      </c>
      <c r="U1498" s="21">
        <v>0</v>
      </c>
      <c r="V1498" s="21">
        <v>40</v>
      </c>
      <c r="W1498" s="7"/>
    </row>
    <row r="1499" spans="1:25" x14ac:dyDescent="0.25">
      <c r="A1499" s="17"/>
      <c r="B1499" s="17" t="s">
        <v>26</v>
      </c>
      <c r="C1499" s="18">
        <f>C1497/C1498</f>
        <v>10.032921810699589</v>
      </c>
      <c r="D1499" s="18">
        <f t="shared" ref="D1499:V1499" si="49">D1497/D1498</f>
        <v>6.606397774687065</v>
      </c>
      <c r="E1499" s="18">
        <f t="shared" si="49"/>
        <v>13.092857142857143</v>
      </c>
      <c r="F1499" s="18">
        <f t="shared" si="49"/>
        <v>7.887323943661972</v>
      </c>
      <c r="G1499" s="18">
        <f t="shared" si="49"/>
        <v>51.228571428571428</v>
      </c>
      <c r="H1499" s="18">
        <f t="shared" si="49"/>
        <v>12.697825080981028</v>
      </c>
      <c r="I1499" s="18">
        <f t="shared" si="49"/>
        <v>17.623762376237625</v>
      </c>
      <c r="J1499" s="18">
        <f t="shared" si="49"/>
        <v>12.768532526475038</v>
      </c>
      <c r="K1499" s="18">
        <f t="shared" si="49"/>
        <v>14.390243902439027</v>
      </c>
      <c r="L1499" s="18">
        <f t="shared" si="49"/>
        <v>30.967741935483868</v>
      </c>
      <c r="M1499" s="18">
        <f t="shared" si="49"/>
        <v>9.5121951219512209</v>
      </c>
      <c r="N1499" s="18">
        <f t="shared" si="49"/>
        <v>60</v>
      </c>
      <c r="O1499" s="18" t="e">
        <f t="shared" si="49"/>
        <v>#DIV/0!</v>
      </c>
      <c r="P1499" s="18" t="e">
        <f t="shared" si="49"/>
        <v>#DIV/0!</v>
      </c>
      <c r="Q1499" s="18" t="e">
        <f t="shared" si="49"/>
        <v>#DIV/0!</v>
      </c>
      <c r="R1499" s="18" t="e">
        <f t="shared" si="49"/>
        <v>#DIV/0!</v>
      </c>
      <c r="S1499" s="18" t="e">
        <f t="shared" si="49"/>
        <v>#DIV/0!</v>
      </c>
      <c r="T1499" s="18">
        <f t="shared" si="49"/>
        <v>3</v>
      </c>
      <c r="U1499" s="18" t="e">
        <f t="shared" si="49"/>
        <v>#DIV/0!</v>
      </c>
      <c r="V1499" s="18">
        <f t="shared" si="49"/>
        <v>4.95</v>
      </c>
      <c r="W1499" s="7"/>
    </row>
    <row r="1500" spans="1:25" x14ac:dyDescent="0.25">
      <c r="A1500" s="21"/>
      <c r="B1500" s="21" t="s">
        <v>102</v>
      </c>
      <c r="C1500" s="21">
        <f>C1498*31</f>
        <v>37665</v>
      </c>
      <c r="D1500" s="21">
        <f t="shared" ref="D1500:V1500" si="50">D1498*31</f>
        <v>22289</v>
      </c>
      <c r="E1500" s="21">
        <f t="shared" si="50"/>
        <v>8680</v>
      </c>
      <c r="F1500" s="21">
        <f t="shared" si="50"/>
        <v>2751.25</v>
      </c>
      <c r="G1500" s="21">
        <f t="shared" si="50"/>
        <v>5425</v>
      </c>
      <c r="H1500" s="21">
        <f t="shared" si="50"/>
        <v>16747.75</v>
      </c>
      <c r="I1500" s="21">
        <f t="shared" si="50"/>
        <v>6262</v>
      </c>
      <c r="J1500" s="21">
        <f t="shared" si="50"/>
        <v>10245.5</v>
      </c>
      <c r="K1500" s="21">
        <f t="shared" si="50"/>
        <v>63.55</v>
      </c>
      <c r="L1500" s="21">
        <f t="shared" si="50"/>
        <v>144.15</v>
      </c>
      <c r="M1500" s="21">
        <f t="shared" si="50"/>
        <v>63.55</v>
      </c>
      <c r="N1500" s="21">
        <f t="shared" si="50"/>
        <v>24.025000000000002</v>
      </c>
      <c r="O1500" s="21">
        <f t="shared" si="50"/>
        <v>0</v>
      </c>
      <c r="P1500" s="21">
        <f t="shared" si="50"/>
        <v>0</v>
      </c>
      <c r="Q1500" s="21">
        <f t="shared" si="50"/>
        <v>0</v>
      </c>
      <c r="R1500" s="21">
        <f t="shared" si="50"/>
        <v>0</v>
      </c>
      <c r="S1500" s="21">
        <f t="shared" si="50"/>
        <v>0</v>
      </c>
      <c r="T1500" s="21">
        <f t="shared" si="50"/>
        <v>961</v>
      </c>
      <c r="U1500" s="21">
        <f t="shared" si="50"/>
        <v>0</v>
      </c>
      <c r="V1500" s="21">
        <f t="shared" si="50"/>
        <v>1240</v>
      </c>
      <c r="W1500" s="7"/>
    </row>
    <row r="1501" spans="1:25" s="12" customFormat="1" x14ac:dyDescent="0.25"/>
    <row r="1502" spans="1:25" s="12" customFormat="1" x14ac:dyDescent="0.25"/>
    <row r="1505" spans="1:24" ht="26" x14ac:dyDescent="0.6">
      <c r="I1505" s="34">
        <v>46174</v>
      </c>
    </row>
    <row r="1506" spans="1:24" x14ac:dyDescent="0.25">
      <c r="A1506" s="28"/>
      <c r="B1506" s="28"/>
      <c r="C1506" s="28"/>
      <c r="D1506" s="28"/>
      <c r="E1506" s="28"/>
      <c r="F1506" s="7"/>
      <c r="G1506" s="7"/>
      <c r="H1506" s="7"/>
      <c r="I1506" s="7"/>
      <c r="J1506" s="7"/>
      <c r="K1506" s="7"/>
      <c r="L1506" s="7"/>
      <c r="M1506" s="7"/>
      <c r="N1506" s="7"/>
      <c r="O1506" s="28"/>
      <c r="P1506" s="28"/>
      <c r="Q1506" s="28"/>
      <c r="R1506" s="28"/>
      <c r="S1506" s="28"/>
      <c r="T1506" s="28"/>
      <c r="U1506" s="7"/>
      <c r="V1506" s="7"/>
      <c r="W1506" s="7"/>
    </row>
    <row r="1507" spans="1:24" x14ac:dyDescent="0.25">
      <c r="A1507" s="28"/>
      <c r="B1507" s="28"/>
      <c r="C1507" s="28"/>
      <c r="D1507" s="28"/>
      <c r="E1507" s="28"/>
      <c r="F1507" s="7"/>
      <c r="G1507" s="7"/>
      <c r="H1507" s="7"/>
      <c r="I1507" s="7"/>
      <c r="J1507" s="7"/>
      <c r="K1507" s="7"/>
      <c r="L1507" s="7"/>
      <c r="M1507" s="7"/>
      <c r="N1507" s="7"/>
      <c r="O1507" s="28"/>
      <c r="P1507" s="28"/>
      <c r="Q1507" s="28"/>
      <c r="R1507" s="28"/>
      <c r="S1507" s="28"/>
      <c r="T1507" s="28"/>
      <c r="U1507" s="7"/>
      <c r="V1507" s="7"/>
      <c r="W1507" s="7"/>
    </row>
    <row r="1508" spans="1:24" x14ac:dyDescent="0.25">
      <c r="A1508" s="3">
        <v>46174</v>
      </c>
      <c r="B1508" s="9" t="s">
        <v>0</v>
      </c>
      <c r="C1508" s="10">
        <v>11715</v>
      </c>
      <c r="D1508" s="9">
        <v>4750</v>
      </c>
      <c r="E1508" s="7">
        <v>3825</v>
      </c>
      <c r="F1508" s="9">
        <v>700</v>
      </c>
      <c r="G1508" s="9">
        <v>9300</v>
      </c>
      <c r="H1508" s="9">
        <v>6500</v>
      </c>
      <c r="I1508" s="9">
        <v>3520</v>
      </c>
      <c r="J1508" s="9">
        <v>4220</v>
      </c>
      <c r="K1508" s="9">
        <v>29</v>
      </c>
      <c r="L1508" s="9">
        <v>144.80000000000001</v>
      </c>
      <c r="M1508" s="9">
        <v>18.5</v>
      </c>
      <c r="N1508" s="9">
        <v>46.5</v>
      </c>
      <c r="O1508" s="9">
        <v>146</v>
      </c>
      <c r="P1508" s="9">
        <v>0</v>
      </c>
      <c r="Q1508" s="9">
        <v>9</v>
      </c>
      <c r="R1508" s="9">
        <v>14</v>
      </c>
      <c r="S1508" s="9">
        <v>1</v>
      </c>
      <c r="T1508" s="9">
        <v>96</v>
      </c>
      <c r="U1508" s="40">
        <v>0</v>
      </c>
      <c r="V1508" s="40">
        <v>298</v>
      </c>
      <c r="W1508" s="40"/>
    </row>
    <row r="1509" spans="1:24" x14ac:dyDescent="0.25">
      <c r="A1509" s="23">
        <v>46174</v>
      </c>
      <c r="B1509" s="7" t="s">
        <v>142</v>
      </c>
      <c r="C1509" s="7">
        <v>-2730</v>
      </c>
      <c r="D1509" s="7">
        <v>-1380</v>
      </c>
      <c r="E1509" s="7"/>
      <c r="F1509" s="7">
        <v>-175</v>
      </c>
      <c r="G1509" s="7">
        <v>-700</v>
      </c>
      <c r="H1509" s="7">
        <v>-1085</v>
      </c>
      <c r="I1509" s="7">
        <v>-280</v>
      </c>
      <c r="J1509" s="7">
        <v>-770</v>
      </c>
      <c r="K1509" s="7">
        <v>-7</v>
      </c>
      <c r="L1509" s="7">
        <v>-21</v>
      </c>
      <c r="M1509" s="7">
        <v>-3.5</v>
      </c>
      <c r="N1509" s="7">
        <v>-3.5</v>
      </c>
      <c r="O1509" s="7"/>
      <c r="P1509" s="7"/>
      <c r="Q1509" s="7"/>
      <c r="R1509" s="7"/>
      <c r="S1509" s="7"/>
      <c r="T1509" s="7">
        <v>140</v>
      </c>
      <c r="U1509" s="7"/>
      <c r="V1509" s="7"/>
      <c r="W1509" s="7">
        <v>7</v>
      </c>
    </row>
    <row r="1510" spans="1:24" x14ac:dyDescent="0.25">
      <c r="A1510" s="23">
        <v>46174</v>
      </c>
      <c r="B1510" s="7" t="s">
        <v>33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>
        <v>-31</v>
      </c>
      <c r="U1510" s="7">
        <v>0</v>
      </c>
      <c r="V1510" s="7">
        <v>-40</v>
      </c>
      <c r="W1510" s="40"/>
    </row>
    <row r="1511" spans="1:24" x14ac:dyDescent="0.25">
      <c r="A1511" s="23">
        <v>46175</v>
      </c>
      <c r="B1511" s="7" t="s">
        <v>33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>
        <v>-31</v>
      </c>
      <c r="U1511" s="7">
        <v>0</v>
      </c>
      <c r="V1511" s="7">
        <v>-40</v>
      </c>
      <c r="W1511" s="40"/>
    </row>
    <row r="1512" spans="1:24" x14ac:dyDescent="0.25">
      <c r="A1512" s="23">
        <v>46176</v>
      </c>
      <c r="B1512" s="7" t="s">
        <v>33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>
        <v>-31</v>
      </c>
      <c r="U1512" s="7">
        <v>0</v>
      </c>
      <c r="V1512" s="7">
        <v>-40</v>
      </c>
      <c r="W1512" s="40"/>
    </row>
    <row r="1513" spans="1:24" x14ac:dyDescent="0.25">
      <c r="A1513" s="23">
        <v>46177</v>
      </c>
      <c r="B1513" s="7" t="s">
        <v>33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>
        <v>-31</v>
      </c>
      <c r="U1513" s="7">
        <v>0</v>
      </c>
      <c r="V1513" s="7">
        <v>-40</v>
      </c>
      <c r="W1513" s="40"/>
    </row>
    <row r="1514" spans="1:24" x14ac:dyDescent="0.25">
      <c r="A1514" s="23">
        <v>46177</v>
      </c>
      <c r="B1514" s="7" t="s">
        <v>122</v>
      </c>
      <c r="C1514" s="7">
        <v>-1170</v>
      </c>
      <c r="D1514" s="7">
        <v>-540</v>
      </c>
      <c r="E1514" s="7"/>
      <c r="F1514" s="7">
        <v>-75</v>
      </c>
      <c r="G1514" s="7">
        <v>-300</v>
      </c>
      <c r="H1514" s="7">
        <v>-465</v>
      </c>
      <c r="I1514" s="7">
        <v>-120</v>
      </c>
      <c r="J1514" s="7">
        <v>-330</v>
      </c>
      <c r="K1514" s="7">
        <v>-3</v>
      </c>
      <c r="L1514" s="7">
        <v>-9</v>
      </c>
      <c r="M1514" s="7">
        <v>-1.5</v>
      </c>
      <c r="N1514" s="7">
        <v>-1.5</v>
      </c>
      <c r="O1514" s="7"/>
      <c r="P1514" s="7"/>
      <c r="Q1514" s="7"/>
      <c r="R1514" s="7"/>
      <c r="S1514" s="7"/>
      <c r="T1514" s="7">
        <v>60</v>
      </c>
      <c r="W1514" s="7">
        <v>3</v>
      </c>
    </row>
    <row r="1515" spans="1:24" x14ac:dyDescent="0.25">
      <c r="A1515" s="23">
        <v>46177</v>
      </c>
      <c r="B1515" s="28" t="s">
        <v>313</v>
      </c>
      <c r="C1515" s="38">
        <v>-1925</v>
      </c>
      <c r="D1515" s="28">
        <v>-900</v>
      </c>
      <c r="E1515" s="7"/>
      <c r="F1515" s="28">
        <v>-125</v>
      </c>
      <c r="G1515" s="28">
        <v>-200</v>
      </c>
      <c r="H1515" s="28">
        <v>-800</v>
      </c>
      <c r="I1515" s="28">
        <v>-600</v>
      </c>
      <c r="J1515" s="28">
        <v>-450</v>
      </c>
      <c r="K1515" s="28">
        <v>-5</v>
      </c>
      <c r="L1515" s="28"/>
      <c r="M1515" s="28">
        <v>-2.5</v>
      </c>
      <c r="N1515" s="28"/>
      <c r="O1515" s="28"/>
      <c r="P1515" s="28"/>
      <c r="Q1515" s="28"/>
      <c r="R1515" s="28"/>
      <c r="S1515" s="28"/>
      <c r="T1515" s="28"/>
      <c r="U1515" s="7"/>
      <c r="V1515" s="7">
        <v>100</v>
      </c>
      <c r="W1515" s="7"/>
      <c r="X1515" s="4">
        <v>5</v>
      </c>
    </row>
    <row r="1516" spans="1:24" x14ac:dyDescent="0.25">
      <c r="A1516" s="23">
        <v>46178</v>
      </c>
      <c r="B1516" s="28" t="s">
        <v>313</v>
      </c>
      <c r="C1516" s="38">
        <v>-1925</v>
      </c>
      <c r="D1516" s="28">
        <v>-900</v>
      </c>
      <c r="E1516" s="7"/>
      <c r="F1516" s="28">
        <v>-125</v>
      </c>
      <c r="G1516" s="28">
        <v>-200</v>
      </c>
      <c r="H1516" s="28">
        <v>-800</v>
      </c>
      <c r="I1516" s="28">
        <v>-600</v>
      </c>
      <c r="J1516" s="28">
        <v>-450</v>
      </c>
      <c r="K1516" s="28">
        <v>-5</v>
      </c>
      <c r="L1516" s="28"/>
      <c r="M1516" s="28">
        <v>-2.5</v>
      </c>
      <c r="N1516" s="28"/>
      <c r="O1516" s="28"/>
      <c r="P1516" s="28"/>
      <c r="Q1516" s="28"/>
      <c r="R1516" s="28"/>
      <c r="S1516" s="28"/>
      <c r="T1516" s="28"/>
      <c r="U1516" s="7"/>
      <c r="V1516" s="7">
        <v>100</v>
      </c>
      <c r="W1516" s="7"/>
      <c r="X1516" s="4">
        <v>5</v>
      </c>
    </row>
    <row r="1517" spans="1:24" x14ac:dyDescent="0.25">
      <c r="A1517" s="23">
        <v>46178</v>
      </c>
      <c r="B1517" s="7" t="s">
        <v>33</v>
      </c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>
        <v>-31</v>
      </c>
      <c r="U1517" s="7">
        <v>0</v>
      </c>
      <c r="V1517" s="7">
        <v>-40</v>
      </c>
      <c r="W1517" s="7"/>
    </row>
    <row r="1518" spans="1:24" x14ac:dyDescent="0.25">
      <c r="A1518" s="23">
        <v>46178</v>
      </c>
      <c r="B1518" s="28" t="s">
        <v>78</v>
      </c>
      <c r="C1518" s="38"/>
      <c r="D1518" s="28"/>
      <c r="E1518" s="7"/>
      <c r="F1518" s="28"/>
      <c r="G1518" s="28"/>
      <c r="H1518" s="28"/>
      <c r="I1518" s="28"/>
      <c r="J1518" s="28"/>
      <c r="K1518" s="28">
        <v>40</v>
      </c>
      <c r="L1518" s="28"/>
      <c r="M1518" s="28"/>
      <c r="N1518" s="28"/>
      <c r="O1518" s="28"/>
      <c r="P1518" s="28"/>
      <c r="Q1518" s="28"/>
      <c r="R1518" s="28"/>
      <c r="S1518" s="28"/>
      <c r="T1518" s="28"/>
      <c r="U1518" s="7"/>
      <c r="V1518" s="7"/>
      <c r="W1518" s="7"/>
    </row>
    <row r="1519" spans="1:24" x14ac:dyDescent="0.25">
      <c r="A1519" s="23">
        <v>46178</v>
      </c>
      <c r="B1519" s="28" t="s">
        <v>17</v>
      </c>
      <c r="C1519" s="38"/>
      <c r="D1519" s="28">
        <v>12000</v>
      </c>
      <c r="E1519" s="7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7"/>
      <c r="V1519" s="7"/>
      <c r="W1519" s="7"/>
    </row>
    <row r="1520" spans="1:24" x14ac:dyDescent="0.25">
      <c r="A1520" s="23">
        <v>46179</v>
      </c>
      <c r="B1520" s="7" t="s">
        <v>33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>
        <v>-31</v>
      </c>
      <c r="U1520" s="7">
        <v>0</v>
      </c>
      <c r="V1520" s="7">
        <v>-40</v>
      </c>
      <c r="W1520" s="7"/>
    </row>
    <row r="1521" spans="1:24" x14ac:dyDescent="0.25">
      <c r="A1521" s="23">
        <v>46179</v>
      </c>
      <c r="B1521" s="7" t="s">
        <v>89</v>
      </c>
      <c r="C1521" s="7">
        <v>12540</v>
      </c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</row>
    <row r="1522" spans="1:24" x14ac:dyDescent="0.25">
      <c r="A1522" s="23">
        <v>46179</v>
      </c>
      <c r="B1522" s="7" t="s">
        <v>54</v>
      </c>
      <c r="C1522" s="7"/>
      <c r="D1522" s="7"/>
      <c r="E1522" s="7"/>
      <c r="F1522" s="7"/>
      <c r="G1522" s="7"/>
      <c r="H1522" s="7"/>
      <c r="I1522" s="7">
        <v>2500</v>
      </c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</row>
    <row r="1523" spans="1:24" x14ac:dyDescent="0.25">
      <c r="A1523" s="23">
        <v>46180</v>
      </c>
      <c r="B1523" s="28" t="s">
        <v>313</v>
      </c>
      <c r="C1523" s="38">
        <v>-1925</v>
      </c>
      <c r="D1523" s="28">
        <v>-900</v>
      </c>
      <c r="E1523" s="7"/>
      <c r="F1523" s="28">
        <v>-125</v>
      </c>
      <c r="G1523" s="28">
        <v>-200</v>
      </c>
      <c r="H1523" s="28">
        <v>-800</v>
      </c>
      <c r="I1523" s="28">
        <v>-600</v>
      </c>
      <c r="J1523" s="28">
        <v>-450</v>
      </c>
      <c r="K1523" s="28">
        <v>-5</v>
      </c>
      <c r="L1523" s="28"/>
      <c r="M1523" s="28">
        <v>-2.5</v>
      </c>
      <c r="N1523" s="28"/>
      <c r="O1523" s="28"/>
      <c r="P1523" s="28"/>
      <c r="Q1523" s="28"/>
      <c r="R1523" s="28"/>
      <c r="S1523" s="28"/>
      <c r="T1523" s="28"/>
      <c r="U1523" s="7"/>
      <c r="V1523" s="4">
        <v>100</v>
      </c>
      <c r="W1523" s="7"/>
      <c r="X1523" s="4">
        <v>5</v>
      </c>
    </row>
    <row r="1524" spans="1:24" x14ac:dyDescent="0.25">
      <c r="A1524" s="23">
        <v>46180</v>
      </c>
      <c r="B1524" s="7" t="s">
        <v>33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>
        <v>-31</v>
      </c>
      <c r="U1524" s="7">
        <v>0</v>
      </c>
      <c r="V1524" s="7">
        <v>-40</v>
      </c>
      <c r="W1524" s="7"/>
    </row>
    <row r="1525" spans="1:24" x14ac:dyDescent="0.25">
      <c r="A1525" s="23">
        <v>46181</v>
      </c>
      <c r="B1525" s="7" t="s">
        <v>33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>
        <v>-31</v>
      </c>
      <c r="U1525" s="7">
        <v>0</v>
      </c>
      <c r="V1525" s="7">
        <v>-40</v>
      </c>
      <c r="W1525" s="7"/>
    </row>
    <row r="1526" spans="1:24" x14ac:dyDescent="0.25">
      <c r="A1526" s="23">
        <v>46182</v>
      </c>
      <c r="B1526" s="7" t="s">
        <v>54</v>
      </c>
      <c r="C1526" s="7"/>
      <c r="D1526" s="7"/>
      <c r="E1526" s="7"/>
      <c r="F1526" s="7"/>
      <c r="G1526" s="7"/>
      <c r="H1526" s="7"/>
      <c r="I1526" s="7">
        <v>5000</v>
      </c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</row>
    <row r="1527" spans="1:24" x14ac:dyDescent="0.25">
      <c r="A1527" s="23">
        <v>46182</v>
      </c>
      <c r="B1527" s="7" t="s">
        <v>33</v>
      </c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>
        <v>-31</v>
      </c>
      <c r="U1527" s="7">
        <v>0</v>
      </c>
      <c r="V1527" s="7">
        <v>-40</v>
      </c>
      <c r="W1527" s="7"/>
    </row>
    <row r="1528" spans="1:24" x14ac:dyDescent="0.25">
      <c r="A1528" s="23">
        <v>46182</v>
      </c>
      <c r="B1528" s="7" t="s">
        <v>129</v>
      </c>
      <c r="C1528" s="7">
        <v>-1560</v>
      </c>
      <c r="D1528" s="7">
        <v>-720</v>
      </c>
      <c r="E1528" s="7"/>
      <c r="F1528" s="7">
        <v>-75</v>
      </c>
      <c r="G1528" s="7">
        <v>-400</v>
      </c>
      <c r="H1528" s="7">
        <v>-620</v>
      </c>
      <c r="I1528" s="7">
        <v>-160</v>
      </c>
      <c r="J1528" s="7">
        <v>-440</v>
      </c>
      <c r="K1528" s="7">
        <v>-4</v>
      </c>
      <c r="L1528" s="7">
        <v>-12</v>
      </c>
      <c r="M1528" s="7">
        <v>-2</v>
      </c>
      <c r="N1528" s="7">
        <v>-2</v>
      </c>
      <c r="O1528" s="7"/>
      <c r="P1528" s="7"/>
      <c r="Q1528" s="7"/>
      <c r="R1528" s="7"/>
      <c r="S1528" s="7"/>
      <c r="T1528" s="7">
        <v>80</v>
      </c>
      <c r="W1528" s="7">
        <v>4</v>
      </c>
      <c r="X1528" s="7"/>
    </row>
    <row r="1529" spans="1:24" x14ac:dyDescent="0.25">
      <c r="A1529" s="23">
        <v>46183</v>
      </c>
      <c r="B1529" s="7" t="s">
        <v>33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>
        <v>-31</v>
      </c>
      <c r="U1529" s="7">
        <v>0</v>
      </c>
      <c r="V1529" s="7">
        <v>-40</v>
      </c>
      <c r="W1529" s="7"/>
    </row>
    <row r="1530" spans="1:24" x14ac:dyDescent="0.25">
      <c r="A1530" s="23">
        <v>46184</v>
      </c>
      <c r="B1530" s="7" t="s">
        <v>33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>
        <v>-31</v>
      </c>
      <c r="U1530" s="7">
        <v>0</v>
      </c>
      <c r="V1530" s="7">
        <v>-40</v>
      </c>
      <c r="W1530" s="7"/>
    </row>
    <row r="1531" spans="1:24" x14ac:dyDescent="0.25">
      <c r="A1531" s="23">
        <v>46185</v>
      </c>
      <c r="B1531" s="7" t="s">
        <v>108</v>
      </c>
      <c r="C1531" s="7"/>
      <c r="D1531" s="7"/>
      <c r="E1531" s="7"/>
      <c r="F1531" s="7"/>
      <c r="G1531" s="7"/>
      <c r="H1531" s="7">
        <v>6000</v>
      </c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</row>
    <row r="1532" spans="1:24" x14ac:dyDescent="0.25">
      <c r="A1532" s="23">
        <v>46185</v>
      </c>
      <c r="B1532" s="7" t="s">
        <v>55</v>
      </c>
      <c r="C1532" s="7"/>
      <c r="D1532" s="7"/>
      <c r="E1532" s="7"/>
      <c r="F1532" s="7"/>
      <c r="G1532" s="7"/>
      <c r="H1532" s="7"/>
      <c r="I1532" s="7"/>
      <c r="J1532" s="7">
        <v>3840</v>
      </c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</row>
    <row r="1533" spans="1:24" x14ac:dyDescent="0.25">
      <c r="A1533" s="23">
        <v>46185</v>
      </c>
      <c r="B1533" s="7" t="s">
        <v>35</v>
      </c>
      <c r="C1533" s="7"/>
      <c r="D1533" s="7"/>
      <c r="E1533" s="7"/>
      <c r="F1533" s="7">
        <v>2500</v>
      </c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</row>
    <row r="1534" spans="1:24" x14ac:dyDescent="0.25">
      <c r="A1534" s="23">
        <v>46185</v>
      </c>
      <c r="B1534" s="7" t="s">
        <v>314</v>
      </c>
      <c r="C1534" s="7">
        <v>12600</v>
      </c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</row>
    <row r="1535" spans="1:24" x14ac:dyDescent="0.25">
      <c r="A1535" s="23">
        <v>46185</v>
      </c>
      <c r="B1535" s="7" t="s">
        <v>17</v>
      </c>
      <c r="C1535" s="7"/>
      <c r="D1535" s="7">
        <v>12000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</row>
    <row r="1536" spans="1:24" x14ac:dyDescent="0.25">
      <c r="A1536" s="23">
        <v>46185</v>
      </c>
      <c r="B1536" s="7" t="s">
        <v>33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>
        <v>-1</v>
      </c>
      <c r="T1536" s="7">
        <v>-31</v>
      </c>
      <c r="U1536" s="7">
        <v>0</v>
      </c>
      <c r="V1536" s="7">
        <v>-40</v>
      </c>
      <c r="W1536" s="7"/>
    </row>
    <row r="1537" spans="1:24" x14ac:dyDescent="0.25">
      <c r="A1537" s="23">
        <v>46185</v>
      </c>
      <c r="B1537" s="7" t="s">
        <v>122</v>
      </c>
      <c r="C1537" s="7">
        <v>-1170</v>
      </c>
      <c r="D1537" s="7">
        <v>-540</v>
      </c>
      <c r="E1537" s="7"/>
      <c r="F1537" s="7">
        <v>-75</v>
      </c>
      <c r="G1537" s="7">
        <v>-300</v>
      </c>
      <c r="H1537" s="7">
        <v>-465</v>
      </c>
      <c r="I1537" s="7">
        <v>-120</v>
      </c>
      <c r="J1537" s="7">
        <v>-330</v>
      </c>
      <c r="K1537" s="7">
        <v>-3</v>
      </c>
      <c r="L1537" s="7">
        <v>-9</v>
      </c>
      <c r="M1537" s="7">
        <v>-1.5</v>
      </c>
      <c r="N1537" s="7">
        <v>-1.5</v>
      </c>
      <c r="O1537" s="7"/>
      <c r="P1537" s="7"/>
      <c r="Q1537" s="7"/>
      <c r="R1537" s="7"/>
      <c r="S1537" s="7"/>
      <c r="T1537" s="7">
        <v>60</v>
      </c>
      <c r="W1537" s="7">
        <v>3</v>
      </c>
    </row>
    <row r="1538" spans="1:24" x14ac:dyDescent="0.25">
      <c r="A1538" s="23">
        <v>46186</v>
      </c>
      <c r="B1538" s="7" t="s">
        <v>33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>
        <v>-31</v>
      </c>
      <c r="U1538" s="7">
        <v>0</v>
      </c>
      <c r="V1538" s="7">
        <v>-40</v>
      </c>
      <c r="W1538" s="7"/>
    </row>
    <row r="1539" spans="1:24" x14ac:dyDescent="0.25">
      <c r="A1539" s="23">
        <v>46186</v>
      </c>
      <c r="B1539" s="28" t="s">
        <v>315</v>
      </c>
      <c r="C1539" s="7">
        <v>-3080</v>
      </c>
      <c r="D1539" s="28">
        <v>-1480</v>
      </c>
      <c r="E1539" s="7"/>
      <c r="F1539" s="28">
        <v>-200</v>
      </c>
      <c r="G1539" s="28">
        <v>-320</v>
      </c>
      <c r="H1539" s="28">
        <v>-1280</v>
      </c>
      <c r="I1539" s="28">
        <v>-960</v>
      </c>
      <c r="J1539" s="28">
        <v>-720</v>
      </c>
      <c r="K1539" s="28">
        <v>-8</v>
      </c>
      <c r="L1539" s="28"/>
      <c r="M1539" s="28">
        <v>-2.5</v>
      </c>
      <c r="N1539" s="28"/>
      <c r="O1539" s="28"/>
      <c r="P1539" s="28"/>
      <c r="Q1539" s="28"/>
      <c r="R1539" s="28"/>
      <c r="S1539" s="28">
        <v>1</v>
      </c>
      <c r="T1539" s="28"/>
      <c r="U1539" s="7"/>
      <c r="V1539" s="7">
        <v>160</v>
      </c>
      <c r="W1539" s="7"/>
      <c r="X1539" s="4">
        <v>8</v>
      </c>
    </row>
    <row r="1540" spans="1:24" x14ac:dyDescent="0.25">
      <c r="A1540" s="23">
        <v>46187</v>
      </c>
      <c r="B1540" s="7" t="s">
        <v>33</v>
      </c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>
        <v>-31</v>
      </c>
      <c r="U1540" s="7">
        <v>0</v>
      </c>
      <c r="V1540" s="7">
        <v>-40</v>
      </c>
      <c r="W1540" s="7"/>
    </row>
    <row r="1541" spans="1:24" x14ac:dyDescent="0.25">
      <c r="A1541" s="23">
        <v>46188</v>
      </c>
      <c r="B1541" s="7" t="s">
        <v>78</v>
      </c>
      <c r="C1541" s="7"/>
      <c r="D1541" s="7"/>
      <c r="E1541" s="7"/>
      <c r="F1541" s="7"/>
      <c r="G1541" s="7"/>
      <c r="H1541" s="7"/>
      <c r="I1541" s="7"/>
      <c r="J1541" s="7"/>
      <c r="K1541" s="7">
        <v>250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</row>
    <row r="1542" spans="1:24" x14ac:dyDescent="0.25">
      <c r="A1542" s="23">
        <v>46188</v>
      </c>
      <c r="B1542" s="7" t="s">
        <v>33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>
        <v>-31</v>
      </c>
      <c r="U1542" s="7">
        <v>0</v>
      </c>
      <c r="V1542" s="7">
        <v>-40</v>
      </c>
      <c r="W1542" s="7"/>
    </row>
    <row r="1543" spans="1:24" x14ac:dyDescent="0.25">
      <c r="A1543" s="23">
        <v>46188</v>
      </c>
      <c r="B1543" s="7" t="s">
        <v>127</v>
      </c>
      <c r="C1543" s="7">
        <v>-2340</v>
      </c>
      <c r="D1543" s="7">
        <v>-1080</v>
      </c>
      <c r="E1543" s="7"/>
      <c r="F1543" s="7">
        <v>-150</v>
      </c>
      <c r="G1543" s="7">
        <v>-600</v>
      </c>
      <c r="H1543" s="7">
        <v>-930</v>
      </c>
      <c r="I1543" s="7">
        <v>-240</v>
      </c>
      <c r="J1543" s="7">
        <v>-660</v>
      </c>
      <c r="K1543" s="7">
        <v>-6</v>
      </c>
      <c r="L1543" s="7">
        <v>-18</v>
      </c>
      <c r="M1543" s="7"/>
      <c r="N1543" s="7">
        <v>-3</v>
      </c>
      <c r="O1543" s="7"/>
      <c r="P1543" s="7"/>
      <c r="Q1543" s="7"/>
      <c r="R1543" s="7"/>
      <c r="S1543" s="7"/>
      <c r="T1543" s="7">
        <v>120</v>
      </c>
      <c r="U1543" s="7"/>
      <c r="V1543" s="7"/>
      <c r="W1543" s="7">
        <v>6</v>
      </c>
    </row>
    <row r="1544" spans="1:24" x14ac:dyDescent="0.25">
      <c r="A1544" s="23">
        <v>46189</v>
      </c>
      <c r="B1544" s="7" t="s">
        <v>33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>
        <v>-31</v>
      </c>
      <c r="U1544" s="7">
        <v>0</v>
      </c>
      <c r="V1544" s="7">
        <v>-40</v>
      </c>
      <c r="W1544" s="7"/>
    </row>
    <row r="1545" spans="1:24" x14ac:dyDescent="0.25">
      <c r="A1545" s="23">
        <v>46190</v>
      </c>
      <c r="B1545" s="7" t="s">
        <v>33</v>
      </c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>
        <v>-31</v>
      </c>
      <c r="U1545" s="7">
        <v>0</v>
      </c>
      <c r="V1545" s="7">
        <v>-40</v>
      </c>
      <c r="W1545" s="7"/>
    </row>
    <row r="1546" spans="1:24" x14ac:dyDescent="0.25">
      <c r="A1546" s="23">
        <v>46190</v>
      </c>
      <c r="B1546" s="7" t="s">
        <v>146</v>
      </c>
      <c r="C1546" s="7">
        <v>-1950</v>
      </c>
      <c r="D1546" s="7">
        <v>-900</v>
      </c>
      <c r="E1546" s="7"/>
      <c r="F1546" s="7">
        <v>-125</v>
      </c>
      <c r="G1546" s="7">
        <v>-500</v>
      </c>
      <c r="H1546" s="7">
        <v>-775</v>
      </c>
      <c r="I1546" s="7">
        <v>-200</v>
      </c>
      <c r="J1546" s="7">
        <v>-550</v>
      </c>
      <c r="K1546" s="7">
        <v>-5</v>
      </c>
      <c r="L1546" s="7">
        <v>-15</v>
      </c>
      <c r="M1546" s="7"/>
      <c r="N1546" s="7">
        <v>-2.5</v>
      </c>
      <c r="O1546" s="7"/>
      <c r="P1546" s="7"/>
      <c r="Q1546" s="7"/>
      <c r="R1546" s="7"/>
      <c r="S1546" s="7"/>
      <c r="T1546" s="7">
        <v>100</v>
      </c>
      <c r="U1546" s="7"/>
      <c r="V1546" s="7"/>
      <c r="W1546" s="7">
        <v>5</v>
      </c>
    </row>
    <row r="1547" spans="1:24" x14ac:dyDescent="0.25">
      <c r="A1547" s="23">
        <v>46191</v>
      </c>
      <c r="B1547" s="7" t="s">
        <v>118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>
        <v>60</v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</row>
    <row r="1548" spans="1:24" x14ac:dyDescent="0.25">
      <c r="A1548" s="23">
        <v>46191</v>
      </c>
      <c r="B1548" s="7" t="s">
        <v>33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>
        <v>-31</v>
      </c>
      <c r="U1548" s="7">
        <v>0</v>
      </c>
      <c r="V1548" s="7">
        <v>-40</v>
      </c>
      <c r="W1548" s="7"/>
    </row>
    <row r="1549" spans="1:24" x14ac:dyDescent="0.25">
      <c r="A1549" s="23">
        <v>46192</v>
      </c>
      <c r="B1549" s="28" t="s">
        <v>313</v>
      </c>
      <c r="C1549" s="38">
        <v>-1925</v>
      </c>
      <c r="D1549" s="28">
        <v>-900</v>
      </c>
      <c r="E1549" s="7"/>
      <c r="F1549" s="28">
        <v>-125</v>
      </c>
      <c r="G1549" s="28">
        <v>-200</v>
      </c>
      <c r="H1549" s="28">
        <v>-800</v>
      </c>
      <c r="I1549" s="28">
        <v>-600</v>
      </c>
      <c r="J1549" s="28">
        <v>-450</v>
      </c>
      <c r="K1549" s="28">
        <v>-5</v>
      </c>
      <c r="L1549" s="28"/>
      <c r="M1549" s="28">
        <v>-2.5</v>
      </c>
      <c r="N1549" s="28"/>
      <c r="O1549" s="28"/>
      <c r="P1549" s="28"/>
      <c r="Q1549" s="28"/>
      <c r="R1549" s="28"/>
      <c r="S1549" s="28"/>
      <c r="T1549" s="28"/>
      <c r="U1549" s="7"/>
      <c r="V1549" s="7">
        <v>100</v>
      </c>
      <c r="W1549" s="7"/>
      <c r="X1549" s="4">
        <v>5</v>
      </c>
    </row>
    <row r="1550" spans="1:24" x14ac:dyDescent="0.25">
      <c r="A1550" s="23">
        <v>46192</v>
      </c>
      <c r="B1550" s="7" t="s">
        <v>33</v>
      </c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>
        <v>-31</v>
      </c>
      <c r="U1550" s="7">
        <v>0</v>
      </c>
      <c r="V1550" s="7">
        <v>-40</v>
      </c>
      <c r="W1550" s="7"/>
    </row>
    <row r="1551" spans="1:24" x14ac:dyDescent="0.25">
      <c r="A1551" s="23">
        <v>46193</v>
      </c>
      <c r="B1551" s="7" t="s">
        <v>127</v>
      </c>
      <c r="C1551" s="7">
        <v>-2340</v>
      </c>
      <c r="D1551" s="7">
        <v>-1080</v>
      </c>
      <c r="E1551" s="7"/>
      <c r="F1551" s="7">
        <v>-150</v>
      </c>
      <c r="G1551" s="7">
        <v>-600</v>
      </c>
      <c r="H1551" s="7">
        <v>-930</v>
      </c>
      <c r="I1551" s="7">
        <v>-240</v>
      </c>
      <c r="J1551" s="7">
        <v>-660</v>
      </c>
      <c r="K1551" s="7">
        <v>-6</v>
      </c>
      <c r="L1551" s="7">
        <v>-18</v>
      </c>
      <c r="M1551" s="7">
        <v>-3</v>
      </c>
      <c r="N1551" s="7">
        <v>-3</v>
      </c>
      <c r="O1551" s="7"/>
      <c r="P1551" s="7"/>
      <c r="Q1551" s="7"/>
      <c r="R1551" s="7"/>
      <c r="S1551" s="7"/>
      <c r="T1551" s="7">
        <v>120</v>
      </c>
      <c r="U1551" s="7"/>
      <c r="V1551" s="7"/>
      <c r="W1551" s="7">
        <v>6</v>
      </c>
    </row>
    <row r="1552" spans="1:24" x14ac:dyDescent="0.25">
      <c r="A1552" s="23">
        <v>46193</v>
      </c>
      <c r="B1552" s="28" t="s">
        <v>313</v>
      </c>
      <c r="C1552" s="38">
        <v>-1925</v>
      </c>
      <c r="D1552" s="28">
        <v>-900</v>
      </c>
      <c r="E1552" s="7"/>
      <c r="F1552" s="28">
        <v>-125</v>
      </c>
      <c r="G1552" s="28">
        <v>-200</v>
      </c>
      <c r="H1552" s="28">
        <v>-800</v>
      </c>
      <c r="I1552" s="28">
        <v>-600</v>
      </c>
      <c r="J1552" s="28">
        <v>-450</v>
      </c>
      <c r="K1552" s="28">
        <v>-5</v>
      </c>
      <c r="L1552" s="28"/>
      <c r="M1552" s="28">
        <v>-2.5</v>
      </c>
      <c r="N1552" s="28"/>
      <c r="O1552" s="28"/>
      <c r="P1552" s="28"/>
      <c r="Q1552" s="28"/>
      <c r="R1552" s="28"/>
      <c r="S1552" s="28"/>
      <c r="T1552" s="28"/>
      <c r="U1552" s="7"/>
      <c r="V1552" s="7">
        <v>100</v>
      </c>
      <c r="W1552" s="7"/>
      <c r="X1552" s="4">
        <v>5</v>
      </c>
    </row>
    <row r="1553" spans="1:24" x14ac:dyDescent="0.25">
      <c r="A1553" s="23">
        <v>46193</v>
      </c>
      <c r="B1553" s="7" t="s">
        <v>33</v>
      </c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>
        <v>-31</v>
      </c>
      <c r="U1553" s="7">
        <v>0</v>
      </c>
      <c r="V1553" s="7">
        <v>-40</v>
      </c>
      <c r="W1553" s="7"/>
    </row>
    <row r="1554" spans="1:24" x14ac:dyDescent="0.25">
      <c r="A1554" s="23">
        <v>46194</v>
      </c>
      <c r="B1554" s="7" t="s">
        <v>33</v>
      </c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>
        <v>-31</v>
      </c>
      <c r="U1554" s="7">
        <v>0</v>
      </c>
      <c r="V1554" s="7">
        <v>-40</v>
      </c>
      <c r="W1554" s="7"/>
    </row>
    <row r="1555" spans="1:24" x14ac:dyDescent="0.25">
      <c r="A1555" s="23">
        <v>46195</v>
      </c>
      <c r="B1555" s="7" t="s">
        <v>33</v>
      </c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>
        <v>-31</v>
      </c>
      <c r="U1555" s="7">
        <v>0</v>
      </c>
      <c r="V1555" s="7">
        <v>-40</v>
      </c>
      <c r="W1555" s="7"/>
    </row>
    <row r="1556" spans="1:24" x14ac:dyDescent="0.25">
      <c r="A1556" s="23">
        <v>46196</v>
      </c>
      <c r="B1556" s="7" t="s">
        <v>33</v>
      </c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>
        <v>-31</v>
      </c>
      <c r="U1556" s="7">
        <v>0</v>
      </c>
      <c r="V1556" s="7">
        <v>-40</v>
      </c>
      <c r="W1556" s="7"/>
    </row>
    <row r="1557" spans="1:24" x14ac:dyDescent="0.25">
      <c r="A1557" s="23">
        <v>46197</v>
      </c>
      <c r="B1557" s="28" t="s">
        <v>320</v>
      </c>
      <c r="C1557" s="38">
        <v>-2695</v>
      </c>
      <c r="D1557" s="28">
        <v>-1280</v>
      </c>
      <c r="E1557" s="7"/>
      <c r="F1557" s="28">
        <v>-175</v>
      </c>
      <c r="G1557" s="28">
        <v>-280</v>
      </c>
      <c r="H1557" s="28">
        <v>-1120</v>
      </c>
      <c r="I1557" s="28">
        <v>-840</v>
      </c>
      <c r="J1557" s="28">
        <v>-630</v>
      </c>
      <c r="K1557" s="28">
        <v>-7</v>
      </c>
      <c r="L1557" s="28"/>
      <c r="M1557" s="28">
        <v>-3.5</v>
      </c>
      <c r="N1557" s="28"/>
      <c r="O1557" s="28"/>
      <c r="P1557" s="28"/>
      <c r="Q1557" s="28"/>
      <c r="R1557" s="28"/>
      <c r="S1557" s="28"/>
      <c r="T1557" s="28"/>
      <c r="U1557" s="7"/>
      <c r="V1557" s="7">
        <v>140</v>
      </c>
      <c r="W1557" s="7"/>
      <c r="X1557" s="4">
        <v>7</v>
      </c>
    </row>
    <row r="1558" spans="1:24" x14ac:dyDescent="0.25">
      <c r="A1558" s="23">
        <v>46197</v>
      </c>
      <c r="B1558" s="7" t="s">
        <v>124</v>
      </c>
      <c r="C1558" s="7">
        <v>-780</v>
      </c>
      <c r="D1558" s="7">
        <v>-360</v>
      </c>
      <c r="E1558" s="7"/>
      <c r="F1558" s="7">
        <v>-50</v>
      </c>
      <c r="G1558" s="7">
        <v>-200</v>
      </c>
      <c r="H1558" s="7">
        <v>-310</v>
      </c>
      <c r="I1558" s="7">
        <v>-80</v>
      </c>
      <c r="J1558" s="7">
        <v>-220</v>
      </c>
      <c r="K1558" s="7">
        <v>-2</v>
      </c>
      <c r="L1558" s="7">
        <v>-6</v>
      </c>
      <c r="M1558" s="7">
        <v>-1</v>
      </c>
      <c r="N1558" s="7">
        <v>-1</v>
      </c>
      <c r="O1558" s="7"/>
      <c r="P1558" s="7"/>
      <c r="Q1558" s="7"/>
      <c r="R1558" s="7"/>
      <c r="S1558" s="7"/>
      <c r="T1558" s="7">
        <v>40</v>
      </c>
      <c r="U1558" s="7"/>
      <c r="V1558" s="7"/>
      <c r="W1558" s="7">
        <v>2</v>
      </c>
    </row>
    <row r="1559" spans="1:24" x14ac:dyDescent="0.25">
      <c r="A1559" s="23">
        <v>46197</v>
      </c>
      <c r="B1559" s="7" t="s">
        <v>33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>
        <v>-31</v>
      </c>
      <c r="U1559" s="7">
        <v>0</v>
      </c>
      <c r="V1559" s="7">
        <v>-40</v>
      </c>
      <c r="W1559" s="7"/>
    </row>
    <row r="1560" spans="1:24" x14ac:dyDescent="0.25">
      <c r="A1560" s="23">
        <v>46198</v>
      </c>
      <c r="B1560" s="7" t="s">
        <v>33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>
        <v>-31</v>
      </c>
      <c r="U1560" s="7">
        <v>0</v>
      </c>
      <c r="V1560" s="7">
        <v>-40</v>
      </c>
      <c r="W1560" s="7"/>
    </row>
    <row r="1561" spans="1:24" x14ac:dyDescent="0.25">
      <c r="A1561" s="23">
        <v>46199</v>
      </c>
      <c r="B1561" s="7" t="s">
        <v>33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>
        <v>-31</v>
      </c>
      <c r="U1561" s="7">
        <v>0</v>
      </c>
      <c r="V1561" s="7">
        <v>-40</v>
      </c>
      <c r="W1561" s="7"/>
    </row>
    <row r="1562" spans="1:24" x14ac:dyDescent="0.25">
      <c r="A1562" s="23">
        <v>46199</v>
      </c>
      <c r="B1562" s="7" t="s">
        <v>195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>
        <v>-1.6</v>
      </c>
      <c r="N1562" s="7"/>
      <c r="O1562" s="7"/>
      <c r="P1562" s="7"/>
      <c r="Q1562" s="7"/>
      <c r="R1562" s="7"/>
      <c r="S1562" s="7"/>
      <c r="T1562" s="7"/>
      <c r="U1562" s="7"/>
      <c r="V1562" s="7"/>
      <c r="W1562" s="7"/>
    </row>
    <row r="1563" spans="1:24" x14ac:dyDescent="0.25">
      <c r="A1563" s="23">
        <v>46200</v>
      </c>
      <c r="B1563" s="7" t="s">
        <v>33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>
        <v>-31</v>
      </c>
      <c r="U1563" s="7">
        <v>0</v>
      </c>
      <c r="V1563" s="7">
        <v>-40</v>
      </c>
      <c r="W1563" s="7"/>
    </row>
    <row r="1564" spans="1:24" x14ac:dyDescent="0.25">
      <c r="A1564" s="23">
        <v>46200</v>
      </c>
      <c r="B1564" s="7" t="s">
        <v>126</v>
      </c>
      <c r="C1564" s="7">
        <v>-390</v>
      </c>
      <c r="D1564" s="7">
        <v>-200</v>
      </c>
      <c r="E1564" s="7"/>
      <c r="F1564" s="7">
        <v>-25</v>
      </c>
      <c r="G1564" s="7">
        <v>-100</v>
      </c>
      <c r="H1564" s="7">
        <v>-205</v>
      </c>
      <c r="I1564" s="7">
        <v>-70</v>
      </c>
      <c r="J1564" s="7">
        <v>-90</v>
      </c>
      <c r="K1564" s="7">
        <v>-1</v>
      </c>
      <c r="L1564" s="7">
        <v>-3</v>
      </c>
      <c r="M1564" s="7">
        <v>-0.5</v>
      </c>
      <c r="N1564" s="7">
        <v>-0.5</v>
      </c>
      <c r="O1564" s="7"/>
      <c r="P1564" s="7"/>
      <c r="Q1564" s="7"/>
      <c r="R1564" s="7"/>
      <c r="S1564" s="7"/>
      <c r="T1564" s="7">
        <v>20</v>
      </c>
      <c r="U1564" s="7"/>
      <c r="V1564" s="7"/>
      <c r="W1564" s="7">
        <v>1</v>
      </c>
    </row>
    <row r="1565" spans="1:24" x14ac:dyDescent="0.25">
      <c r="A1565" s="23">
        <v>46200</v>
      </c>
      <c r="B1565" s="7" t="s">
        <v>108</v>
      </c>
      <c r="C1565" s="7"/>
      <c r="D1565" s="7"/>
      <c r="E1565" s="7"/>
      <c r="F1565" s="7"/>
      <c r="G1565" s="7"/>
      <c r="H1565" s="7">
        <v>7600</v>
      </c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</row>
    <row r="1566" spans="1:24" x14ac:dyDescent="0.25">
      <c r="A1566" s="23">
        <v>46200</v>
      </c>
      <c r="B1566" s="7" t="s">
        <v>55</v>
      </c>
      <c r="C1566" s="7"/>
      <c r="D1566" s="7"/>
      <c r="E1566" s="7"/>
      <c r="F1566" s="7"/>
      <c r="G1566" s="7"/>
      <c r="H1566" s="7"/>
      <c r="I1566" s="7"/>
      <c r="J1566" s="7">
        <v>4640</v>
      </c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</row>
    <row r="1567" spans="1:24" x14ac:dyDescent="0.25">
      <c r="A1567" s="23">
        <v>46201</v>
      </c>
      <c r="B1567" s="7" t="s">
        <v>146</v>
      </c>
      <c r="C1567" s="7">
        <v>-1950</v>
      </c>
      <c r="D1567" s="7">
        <v>-900</v>
      </c>
      <c r="E1567" s="7"/>
      <c r="F1567" s="7">
        <v>-125</v>
      </c>
      <c r="G1567" s="7">
        <v>-500</v>
      </c>
      <c r="H1567" s="7">
        <v>-775</v>
      </c>
      <c r="I1567" s="7">
        <v>-200</v>
      </c>
      <c r="J1567" s="7">
        <v>-550</v>
      </c>
      <c r="K1567" s="7">
        <v>-5</v>
      </c>
      <c r="L1567" s="7">
        <v>-15</v>
      </c>
      <c r="M1567" s="7">
        <v>-2.5</v>
      </c>
      <c r="N1567" s="7">
        <v>-2.5</v>
      </c>
      <c r="O1567" s="7"/>
      <c r="P1567" s="7"/>
      <c r="Q1567" s="7"/>
      <c r="R1567" s="7"/>
      <c r="S1567" s="7"/>
      <c r="T1567" s="7">
        <v>100</v>
      </c>
      <c r="U1567" s="7"/>
      <c r="V1567" s="7"/>
      <c r="W1567" s="7">
        <v>5</v>
      </c>
    </row>
    <row r="1568" spans="1:24" x14ac:dyDescent="0.25">
      <c r="A1568" s="23">
        <v>46201</v>
      </c>
      <c r="B1568" s="7" t="s">
        <v>33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>
        <v>-31</v>
      </c>
      <c r="U1568" s="7">
        <v>0</v>
      </c>
      <c r="V1568" s="7">
        <v>-40</v>
      </c>
      <c r="W1568" s="7"/>
    </row>
    <row r="1569" spans="1:25" x14ac:dyDescent="0.25">
      <c r="A1569" s="23">
        <v>46202</v>
      </c>
      <c r="B1569" s="7" t="s">
        <v>234</v>
      </c>
      <c r="C1569" s="7">
        <v>12520</v>
      </c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</row>
    <row r="1570" spans="1:25" x14ac:dyDescent="0.25">
      <c r="A1570" s="23">
        <v>46202</v>
      </c>
      <c r="B1570" s="28" t="s">
        <v>320</v>
      </c>
      <c r="C1570" s="38"/>
      <c r="D1570" s="28">
        <v>-1280</v>
      </c>
      <c r="E1570" s="7"/>
      <c r="F1570" s="28">
        <v>-175</v>
      </c>
      <c r="G1570" s="28">
        <v>-280</v>
      </c>
      <c r="H1570" s="28">
        <v>-1120</v>
      </c>
      <c r="I1570" s="28">
        <v>-840</v>
      </c>
      <c r="J1570" s="28">
        <v>-630</v>
      </c>
      <c r="K1570" s="28">
        <v>-7</v>
      </c>
      <c r="L1570" s="28"/>
      <c r="M1570" s="28">
        <v>-3.5</v>
      </c>
      <c r="N1570" s="28"/>
      <c r="O1570" s="28"/>
      <c r="P1570" s="28"/>
      <c r="Q1570" s="28"/>
      <c r="R1570" s="28"/>
      <c r="S1570" s="28"/>
      <c r="T1570" s="28"/>
      <c r="U1570" s="7"/>
      <c r="V1570" s="7">
        <v>140</v>
      </c>
      <c r="W1570" s="7"/>
      <c r="X1570" s="4">
        <v>7</v>
      </c>
    </row>
    <row r="1571" spans="1:25" x14ac:dyDescent="0.25">
      <c r="A1571" s="23">
        <v>46202</v>
      </c>
      <c r="B1571" s="7" t="s">
        <v>33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>
        <v>-31</v>
      </c>
      <c r="U1571" s="7">
        <v>0</v>
      </c>
      <c r="V1571" s="7">
        <v>-40</v>
      </c>
      <c r="W1571" s="7"/>
    </row>
    <row r="1572" spans="1:25" x14ac:dyDescent="0.25">
      <c r="A1572" s="23">
        <v>46203</v>
      </c>
      <c r="B1572" s="7" t="s">
        <v>146</v>
      </c>
      <c r="C1572" s="7">
        <v>-1950</v>
      </c>
      <c r="D1572" s="7">
        <v>-900</v>
      </c>
      <c r="E1572" s="7"/>
      <c r="F1572" s="7">
        <v>-125</v>
      </c>
      <c r="G1572" s="7">
        <v>-500</v>
      </c>
      <c r="H1572" s="7">
        <v>-775</v>
      </c>
      <c r="I1572" s="7">
        <v>-200</v>
      </c>
      <c r="J1572" s="7">
        <v>-550</v>
      </c>
      <c r="K1572" s="7">
        <v>-5</v>
      </c>
      <c r="L1572" s="7">
        <v>-15</v>
      </c>
      <c r="M1572" s="7">
        <v>-2.5</v>
      </c>
      <c r="N1572" s="7">
        <v>-2.5</v>
      </c>
      <c r="O1572" s="7"/>
      <c r="P1572" s="7"/>
      <c r="Q1572" s="7"/>
      <c r="R1572" s="7"/>
      <c r="S1572" s="7"/>
      <c r="T1572" s="7">
        <v>100</v>
      </c>
      <c r="U1572" s="7"/>
      <c r="V1572" s="7"/>
      <c r="W1572" s="7">
        <v>5</v>
      </c>
    </row>
    <row r="1573" spans="1:25" x14ac:dyDescent="0.25">
      <c r="A1573" s="23">
        <v>46203</v>
      </c>
      <c r="B1573" s="28" t="s">
        <v>321</v>
      </c>
      <c r="C1573" s="38">
        <v>-385</v>
      </c>
      <c r="D1573" s="28">
        <v>-180</v>
      </c>
      <c r="E1573" s="7"/>
      <c r="F1573" s="28">
        <v>-25</v>
      </c>
      <c r="G1573" s="28">
        <v>-40</v>
      </c>
      <c r="H1573" s="28">
        <v>-160</v>
      </c>
      <c r="I1573" s="28">
        <v>-120</v>
      </c>
      <c r="J1573" s="28">
        <v>-90</v>
      </c>
      <c r="K1573" s="28">
        <v>-1</v>
      </c>
      <c r="L1573" s="28"/>
      <c r="M1573" s="28">
        <v>-0.5</v>
      </c>
      <c r="N1573" s="28"/>
      <c r="O1573" s="28"/>
      <c r="P1573" s="28"/>
      <c r="Q1573" s="28"/>
      <c r="R1573" s="28"/>
      <c r="S1573" s="28"/>
      <c r="T1573" s="28"/>
      <c r="U1573" s="7"/>
      <c r="V1573" s="7">
        <v>20</v>
      </c>
      <c r="W1573" s="7"/>
      <c r="X1573" s="4">
        <v>1</v>
      </c>
    </row>
    <row r="1574" spans="1:25" x14ac:dyDescent="0.25">
      <c r="A1574" s="23">
        <v>46203</v>
      </c>
      <c r="B1574" s="7" t="s">
        <v>33</v>
      </c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>
        <v>-31</v>
      </c>
      <c r="U1574" s="7">
        <v>0</v>
      </c>
      <c r="V1574" s="7">
        <v>-40</v>
      </c>
      <c r="W1574" s="7"/>
    </row>
    <row r="1575" spans="1:25" x14ac:dyDescent="0.25">
      <c r="A1575" s="23"/>
      <c r="B1575" s="7"/>
      <c r="C1575" s="7"/>
      <c r="D1575" s="7"/>
      <c r="E1575" s="7"/>
      <c r="F1575" s="7"/>
      <c r="G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</row>
    <row r="1576" spans="1:25" x14ac:dyDescent="0.25">
      <c r="A1576" s="23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 spans="1:25" x14ac:dyDescent="0.25">
      <c r="A1577" s="7"/>
      <c r="B1577" s="7"/>
      <c r="C1577" s="7"/>
      <c r="D1577" s="7"/>
      <c r="E1577" s="7"/>
      <c r="F1577" s="7" t="s">
        <v>198</v>
      </c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>
        <f>SUM(W1509:W1576)</f>
        <v>47</v>
      </c>
      <c r="X1577" s="7">
        <f>SUM(X1509:X1576)</f>
        <v>48</v>
      </c>
      <c r="Y1577" s="7"/>
    </row>
    <row r="1578" spans="1:25" x14ac:dyDescent="0.25">
      <c r="A1578" s="20"/>
      <c r="B1578" s="21" t="s">
        <v>25</v>
      </c>
      <c r="C1578" s="22">
        <f t="shared" ref="C1578:V1578" si="51">SUM(C1508:C1577)</f>
        <v>15260</v>
      </c>
      <c r="D1578" s="22">
        <f t="shared" si="51"/>
        <v>11430</v>
      </c>
      <c r="E1578" s="22">
        <f t="shared" si="51"/>
        <v>3825</v>
      </c>
      <c r="F1578" s="22">
        <f t="shared" si="51"/>
        <v>850</v>
      </c>
      <c r="G1578" s="22">
        <f t="shared" si="51"/>
        <v>2680</v>
      </c>
      <c r="H1578" s="22">
        <f t="shared" si="51"/>
        <v>5085</v>
      </c>
      <c r="I1578" s="22">
        <f t="shared" si="51"/>
        <v>3350</v>
      </c>
      <c r="J1578" s="22">
        <f t="shared" si="51"/>
        <v>3230</v>
      </c>
      <c r="K1578" s="22">
        <f t="shared" si="51"/>
        <v>224</v>
      </c>
      <c r="L1578" s="22">
        <f t="shared" si="51"/>
        <v>3.8000000000000114</v>
      </c>
      <c r="M1578" s="22">
        <f t="shared" si="51"/>
        <v>36.4</v>
      </c>
      <c r="N1578" s="22">
        <f t="shared" si="51"/>
        <v>23</v>
      </c>
      <c r="O1578" s="22">
        <f t="shared" si="51"/>
        <v>146</v>
      </c>
      <c r="P1578" s="22">
        <f t="shared" si="51"/>
        <v>0</v>
      </c>
      <c r="Q1578" s="22">
        <f t="shared" si="51"/>
        <v>9</v>
      </c>
      <c r="R1578" s="22">
        <f t="shared" si="51"/>
        <v>14</v>
      </c>
      <c r="S1578" s="22">
        <f t="shared" si="51"/>
        <v>1</v>
      </c>
      <c r="T1578" s="22">
        <f t="shared" si="51"/>
        <v>106</v>
      </c>
      <c r="U1578" s="22">
        <f t="shared" si="51"/>
        <v>0</v>
      </c>
      <c r="V1578" s="22">
        <f t="shared" si="51"/>
        <v>58</v>
      </c>
      <c r="W1578" s="7"/>
    </row>
    <row r="1579" spans="1:25" x14ac:dyDescent="0.25">
      <c r="A1579" s="17"/>
      <c r="B1579" s="17" t="s">
        <v>28</v>
      </c>
      <c r="C1579" s="17">
        <v>1375</v>
      </c>
      <c r="D1579" s="17">
        <v>639</v>
      </c>
      <c r="E1579" s="17">
        <v>280</v>
      </c>
      <c r="F1579" s="17">
        <v>88.75</v>
      </c>
      <c r="G1579" s="17">
        <v>235</v>
      </c>
      <c r="H1579" s="17">
        <v>560.25</v>
      </c>
      <c r="I1579" s="17">
        <v>302</v>
      </c>
      <c r="J1579" s="17">
        <v>350.5</v>
      </c>
      <c r="K1579" s="17">
        <v>3.55</v>
      </c>
      <c r="L1579" s="17">
        <v>4.6500000000000004</v>
      </c>
      <c r="M1579" s="17">
        <v>1.7749999999999999</v>
      </c>
      <c r="N1579" s="17">
        <v>0.77500000000000002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31</v>
      </c>
      <c r="U1579" s="21">
        <v>0</v>
      </c>
      <c r="V1579" s="21">
        <v>40</v>
      </c>
      <c r="W1579" s="7"/>
    </row>
    <row r="1580" spans="1:25" x14ac:dyDescent="0.25">
      <c r="A1580" s="17"/>
      <c r="B1580" s="17" t="s">
        <v>26</v>
      </c>
      <c r="C1580" s="18">
        <f>C1578/C1579</f>
        <v>11.098181818181818</v>
      </c>
      <c r="D1580" s="18">
        <f t="shared" ref="D1580:V1580" si="52">D1578/D1579</f>
        <v>17.887323943661972</v>
      </c>
      <c r="E1580" s="18">
        <f t="shared" si="52"/>
        <v>13.660714285714286</v>
      </c>
      <c r="F1580" s="18">
        <f t="shared" si="52"/>
        <v>9.577464788732394</v>
      </c>
      <c r="G1580" s="18">
        <f t="shared" si="52"/>
        <v>11.404255319148936</v>
      </c>
      <c r="H1580" s="18">
        <f t="shared" si="52"/>
        <v>9.0763052208835333</v>
      </c>
      <c r="I1580" s="18">
        <f t="shared" si="52"/>
        <v>11.092715231788079</v>
      </c>
      <c r="J1580" s="18">
        <f t="shared" si="52"/>
        <v>9.2154065620542092</v>
      </c>
      <c r="K1580" s="18">
        <f t="shared" si="52"/>
        <v>63.098591549295776</v>
      </c>
      <c r="L1580" s="18">
        <f t="shared" si="52"/>
        <v>0.8172043010752712</v>
      </c>
      <c r="M1580" s="18">
        <f t="shared" si="52"/>
        <v>20.507042253521128</v>
      </c>
      <c r="N1580" s="18">
        <f t="shared" si="52"/>
        <v>29.677419354838708</v>
      </c>
      <c r="O1580" s="18" t="e">
        <f t="shared" si="52"/>
        <v>#DIV/0!</v>
      </c>
      <c r="P1580" s="18" t="e">
        <f t="shared" si="52"/>
        <v>#DIV/0!</v>
      </c>
      <c r="Q1580" s="18" t="e">
        <f t="shared" si="52"/>
        <v>#DIV/0!</v>
      </c>
      <c r="R1580" s="18" t="e">
        <f t="shared" si="52"/>
        <v>#DIV/0!</v>
      </c>
      <c r="S1580" s="18" t="e">
        <f t="shared" si="52"/>
        <v>#DIV/0!</v>
      </c>
      <c r="T1580" s="18">
        <f t="shared" si="52"/>
        <v>3.4193548387096775</v>
      </c>
      <c r="U1580" s="18" t="e">
        <f t="shared" si="52"/>
        <v>#DIV/0!</v>
      </c>
      <c r="V1580" s="18">
        <f t="shared" si="52"/>
        <v>1.45</v>
      </c>
      <c r="W1580" s="7"/>
    </row>
    <row r="1581" spans="1:25" x14ac:dyDescent="0.25">
      <c r="A1581" s="21"/>
      <c r="B1581" s="21" t="s">
        <v>196</v>
      </c>
      <c r="C1581" s="21">
        <f>C1579*30</f>
        <v>41250</v>
      </c>
      <c r="D1581" s="21">
        <f t="shared" ref="D1581:V1581" si="53">D1579*30</f>
        <v>19170</v>
      </c>
      <c r="E1581" s="21">
        <f t="shared" si="53"/>
        <v>8400</v>
      </c>
      <c r="F1581" s="21">
        <f t="shared" si="53"/>
        <v>2662.5</v>
      </c>
      <c r="G1581" s="21">
        <f t="shared" si="53"/>
        <v>7050</v>
      </c>
      <c r="H1581" s="21">
        <f t="shared" si="53"/>
        <v>16807.5</v>
      </c>
      <c r="I1581" s="21">
        <f t="shared" si="53"/>
        <v>9060</v>
      </c>
      <c r="J1581" s="21">
        <f t="shared" si="53"/>
        <v>10515</v>
      </c>
      <c r="K1581" s="21">
        <f t="shared" si="53"/>
        <v>106.5</v>
      </c>
      <c r="L1581" s="21">
        <f t="shared" si="53"/>
        <v>139.5</v>
      </c>
      <c r="M1581" s="21">
        <f t="shared" si="53"/>
        <v>53.25</v>
      </c>
      <c r="N1581" s="21">
        <f t="shared" si="53"/>
        <v>23.25</v>
      </c>
      <c r="O1581" s="21">
        <f t="shared" si="53"/>
        <v>0</v>
      </c>
      <c r="P1581" s="21">
        <f t="shared" si="53"/>
        <v>0</v>
      </c>
      <c r="Q1581" s="21">
        <f t="shared" si="53"/>
        <v>0</v>
      </c>
      <c r="R1581" s="21">
        <f t="shared" si="53"/>
        <v>0</v>
      </c>
      <c r="S1581" s="21">
        <f t="shared" si="53"/>
        <v>0</v>
      </c>
      <c r="T1581" s="21">
        <f t="shared" si="53"/>
        <v>930</v>
      </c>
      <c r="U1581" s="21">
        <f t="shared" si="53"/>
        <v>0</v>
      </c>
      <c r="V1581" s="21">
        <f t="shared" si="53"/>
        <v>1200</v>
      </c>
      <c r="W1581" s="7"/>
    </row>
    <row r="1584" spans="1:25" ht="26" x14ac:dyDescent="0.6">
      <c r="I1584" s="34">
        <v>46204</v>
      </c>
    </row>
    <row r="1585" spans="1:24" x14ac:dyDescent="0.25">
      <c r="A1585" s="28"/>
      <c r="B1585" s="28"/>
      <c r="C1585" s="28"/>
      <c r="D1585" s="28"/>
      <c r="E1585" s="28"/>
      <c r="F1585" s="7"/>
      <c r="G1585" s="7"/>
      <c r="H1585" s="7"/>
      <c r="I1585" s="7"/>
      <c r="J1585" s="7"/>
      <c r="K1585" s="7"/>
      <c r="L1585" s="7"/>
      <c r="M1585" s="7"/>
      <c r="N1585" s="7"/>
      <c r="O1585" s="28"/>
      <c r="P1585" s="28"/>
      <c r="Q1585" s="28"/>
      <c r="R1585" s="28"/>
      <c r="S1585" s="28"/>
      <c r="T1585" s="28"/>
      <c r="U1585" s="7"/>
      <c r="V1585" s="7"/>
      <c r="W1585" s="7"/>
    </row>
    <row r="1586" spans="1:24" x14ac:dyDescent="0.25">
      <c r="A1586" s="28"/>
      <c r="B1586" s="28"/>
      <c r="C1586" s="28"/>
      <c r="D1586" s="28"/>
      <c r="E1586" s="28"/>
      <c r="F1586" s="7"/>
      <c r="G1586" s="7"/>
      <c r="H1586" s="7"/>
      <c r="I1586" s="7"/>
      <c r="J1586" s="7"/>
      <c r="K1586" s="7"/>
      <c r="L1586" s="7"/>
      <c r="M1586" s="7"/>
      <c r="N1586" s="7"/>
      <c r="O1586" s="28"/>
      <c r="P1586" s="28"/>
      <c r="Q1586" s="28"/>
      <c r="R1586" s="28"/>
      <c r="S1586" s="28"/>
      <c r="T1586" s="28"/>
      <c r="U1586" s="7"/>
      <c r="V1586" s="7"/>
      <c r="W1586" s="7"/>
    </row>
    <row r="1587" spans="1:24" x14ac:dyDescent="0.25">
      <c r="A1587" s="3">
        <v>46204</v>
      </c>
      <c r="B1587" s="9" t="s">
        <v>0</v>
      </c>
      <c r="C1587" s="10">
        <v>11620</v>
      </c>
      <c r="D1587" s="9">
        <v>11080</v>
      </c>
      <c r="E1587" s="7">
        <v>3825</v>
      </c>
      <c r="F1587" s="9">
        <v>850</v>
      </c>
      <c r="G1587" s="9">
        <v>2500</v>
      </c>
      <c r="H1587" s="9">
        <v>5120</v>
      </c>
      <c r="I1587" s="9">
        <v>3520</v>
      </c>
      <c r="J1587" s="9">
        <v>2840</v>
      </c>
      <c r="K1587" s="9">
        <v>223.4</v>
      </c>
      <c r="L1587" s="9">
        <v>4</v>
      </c>
      <c r="M1587" s="9">
        <v>37.5</v>
      </c>
      <c r="N1587" s="9">
        <v>22.3</v>
      </c>
      <c r="O1587" s="9">
        <v>146</v>
      </c>
      <c r="P1587" s="9">
        <v>0</v>
      </c>
      <c r="Q1587" s="9">
        <v>9</v>
      </c>
      <c r="R1587" s="9">
        <v>14</v>
      </c>
      <c r="S1587" s="9">
        <v>1</v>
      </c>
      <c r="T1587" s="9">
        <v>112</v>
      </c>
      <c r="U1587" s="40"/>
      <c r="V1587" s="40">
        <v>80</v>
      </c>
      <c r="W1587" s="40"/>
    </row>
    <row r="1588" spans="1:24" x14ac:dyDescent="0.25">
      <c r="A1588" s="23">
        <v>46204</v>
      </c>
      <c r="B1588" s="7" t="s">
        <v>33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>
        <v>-31</v>
      </c>
      <c r="U1588" s="7">
        <v>0</v>
      </c>
      <c r="V1588" s="7">
        <v>-40</v>
      </c>
      <c r="W1588" s="40"/>
    </row>
    <row r="1589" spans="1:24" x14ac:dyDescent="0.25">
      <c r="A1589" s="23">
        <v>46205</v>
      </c>
      <c r="B1589" s="7" t="s">
        <v>33</v>
      </c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>
        <v>-1</v>
      </c>
      <c r="T1589" s="7">
        <v>-31</v>
      </c>
      <c r="U1589" s="7">
        <v>0</v>
      </c>
      <c r="V1589" s="7">
        <v>-40</v>
      </c>
      <c r="W1589" s="40"/>
    </row>
    <row r="1590" spans="1:24" x14ac:dyDescent="0.25">
      <c r="A1590" s="23">
        <v>46205</v>
      </c>
      <c r="B1590" s="7" t="s">
        <v>12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>
        <v>125</v>
      </c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40"/>
    </row>
    <row r="1591" spans="1:24" x14ac:dyDescent="0.25">
      <c r="A1591" s="23">
        <v>46206</v>
      </c>
      <c r="B1591" s="7" t="s">
        <v>33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>
        <v>-31</v>
      </c>
      <c r="U1591" s="7">
        <v>0</v>
      </c>
      <c r="V1591" s="7">
        <v>-40</v>
      </c>
      <c r="W1591" s="40"/>
    </row>
    <row r="1592" spans="1:24" x14ac:dyDescent="0.25">
      <c r="A1592" s="23">
        <v>46206</v>
      </c>
      <c r="B1592" s="28" t="s">
        <v>326</v>
      </c>
      <c r="C1592" s="38">
        <v>-1155</v>
      </c>
      <c r="D1592" s="28">
        <v>-540</v>
      </c>
      <c r="E1592" s="7"/>
      <c r="F1592" s="28">
        <v>-75</v>
      </c>
      <c r="G1592" s="28">
        <v>-120</v>
      </c>
      <c r="H1592" s="28">
        <v>-480</v>
      </c>
      <c r="I1592" s="28">
        <v>-360</v>
      </c>
      <c r="J1592" s="28">
        <v>-270</v>
      </c>
      <c r="K1592" s="28">
        <v>-3</v>
      </c>
      <c r="L1592" s="28"/>
      <c r="M1592" s="28">
        <v>-1.5</v>
      </c>
      <c r="N1592" s="28"/>
      <c r="O1592" s="28"/>
      <c r="P1592" s="28"/>
      <c r="Q1592" s="28"/>
      <c r="R1592" s="28"/>
      <c r="S1592" s="28"/>
      <c r="T1592" s="28"/>
      <c r="U1592" s="7"/>
      <c r="V1592" s="7">
        <v>60</v>
      </c>
      <c r="W1592" s="7"/>
      <c r="X1592" s="4">
        <v>3</v>
      </c>
    </row>
    <row r="1593" spans="1:24" x14ac:dyDescent="0.25">
      <c r="A1593" s="23">
        <v>46207</v>
      </c>
      <c r="B1593" s="7" t="s">
        <v>126</v>
      </c>
      <c r="C1593" s="7">
        <v>-390</v>
      </c>
      <c r="D1593" s="7">
        <v>-200</v>
      </c>
      <c r="E1593" s="7"/>
      <c r="F1593" s="7">
        <v>-25</v>
      </c>
      <c r="G1593" s="7">
        <v>-100</v>
      </c>
      <c r="H1593" s="7">
        <v>-205</v>
      </c>
      <c r="I1593" s="7">
        <v>-70</v>
      </c>
      <c r="J1593" s="7">
        <v>-110</v>
      </c>
      <c r="K1593" s="7">
        <v>-1</v>
      </c>
      <c r="L1593" s="7">
        <v>-3</v>
      </c>
      <c r="M1593" s="7">
        <v>-0.5</v>
      </c>
      <c r="N1593" s="7">
        <v>-0.5</v>
      </c>
      <c r="O1593" s="7"/>
      <c r="P1593" s="7"/>
      <c r="Q1593" s="7">
        <v>-0.5</v>
      </c>
      <c r="R1593" s="7"/>
      <c r="S1593" s="7"/>
      <c r="T1593" s="7">
        <v>20</v>
      </c>
      <c r="U1593" s="7"/>
      <c r="V1593" s="7"/>
      <c r="W1593" s="7">
        <v>1</v>
      </c>
    </row>
    <row r="1594" spans="1:24" x14ac:dyDescent="0.25">
      <c r="A1594" s="23">
        <v>46207</v>
      </c>
      <c r="B1594" s="7" t="s">
        <v>33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>
        <v>-31</v>
      </c>
      <c r="U1594" s="7">
        <v>0</v>
      </c>
      <c r="V1594" s="7">
        <v>-40</v>
      </c>
      <c r="W1594" s="7"/>
    </row>
    <row r="1595" spans="1:24" x14ac:dyDescent="0.25">
      <c r="A1595" s="23">
        <v>46208</v>
      </c>
      <c r="B1595" s="28" t="s">
        <v>326</v>
      </c>
      <c r="C1595" s="38">
        <v>-1155</v>
      </c>
      <c r="D1595" s="28">
        <v>-540</v>
      </c>
      <c r="E1595" s="7"/>
      <c r="F1595" s="28">
        <v>-75</v>
      </c>
      <c r="G1595" s="28">
        <v>-120</v>
      </c>
      <c r="H1595" s="28">
        <v>-480</v>
      </c>
      <c r="I1595" s="28">
        <v>-360</v>
      </c>
      <c r="J1595" s="28">
        <v>-270</v>
      </c>
      <c r="K1595" s="28">
        <v>-3</v>
      </c>
      <c r="L1595" s="28"/>
      <c r="M1595" s="28">
        <v>-1.5</v>
      </c>
      <c r="N1595" s="28"/>
      <c r="O1595" s="28"/>
      <c r="P1595" s="28"/>
      <c r="Q1595" s="28"/>
      <c r="R1595" s="28"/>
      <c r="S1595" s="28"/>
      <c r="T1595" s="28"/>
      <c r="U1595" s="7"/>
      <c r="V1595" s="7">
        <v>60</v>
      </c>
      <c r="W1595" s="7"/>
    </row>
    <row r="1596" spans="1:24" x14ac:dyDescent="0.25">
      <c r="A1596" s="23">
        <v>46208</v>
      </c>
      <c r="B1596" s="7" t="s">
        <v>122</v>
      </c>
      <c r="C1596" s="7">
        <v>-1170</v>
      </c>
      <c r="D1596" s="7">
        <v>-540</v>
      </c>
      <c r="E1596" s="7"/>
      <c r="F1596" s="7">
        <v>-75</v>
      </c>
      <c r="G1596" s="7">
        <v>-300</v>
      </c>
      <c r="H1596" s="7">
        <v>-465</v>
      </c>
      <c r="I1596" s="7">
        <v>-120</v>
      </c>
      <c r="J1596" s="7">
        <v>-330</v>
      </c>
      <c r="K1596" s="7">
        <v>-3</v>
      </c>
      <c r="L1596" s="7">
        <v>-9</v>
      </c>
      <c r="M1596" s="7">
        <v>-1.5</v>
      </c>
      <c r="N1596" s="7">
        <v>-1.5</v>
      </c>
      <c r="O1596" s="7"/>
      <c r="P1596" s="7"/>
      <c r="Q1596" s="7">
        <v>-1.5</v>
      </c>
      <c r="R1596" s="7"/>
      <c r="S1596" s="7"/>
      <c r="T1596" s="7">
        <v>60</v>
      </c>
      <c r="U1596" s="7"/>
      <c r="V1596" s="7"/>
      <c r="W1596" s="7">
        <v>3</v>
      </c>
    </row>
    <row r="1597" spans="1:24" x14ac:dyDescent="0.25">
      <c r="A1597" s="23">
        <v>46208</v>
      </c>
      <c r="B1597" s="7" t="s">
        <v>33</v>
      </c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>
        <v>-31</v>
      </c>
      <c r="U1597" s="7">
        <v>0</v>
      </c>
      <c r="V1597" s="7">
        <v>-40</v>
      </c>
      <c r="W1597" s="7"/>
      <c r="X1597" s="7"/>
    </row>
    <row r="1598" spans="1:24" x14ac:dyDescent="0.25">
      <c r="A1598" s="23">
        <v>46208</v>
      </c>
      <c r="B1598" s="7" t="s">
        <v>8</v>
      </c>
      <c r="C1598" s="7"/>
      <c r="D1598" s="7"/>
      <c r="E1598" s="7"/>
      <c r="F1598" s="7"/>
      <c r="G1598" s="7">
        <v>11000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</row>
    <row r="1599" spans="1:24" x14ac:dyDescent="0.25">
      <c r="A1599" s="23">
        <v>46209</v>
      </c>
      <c r="B1599" s="28" t="s">
        <v>315</v>
      </c>
      <c r="C1599" s="7">
        <v>-3080</v>
      </c>
      <c r="D1599" s="28">
        <v>-1440</v>
      </c>
      <c r="E1599" s="7"/>
      <c r="F1599" s="28">
        <v>-200</v>
      </c>
      <c r="G1599" s="28">
        <v>-320</v>
      </c>
      <c r="H1599" s="28">
        <v>-1280</v>
      </c>
      <c r="I1599" s="28">
        <v>-960</v>
      </c>
      <c r="J1599" s="28">
        <v>-820</v>
      </c>
      <c r="K1599" s="28">
        <v>-8</v>
      </c>
      <c r="L1599" s="28"/>
      <c r="M1599" s="28">
        <v>-2.5</v>
      </c>
      <c r="N1599" s="28"/>
      <c r="O1599" s="28"/>
      <c r="P1599" s="28"/>
      <c r="Q1599" s="28"/>
      <c r="R1599" s="28"/>
      <c r="S1599" s="28"/>
      <c r="T1599" s="28"/>
      <c r="U1599" s="7"/>
      <c r="V1599" s="7">
        <v>160</v>
      </c>
      <c r="W1599" s="7"/>
      <c r="X1599" s="4">
        <v>8</v>
      </c>
    </row>
    <row r="1600" spans="1:24" x14ac:dyDescent="0.25">
      <c r="A1600" s="23">
        <v>46209</v>
      </c>
      <c r="B1600" s="7" t="s">
        <v>33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>
        <v>-30</v>
      </c>
      <c r="U1600" s="7">
        <v>0</v>
      </c>
      <c r="V1600" s="7">
        <v>-40</v>
      </c>
      <c r="W1600" s="7"/>
      <c r="X1600" s="7"/>
    </row>
    <row r="1601" spans="1:24" x14ac:dyDescent="0.25">
      <c r="A1601" s="23">
        <v>46210</v>
      </c>
      <c r="B1601" s="7" t="s">
        <v>127</v>
      </c>
      <c r="C1601" s="7">
        <v>-2340</v>
      </c>
      <c r="D1601" s="7">
        <v>-1080</v>
      </c>
      <c r="E1601" s="7"/>
      <c r="F1601" s="7">
        <v>-150</v>
      </c>
      <c r="G1601" s="7">
        <v>-600</v>
      </c>
      <c r="H1601" s="7">
        <v>-930</v>
      </c>
      <c r="I1601" s="7">
        <v>-240</v>
      </c>
      <c r="J1601" s="7">
        <v>-660</v>
      </c>
      <c r="K1601" s="7">
        <v>-6</v>
      </c>
      <c r="L1601" s="7">
        <v>-18</v>
      </c>
      <c r="M1601" s="7">
        <v>-3</v>
      </c>
      <c r="N1601" s="7">
        <v>-3</v>
      </c>
      <c r="O1601" s="7"/>
      <c r="P1601" s="7"/>
      <c r="Q1601" s="7">
        <v>-3</v>
      </c>
      <c r="R1601" s="7"/>
      <c r="S1601" s="7"/>
      <c r="T1601" s="7">
        <v>120</v>
      </c>
      <c r="U1601" s="7"/>
      <c r="V1601" s="7"/>
      <c r="W1601" s="7">
        <v>6</v>
      </c>
      <c r="X1601" s="7"/>
    </row>
    <row r="1602" spans="1:24" x14ac:dyDescent="0.25">
      <c r="A1602" s="23">
        <v>46210</v>
      </c>
      <c r="B1602" s="7" t="s">
        <v>33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>
        <v>-30</v>
      </c>
      <c r="U1602" s="7">
        <v>0</v>
      </c>
      <c r="V1602" s="7">
        <v>-40</v>
      </c>
      <c r="W1602" s="7"/>
      <c r="X1602" s="7"/>
    </row>
    <row r="1603" spans="1:24" x14ac:dyDescent="0.25">
      <c r="A1603" s="23">
        <v>46211</v>
      </c>
      <c r="B1603" s="7" t="s">
        <v>33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>
        <v>-30</v>
      </c>
      <c r="U1603" s="7">
        <v>0</v>
      </c>
      <c r="V1603" s="7">
        <v>-40</v>
      </c>
      <c r="W1603" s="7"/>
      <c r="X1603" s="7"/>
    </row>
    <row r="1604" spans="1:24" x14ac:dyDescent="0.25">
      <c r="A1604" s="23">
        <v>46212</v>
      </c>
      <c r="B1604" s="7" t="s">
        <v>126</v>
      </c>
      <c r="C1604" s="7">
        <v>-390</v>
      </c>
      <c r="D1604" s="7">
        <v>-200</v>
      </c>
      <c r="E1604" s="7"/>
      <c r="F1604" s="7">
        <v>-25</v>
      </c>
      <c r="G1604" s="7">
        <v>-100</v>
      </c>
      <c r="H1604" s="7">
        <v>-205</v>
      </c>
      <c r="I1604" s="7">
        <v>-70</v>
      </c>
      <c r="J1604" s="7">
        <v>-90</v>
      </c>
      <c r="K1604" s="7">
        <v>-1</v>
      </c>
      <c r="L1604" s="7">
        <v>-3</v>
      </c>
      <c r="M1604" s="7">
        <v>-0.5</v>
      </c>
      <c r="N1604" s="7">
        <v>-0.5</v>
      </c>
      <c r="O1604" s="7"/>
      <c r="P1604" s="7"/>
      <c r="Q1604" s="7"/>
      <c r="R1604" s="7"/>
      <c r="S1604" s="7"/>
      <c r="T1604" s="7">
        <v>20</v>
      </c>
      <c r="U1604" s="7"/>
      <c r="V1604" s="7"/>
      <c r="W1604" s="7">
        <v>1</v>
      </c>
      <c r="X1604" s="7"/>
    </row>
    <row r="1605" spans="1:24" x14ac:dyDescent="0.25">
      <c r="A1605" s="23">
        <v>46212</v>
      </c>
      <c r="B1605" s="7" t="s">
        <v>327</v>
      </c>
      <c r="C1605" s="7">
        <v>-1200</v>
      </c>
      <c r="D1605" s="7">
        <v>-375</v>
      </c>
      <c r="E1605" s="7"/>
      <c r="F1605" s="7">
        <v>-75</v>
      </c>
      <c r="G1605" s="7">
        <v>-270</v>
      </c>
      <c r="H1605" s="7">
        <v>-510</v>
      </c>
      <c r="I1605" s="7">
        <v>-330</v>
      </c>
      <c r="J1605" s="7">
        <v>-240</v>
      </c>
      <c r="K1605" s="7">
        <v>-3</v>
      </c>
      <c r="L1605" s="7">
        <v>-9</v>
      </c>
      <c r="M1605" s="7">
        <v>-1.5</v>
      </c>
      <c r="N1605" s="7">
        <v>-1.5</v>
      </c>
      <c r="O1605" s="7"/>
      <c r="P1605" s="7"/>
      <c r="Q1605" s="7"/>
      <c r="R1605" s="7"/>
      <c r="S1605" s="7"/>
      <c r="T1605" s="7"/>
      <c r="U1605" s="7"/>
      <c r="V1605" s="7">
        <v>60</v>
      </c>
      <c r="W1605" s="7"/>
      <c r="X1605" s="7"/>
    </row>
    <row r="1606" spans="1:24" x14ac:dyDescent="0.25">
      <c r="A1606" s="23">
        <v>46212</v>
      </c>
      <c r="B1606" s="7" t="s">
        <v>33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>
        <v>-30</v>
      </c>
      <c r="U1606" s="7">
        <v>0</v>
      </c>
      <c r="V1606" s="7">
        <v>-40</v>
      </c>
      <c r="W1606" s="7"/>
      <c r="X1606" s="7"/>
    </row>
    <row r="1607" spans="1:24" x14ac:dyDescent="0.25">
      <c r="A1607" s="23">
        <v>46213</v>
      </c>
      <c r="B1607" s="7" t="s">
        <v>33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>
        <v>-30</v>
      </c>
      <c r="U1607" s="7">
        <v>0</v>
      </c>
      <c r="V1607" s="7">
        <v>-40</v>
      </c>
      <c r="W1607" s="7"/>
      <c r="X1607" s="7"/>
    </row>
    <row r="1608" spans="1:24" x14ac:dyDescent="0.25">
      <c r="A1608" s="23">
        <v>46214</v>
      </c>
      <c r="B1608" s="7" t="s">
        <v>331</v>
      </c>
      <c r="C1608" s="7">
        <v>1350</v>
      </c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 spans="1:24" x14ac:dyDescent="0.25">
      <c r="A1609" s="23">
        <v>46214</v>
      </c>
      <c r="B1609" s="7" t="s">
        <v>328</v>
      </c>
      <c r="C1609" s="7">
        <v>-1635</v>
      </c>
      <c r="D1609" s="7">
        <v>-500</v>
      </c>
      <c r="E1609" s="7"/>
      <c r="F1609" s="7">
        <v>-100</v>
      </c>
      <c r="G1609" s="7">
        <v>-360</v>
      </c>
      <c r="H1609" s="7">
        <v>-680</v>
      </c>
      <c r="I1609" s="7">
        <v>-440</v>
      </c>
      <c r="J1609" s="7">
        <v>-320</v>
      </c>
      <c r="K1609" s="7">
        <v>-4</v>
      </c>
      <c r="L1609" s="7">
        <v>-12</v>
      </c>
      <c r="M1609" s="7">
        <v>-2</v>
      </c>
      <c r="N1609" s="7">
        <v>-2</v>
      </c>
      <c r="O1609" s="7"/>
      <c r="P1609" s="7"/>
      <c r="Q1609" s="7"/>
      <c r="R1609" s="7"/>
      <c r="S1609" s="7"/>
      <c r="T1609" s="7"/>
      <c r="U1609" s="7"/>
      <c r="V1609" s="7">
        <v>80</v>
      </c>
      <c r="W1609" s="7"/>
      <c r="X1609" s="7"/>
    </row>
    <row r="1610" spans="1:24" x14ac:dyDescent="0.25">
      <c r="A1610" s="23">
        <v>46214</v>
      </c>
      <c r="B1610" s="7" t="s">
        <v>33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>
        <v>-30</v>
      </c>
      <c r="U1610" s="7">
        <v>0</v>
      </c>
      <c r="V1610" s="7">
        <v>-40</v>
      </c>
      <c r="W1610" s="7"/>
      <c r="X1610" s="7"/>
    </row>
    <row r="1611" spans="1:24" x14ac:dyDescent="0.25">
      <c r="A1611" s="23">
        <v>46214</v>
      </c>
      <c r="B1611" s="7" t="s">
        <v>136</v>
      </c>
      <c r="C1611" s="7"/>
      <c r="D1611" s="7"/>
      <c r="E1611" s="7"/>
      <c r="F1611" s="7"/>
      <c r="G1611" s="7"/>
      <c r="H1611" s="7">
        <v>6200</v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 spans="1:24" x14ac:dyDescent="0.25">
      <c r="A1612" s="23">
        <v>46214</v>
      </c>
      <c r="B1612" s="7" t="s">
        <v>330</v>
      </c>
      <c r="C1612" s="7"/>
      <c r="D1612" s="7"/>
      <c r="E1612" s="7"/>
      <c r="F1612" s="7"/>
      <c r="G1612" s="7"/>
      <c r="H1612" s="7"/>
      <c r="I1612" s="7"/>
      <c r="J1612" s="7">
        <v>3600</v>
      </c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 spans="1:24" x14ac:dyDescent="0.25">
      <c r="A1613" s="23">
        <v>46214</v>
      </c>
      <c r="B1613" s="7" t="s">
        <v>35</v>
      </c>
      <c r="C1613" s="7"/>
      <c r="D1613" s="7"/>
      <c r="E1613" s="7"/>
      <c r="F1613" s="7">
        <v>2500</v>
      </c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 spans="1:24" x14ac:dyDescent="0.25">
      <c r="A1614" s="23">
        <v>46215</v>
      </c>
      <c r="B1614" s="7" t="s">
        <v>331</v>
      </c>
      <c r="C1614" s="7">
        <v>3150</v>
      </c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 spans="1:24" x14ac:dyDescent="0.25">
      <c r="A1615" s="23">
        <v>46215</v>
      </c>
      <c r="B1615" s="7" t="s">
        <v>127</v>
      </c>
      <c r="C1615" s="7">
        <v>-2380</v>
      </c>
      <c r="D1615" s="7">
        <v>-1080</v>
      </c>
      <c r="E1615" s="7"/>
      <c r="F1615" s="7">
        <v>-150</v>
      </c>
      <c r="G1615" s="7">
        <v>-600</v>
      </c>
      <c r="H1615" s="7">
        <v>-930</v>
      </c>
      <c r="I1615" s="7">
        <v>-240</v>
      </c>
      <c r="J1615" s="7">
        <v>-760</v>
      </c>
      <c r="K1615" s="7">
        <v>-6</v>
      </c>
      <c r="L1615" s="7">
        <v>-18</v>
      </c>
      <c r="M1615" s="7">
        <v>-3</v>
      </c>
      <c r="N1615" s="7">
        <v>-3</v>
      </c>
      <c r="O1615" s="7"/>
      <c r="P1615" s="7"/>
      <c r="Q1615" s="7">
        <v>-3</v>
      </c>
      <c r="R1615" s="7"/>
      <c r="S1615" s="7"/>
      <c r="T1615" s="7">
        <v>120</v>
      </c>
      <c r="U1615" s="7"/>
      <c r="V1615" s="7"/>
      <c r="W1615" s="7">
        <v>6</v>
      </c>
      <c r="X1615" s="7"/>
    </row>
    <row r="1616" spans="1:24" x14ac:dyDescent="0.25">
      <c r="A1616" s="23">
        <v>46215</v>
      </c>
      <c r="B1616" s="7" t="s">
        <v>329</v>
      </c>
      <c r="C1616" s="7">
        <v>-827</v>
      </c>
      <c r="D1616" s="7">
        <v>-250</v>
      </c>
      <c r="E1616" s="7"/>
      <c r="F1616" s="7">
        <v>-50</v>
      </c>
      <c r="G1616" s="7">
        <v>-180</v>
      </c>
      <c r="H1616" s="7">
        <v>-340</v>
      </c>
      <c r="I1616" s="7">
        <v>-220</v>
      </c>
      <c r="J1616" s="7">
        <v>-160</v>
      </c>
      <c r="K1616" s="7">
        <v>-2</v>
      </c>
      <c r="L1616" s="7">
        <v>-6</v>
      </c>
      <c r="M1616" s="7">
        <v>-1</v>
      </c>
      <c r="N1616" s="7">
        <v>-1</v>
      </c>
      <c r="O1616" s="7"/>
      <c r="P1616" s="7"/>
      <c r="Q1616" s="7"/>
      <c r="R1616" s="7"/>
      <c r="S1616" s="7"/>
      <c r="T1616" s="7"/>
      <c r="U1616" s="7"/>
      <c r="V1616" s="7">
        <v>40</v>
      </c>
      <c r="W1616" s="7"/>
      <c r="X1616" s="7"/>
    </row>
    <row r="1617" spans="1:24" x14ac:dyDescent="0.25">
      <c r="A1617" s="23">
        <v>46215</v>
      </c>
      <c r="B1617" s="7" t="s">
        <v>33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>
        <v>-30</v>
      </c>
      <c r="U1617" s="7"/>
      <c r="V1617" s="7">
        <v>-40</v>
      </c>
      <c r="W1617" s="7"/>
      <c r="X1617" s="7"/>
    </row>
    <row r="1618" spans="1:24" x14ac:dyDescent="0.25">
      <c r="A1618" s="23">
        <v>46216</v>
      </c>
      <c r="B1618" s="7" t="s">
        <v>33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>
        <v>-30</v>
      </c>
      <c r="U1618" s="7">
        <v>0</v>
      </c>
      <c r="V1618" s="7">
        <v>-40</v>
      </c>
      <c r="W1618" s="7"/>
      <c r="X1618" s="7"/>
    </row>
    <row r="1619" spans="1:24" x14ac:dyDescent="0.25">
      <c r="A1619" s="23">
        <v>46217</v>
      </c>
      <c r="B1619" s="7" t="s">
        <v>335</v>
      </c>
      <c r="C1619" s="7">
        <v>3034</v>
      </c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 spans="1:24" x14ac:dyDescent="0.25">
      <c r="A1620" s="23">
        <v>46217</v>
      </c>
      <c r="B1620" s="7" t="s">
        <v>33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>
        <v>-30</v>
      </c>
      <c r="U1620" s="7">
        <v>0</v>
      </c>
      <c r="V1620" s="7">
        <v>-40</v>
      </c>
      <c r="W1620" s="7"/>
      <c r="X1620" s="7"/>
    </row>
    <row r="1621" spans="1:24" x14ac:dyDescent="0.25">
      <c r="A1621" s="23">
        <v>46217</v>
      </c>
      <c r="B1621" s="7" t="s">
        <v>327</v>
      </c>
      <c r="C1621" s="7">
        <v>-1200</v>
      </c>
      <c r="D1621" s="7">
        <v>-375</v>
      </c>
      <c r="E1621" s="7"/>
      <c r="F1621" s="7">
        <v>-75</v>
      </c>
      <c r="G1621" s="7">
        <v>-270</v>
      </c>
      <c r="H1621" s="7">
        <v>-510</v>
      </c>
      <c r="I1621" s="7">
        <v>-330</v>
      </c>
      <c r="J1621" s="7">
        <v>-240</v>
      </c>
      <c r="K1621" s="7">
        <v>-3</v>
      </c>
      <c r="L1621" s="7">
        <v>-9</v>
      </c>
      <c r="M1621" s="7">
        <v>-1.5</v>
      </c>
      <c r="N1621" s="7">
        <v>-1.5</v>
      </c>
      <c r="O1621" s="7"/>
      <c r="P1621" s="7"/>
      <c r="Q1621" s="7"/>
      <c r="R1621" s="7"/>
      <c r="S1621" s="7"/>
      <c r="T1621" s="7"/>
      <c r="U1621" s="7"/>
      <c r="V1621" s="7">
        <v>60</v>
      </c>
      <c r="W1621" s="7"/>
      <c r="X1621" s="7"/>
    </row>
    <row r="1622" spans="1:24" x14ac:dyDescent="0.25">
      <c r="A1622" s="23">
        <v>46217</v>
      </c>
      <c r="B1622" s="7" t="s">
        <v>54</v>
      </c>
      <c r="C1622" s="7"/>
      <c r="D1622" s="7"/>
      <c r="E1622" s="7"/>
      <c r="F1622" s="7"/>
      <c r="G1622" s="7"/>
      <c r="H1622" s="7"/>
      <c r="I1622" s="7">
        <v>7500</v>
      </c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 spans="1:24" x14ac:dyDescent="0.25">
      <c r="A1623" s="23">
        <v>46218</v>
      </c>
      <c r="B1623" s="7" t="s">
        <v>336</v>
      </c>
      <c r="C1623" s="7">
        <v>-2000</v>
      </c>
      <c r="D1623" s="7">
        <v>-625</v>
      </c>
      <c r="E1623" s="7"/>
      <c r="F1623" s="7">
        <v>-125</v>
      </c>
      <c r="G1623" s="7">
        <v>-450</v>
      </c>
      <c r="H1623" s="7">
        <v>-850</v>
      </c>
      <c r="I1623" s="7">
        <v>-550</v>
      </c>
      <c r="J1623" s="7">
        <v>-400</v>
      </c>
      <c r="K1623" s="7">
        <v>-5</v>
      </c>
      <c r="L1623" s="7">
        <v>-15</v>
      </c>
      <c r="M1623" s="7">
        <v>-2.5</v>
      </c>
      <c r="N1623" s="7">
        <v>-2.5</v>
      </c>
      <c r="O1623" s="7"/>
      <c r="P1623" s="7"/>
      <c r="Q1623" s="7"/>
      <c r="R1623" s="7"/>
      <c r="S1623" s="7"/>
      <c r="T1623" s="7"/>
      <c r="U1623" s="7"/>
      <c r="V1623" s="7">
        <v>100</v>
      </c>
      <c r="W1623" s="7"/>
      <c r="X1623" s="7"/>
    </row>
    <row r="1624" spans="1:24" x14ac:dyDescent="0.25">
      <c r="A1624" s="23">
        <v>46218</v>
      </c>
      <c r="B1624" s="7" t="s">
        <v>122</v>
      </c>
      <c r="C1624" s="7">
        <v>-1170</v>
      </c>
      <c r="D1624" s="7">
        <v>-540</v>
      </c>
      <c r="E1624" s="7"/>
      <c r="F1624" s="7">
        <v>-75</v>
      </c>
      <c r="G1624" s="7">
        <v>-300</v>
      </c>
      <c r="H1624" s="7">
        <v>-465</v>
      </c>
      <c r="I1624" s="7">
        <v>-120</v>
      </c>
      <c r="J1624" s="7">
        <v>-330</v>
      </c>
      <c r="K1624" s="7">
        <v>-3</v>
      </c>
      <c r="L1624" s="7">
        <v>-9</v>
      </c>
      <c r="M1624" s="7">
        <v>-1.5</v>
      </c>
      <c r="N1624" s="7">
        <v>-1.5</v>
      </c>
      <c r="O1624" s="7"/>
      <c r="P1624" s="7"/>
      <c r="Q1624" s="7">
        <v>-0.5</v>
      </c>
      <c r="R1624" s="7"/>
      <c r="S1624" s="7"/>
      <c r="T1624" s="7">
        <v>60</v>
      </c>
      <c r="U1624" s="7"/>
      <c r="V1624" s="7"/>
      <c r="W1624" s="7">
        <v>3</v>
      </c>
      <c r="X1624" s="7"/>
    </row>
    <row r="1625" spans="1:24" x14ac:dyDescent="0.25">
      <c r="A1625" s="23">
        <v>46218</v>
      </c>
      <c r="B1625" s="7" t="s">
        <v>33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>
        <v>-30</v>
      </c>
      <c r="U1625" s="7">
        <v>0</v>
      </c>
      <c r="V1625" s="7">
        <v>-42</v>
      </c>
      <c r="W1625" s="7"/>
      <c r="X1625" s="7"/>
    </row>
    <row r="1626" spans="1:24" x14ac:dyDescent="0.25">
      <c r="A1626" s="23">
        <v>46218</v>
      </c>
      <c r="B1626" s="7" t="s">
        <v>337</v>
      </c>
      <c r="C1626" s="7">
        <v>1549</v>
      </c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 spans="1:24" x14ac:dyDescent="0.25">
      <c r="A1627" s="23">
        <v>46219</v>
      </c>
      <c r="B1627" s="7" t="s">
        <v>33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>
        <v>-30</v>
      </c>
      <c r="U1627" s="7">
        <v>0</v>
      </c>
      <c r="V1627" s="7">
        <v>-42</v>
      </c>
      <c r="W1627" s="7"/>
      <c r="X1627" s="7"/>
    </row>
    <row r="1628" spans="1:24" x14ac:dyDescent="0.25">
      <c r="A1628" s="23">
        <v>46220</v>
      </c>
      <c r="B1628" s="7" t="s">
        <v>335</v>
      </c>
      <c r="C1628" s="7">
        <v>2237</v>
      </c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 spans="1:24" x14ac:dyDescent="0.25">
      <c r="A1629" s="23">
        <v>46220</v>
      </c>
      <c r="B1629" s="7" t="s">
        <v>122</v>
      </c>
      <c r="C1629" s="7">
        <v>-1170</v>
      </c>
      <c r="D1629" s="7">
        <v>-540</v>
      </c>
      <c r="E1629" s="7"/>
      <c r="F1629" s="7">
        <v>-75</v>
      </c>
      <c r="G1629" s="7">
        <v>-300</v>
      </c>
      <c r="H1629" s="7">
        <v>-465</v>
      </c>
      <c r="I1629" s="7">
        <v>-120</v>
      </c>
      <c r="J1629" s="7">
        <v>-330</v>
      </c>
      <c r="K1629" s="7">
        <v>-3</v>
      </c>
      <c r="L1629" s="7">
        <v>-9</v>
      </c>
      <c r="M1629" s="7">
        <v>-1.5</v>
      </c>
      <c r="N1629" s="7">
        <v>-1.5</v>
      </c>
      <c r="O1629" s="7"/>
      <c r="P1629" s="7"/>
      <c r="Q1629" s="7"/>
      <c r="R1629" s="7"/>
      <c r="S1629" s="7"/>
      <c r="T1629" s="7">
        <v>60</v>
      </c>
      <c r="U1629" s="7"/>
      <c r="V1629" s="7"/>
      <c r="W1629" s="7">
        <v>3</v>
      </c>
      <c r="X1629" s="7"/>
    </row>
    <row r="1630" spans="1:24" x14ac:dyDescent="0.25">
      <c r="A1630" s="23">
        <v>46220</v>
      </c>
      <c r="B1630" s="7" t="s">
        <v>327</v>
      </c>
      <c r="C1630" s="7">
        <v>-1200</v>
      </c>
      <c r="D1630" s="7">
        <v>-375</v>
      </c>
      <c r="E1630" s="7"/>
      <c r="F1630" s="7">
        <v>-75</v>
      </c>
      <c r="G1630" s="7">
        <v>-270</v>
      </c>
      <c r="H1630" s="7">
        <v>-510</v>
      </c>
      <c r="I1630" s="7">
        <v>-330</v>
      </c>
      <c r="J1630" s="7">
        <v>-240</v>
      </c>
      <c r="K1630" s="7">
        <v>-3</v>
      </c>
      <c r="L1630" s="7">
        <v>-9</v>
      </c>
      <c r="M1630" s="7">
        <v>-1.5</v>
      </c>
      <c r="N1630" s="7">
        <v>-1.5</v>
      </c>
      <c r="O1630" s="7"/>
      <c r="P1630" s="7"/>
      <c r="Q1630" s="7"/>
      <c r="R1630" s="7"/>
      <c r="S1630" s="7"/>
      <c r="T1630" s="7"/>
      <c r="U1630" s="7"/>
      <c r="V1630" s="7">
        <v>60</v>
      </c>
      <c r="W1630" s="7"/>
      <c r="X1630" s="7"/>
    </row>
    <row r="1631" spans="1:24" x14ac:dyDescent="0.25">
      <c r="A1631" s="23">
        <v>46220</v>
      </c>
      <c r="B1631" s="7" t="s">
        <v>33</v>
      </c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>
        <v>-30</v>
      </c>
      <c r="U1631" s="7">
        <v>0</v>
      </c>
      <c r="V1631" s="7">
        <v>-42</v>
      </c>
      <c r="W1631" s="7"/>
      <c r="X1631" s="7"/>
    </row>
    <row r="1632" spans="1:24" x14ac:dyDescent="0.25">
      <c r="A1632" s="23">
        <v>46220</v>
      </c>
      <c r="B1632" s="7" t="s">
        <v>118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>
        <v>60</v>
      </c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 spans="1:24" x14ac:dyDescent="0.25">
      <c r="A1633" s="23">
        <v>46221</v>
      </c>
      <c r="B1633" s="7" t="s">
        <v>335</v>
      </c>
      <c r="C1633" s="7">
        <v>1550</v>
      </c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 spans="1:24" x14ac:dyDescent="0.25">
      <c r="A1634" s="23">
        <v>46221</v>
      </c>
      <c r="B1634" s="7" t="s">
        <v>329</v>
      </c>
      <c r="C1634" s="7">
        <v>-800</v>
      </c>
      <c r="D1634" s="7">
        <v>-250</v>
      </c>
      <c r="E1634" s="7"/>
      <c r="F1634" s="7">
        <v>-50</v>
      </c>
      <c r="G1634" s="7">
        <v>-180</v>
      </c>
      <c r="H1634" s="7">
        <v>-340</v>
      </c>
      <c r="I1634" s="7">
        <v>-220</v>
      </c>
      <c r="J1634" s="7">
        <v>-160</v>
      </c>
      <c r="K1634" s="7">
        <v>-2</v>
      </c>
      <c r="L1634" s="7"/>
      <c r="M1634" s="7">
        <v>-1</v>
      </c>
      <c r="N1634" s="7">
        <v>-1</v>
      </c>
      <c r="O1634" s="7"/>
      <c r="P1634" s="7"/>
      <c r="Q1634" s="7"/>
      <c r="R1634" s="7"/>
      <c r="S1634" s="7"/>
      <c r="T1634" s="7"/>
      <c r="U1634" s="7"/>
      <c r="V1634" s="7">
        <v>40</v>
      </c>
      <c r="W1634" s="7"/>
      <c r="X1634" s="7"/>
    </row>
    <row r="1635" spans="1:24" x14ac:dyDescent="0.25">
      <c r="A1635" s="23">
        <v>46221</v>
      </c>
      <c r="B1635" s="7" t="s">
        <v>124</v>
      </c>
      <c r="C1635" s="7">
        <v>-780</v>
      </c>
      <c r="D1635" s="7">
        <v>-360</v>
      </c>
      <c r="E1635" s="7"/>
      <c r="F1635" s="7">
        <v>-50</v>
      </c>
      <c r="G1635" s="7">
        <v>-200</v>
      </c>
      <c r="H1635" s="7">
        <v>-310</v>
      </c>
      <c r="I1635" s="7">
        <v>-80</v>
      </c>
      <c r="J1635" s="7">
        <v>-220</v>
      </c>
      <c r="K1635" s="7">
        <v>-2</v>
      </c>
      <c r="L1635" s="7"/>
      <c r="M1635" s="7">
        <v>-0.6</v>
      </c>
      <c r="N1635" s="7"/>
      <c r="O1635" s="7"/>
      <c r="P1635" s="7"/>
      <c r="Q1635" s="7"/>
      <c r="R1635" s="7"/>
      <c r="S1635" s="7"/>
      <c r="T1635" s="7">
        <v>40</v>
      </c>
      <c r="U1635" s="7"/>
      <c r="V1635" s="7"/>
      <c r="W1635" s="7">
        <v>2</v>
      </c>
    </row>
    <row r="1636" spans="1:24" x14ac:dyDescent="0.25">
      <c r="A1636" s="23">
        <v>46221</v>
      </c>
      <c r="B1636" s="7" t="s">
        <v>22</v>
      </c>
      <c r="C1636" s="7"/>
      <c r="D1636" s="7">
        <v>12000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</row>
    <row r="1637" spans="1:24" x14ac:dyDescent="0.25">
      <c r="A1637" s="23">
        <v>46221</v>
      </c>
      <c r="B1637" s="7" t="s">
        <v>33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>
        <v>-30</v>
      </c>
      <c r="U1637" s="7">
        <v>0</v>
      </c>
      <c r="V1637" s="7">
        <v>-42</v>
      </c>
      <c r="W1637" s="7"/>
    </row>
    <row r="1638" spans="1:24" x14ac:dyDescent="0.25">
      <c r="A1638" s="23">
        <v>46222</v>
      </c>
      <c r="B1638" s="7" t="s">
        <v>22</v>
      </c>
      <c r="C1638" s="7"/>
      <c r="D1638" s="7">
        <v>12000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 spans="1:24" x14ac:dyDescent="0.25">
      <c r="A1639" s="23">
        <v>46222</v>
      </c>
      <c r="B1639" s="7" t="s">
        <v>33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>
        <v>-30</v>
      </c>
      <c r="U1639" s="7">
        <v>0</v>
      </c>
      <c r="V1639" s="7">
        <v>-42</v>
      </c>
      <c r="W1639" s="7"/>
      <c r="X1639" s="7"/>
    </row>
    <row r="1640" spans="1:24" x14ac:dyDescent="0.25">
      <c r="A1640" s="23">
        <v>46223</v>
      </c>
      <c r="B1640" s="7" t="s">
        <v>130</v>
      </c>
      <c r="C1640" s="7">
        <v>192</v>
      </c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 spans="1:24" x14ac:dyDescent="0.25">
      <c r="A1641" s="23">
        <v>46223</v>
      </c>
      <c r="B1641" s="7" t="s">
        <v>335</v>
      </c>
      <c r="C1641" s="7">
        <v>1758</v>
      </c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 spans="1:24" x14ac:dyDescent="0.25">
      <c r="A1642" s="23">
        <v>46223</v>
      </c>
      <c r="B1642" s="7" t="s">
        <v>327</v>
      </c>
      <c r="C1642" s="7">
        <v>-1200</v>
      </c>
      <c r="D1642" s="7">
        <v>-375</v>
      </c>
      <c r="E1642" s="7"/>
      <c r="F1642" s="7">
        <v>-75</v>
      </c>
      <c r="G1642" s="7">
        <v>-270</v>
      </c>
      <c r="H1642" s="7">
        <v>-510</v>
      </c>
      <c r="I1642" s="7">
        <v>-330</v>
      </c>
      <c r="J1642" s="7">
        <v>-240</v>
      </c>
      <c r="K1642" s="7">
        <v>-3</v>
      </c>
      <c r="L1642" s="7"/>
      <c r="M1642" s="7">
        <v>-0.9</v>
      </c>
      <c r="N1642" s="7"/>
      <c r="O1642" s="7"/>
      <c r="P1642" s="7"/>
      <c r="Q1642" s="7"/>
      <c r="R1642" s="7"/>
      <c r="S1642" s="7"/>
      <c r="T1642" s="7"/>
      <c r="U1642" s="7"/>
      <c r="V1642" s="7">
        <v>60</v>
      </c>
      <c r="W1642" s="7"/>
      <c r="X1642" s="7"/>
    </row>
    <row r="1643" spans="1:24" x14ac:dyDescent="0.25">
      <c r="A1643" s="23">
        <v>46223</v>
      </c>
      <c r="B1643" s="7" t="s">
        <v>124</v>
      </c>
      <c r="C1643" s="7">
        <v>-780</v>
      </c>
      <c r="D1643" s="7">
        <v>-360</v>
      </c>
      <c r="E1643" s="7"/>
      <c r="F1643" s="7">
        <v>-50</v>
      </c>
      <c r="G1643" s="7">
        <v>-200</v>
      </c>
      <c r="H1643" s="7">
        <v>-310</v>
      </c>
      <c r="I1643" s="7">
        <v>-80</v>
      </c>
      <c r="J1643" s="7">
        <v>-220</v>
      </c>
      <c r="K1643" s="7">
        <v>-2</v>
      </c>
      <c r="L1643" s="7"/>
      <c r="M1643" s="7">
        <v>-0.6</v>
      </c>
      <c r="N1643" s="7"/>
      <c r="O1643" s="7"/>
      <c r="P1643" s="7"/>
      <c r="Q1643" s="7"/>
      <c r="R1643" s="7"/>
      <c r="S1643" s="7"/>
      <c r="T1643" s="7">
        <v>40</v>
      </c>
      <c r="U1643" s="7"/>
      <c r="V1643" s="7"/>
      <c r="W1643" s="7">
        <v>2</v>
      </c>
      <c r="X1643" s="7"/>
    </row>
    <row r="1644" spans="1:24" x14ac:dyDescent="0.25">
      <c r="A1644" s="23">
        <v>46223</v>
      </c>
      <c r="B1644" s="7" t="s">
        <v>33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>
        <v>-30</v>
      </c>
      <c r="U1644" s="7">
        <v>0</v>
      </c>
      <c r="V1644" s="7">
        <v>-42</v>
      </c>
      <c r="W1644" s="7"/>
      <c r="X1644" s="7"/>
    </row>
    <row r="1645" spans="1:24" x14ac:dyDescent="0.25">
      <c r="A1645" s="23">
        <v>46224</v>
      </c>
      <c r="B1645" s="7" t="s">
        <v>114</v>
      </c>
      <c r="C1645" s="7">
        <v>5112</v>
      </c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 spans="1:24" x14ac:dyDescent="0.25">
      <c r="A1646" s="23">
        <v>46224</v>
      </c>
      <c r="B1646" s="7" t="s">
        <v>33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>
        <v>-30</v>
      </c>
      <c r="U1646" s="7">
        <v>0</v>
      </c>
      <c r="V1646" s="7">
        <v>-42</v>
      </c>
      <c r="W1646" s="7"/>
      <c r="X1646" s="7"/>
    </row>
    <row r="1647" spans="1:24" x14ac:dyDescent="0.25">
      <c r="A1647" s="23">
        <v>46225</v>
      </c>
      <c r="B1647" s="7" t="s">
        <v>33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>
        <v>-30</v>
      </c>
      <c r="U1647" s="7">
        <v>0</v>
      </c>
      <c r="V1647" s="7">
        <v>-42</v>
      </c>
      <c r="W1647" s="7"/>
      <c r="X1647" s="7"/>
    </row>
    <row r="1648" spans="1:24" x14ac:dyDescent="0.25">
      <c r="A1648" s="23">
        <v>46225</v>
      </c>
      <c r="B1648" s="7" t="s">
        <v>338</v>
      </c>
      <c r="C1648" s="7">
        <v>-400</v>
      </c>
      <c r="D1648" s="7">
        <v>-200</v>
      </c>
      <c r="E1648" s="7"/>
      <c r="F1648" s="7">
        <v>-25</v>
      </c>
      <c r="G1648" s="7">
        <v>-100</v>
      </c>
      <c r="H1648" s="7">
        <v>-200</v>
      </c>
      <c r="I1648" s="7">
        <v>-70</v>
      </c>
      <c r="J1648" s="7"/>
      <c r="K1648" s="7">
        <v>-1</v>
      </c>
      <c r="L1648" s="7"/>
      <c r="M1648" s="7">
        <v>-0.3</v>
      </c>
      <c r="N1648" s="7"/>
      <c r="O1648" s="7"/>
      <c r="P1648" s="7"/>
      <c r="Q1648" s="7"/>
      <c r="R1648" s="7"/>
      <c r="S1648" s="7"/>
      <c r="T1648" s="7">
        <v>20</v>
      </c>
      <c r="U1648" s="7"/>
      <c r="V1648" s="7"/>
      <c r="W1648" s="7"/>
      <c r="X1648" s="7"/>
    </row>
    <row r="1649" spans="1:24" x14ac:dyDescent="0.25">
      <c r="A1649" s="23">
        <v>46225</v>
      </c>
      <c r="B1649" s="7" t="s">
        <v>339</v>
      </c>
      <c r="C1649" s="7">
        <v>-800</v>
      </c>
      <c r="D1649" s="7">
        <v>-300</v>
      </c>
      <c r="E1649" s="7"/>
      <c r="F1649" s="7">
        <v>-50</v>
      </c>
      <c r="G1649" s="7">
        <v>-180</v>
      </c>
      <c r="H1649" s="7">
        <v>-350</v>
      </c>
      <c r="I1649" s="7">
        <v>-280</v>
      </c>
      <c r="J1649" s="7"/>
      <c r="K1649" s="7">
        <v>-2</v>
      </c>
      <c r="L1649" s="7"/>
      <c r="M1649" s="7">
        <v>-0.6</v>
      </c>
      <c r="N1649" s="7">
        <v>-1</v>
      </c>
      <c r="O1649" s="7"/>
      <c r="P1649" s="7"/>
      <c r="Q1649" s="7"/>
      <c r="R1649" s="7"/>
      <c r="S1649" s="7"/>
      <c r="T1649" s="7"/>
      <c r="U1649" s="7"/>
      <c r="V1649" s="7">
        <v>40</v>
      </c>
      <c r="W1649" s="7"/>
      <c r="X1649" s="7"/>
    </row>
    <row r="1650" spans="1:24" x14ac:dyDescent="0.25">
      <c r="A1650" s="23">
        <v>46226</v>
      </c>
      <c r="B1650" s="7" t="s">
        <v>62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>
        <v>50</v>
      </c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 spans="1:24" x14ac:dyDescent="0.25">
      <c r="A1651" s="23">
        <v>46226</v>
      </c>
      <c r="B1651" s="7" t="s">
        <v>136</v>
      </c>
      <c r="C1651" s="7"/>
      <c r="D1651" s="7"/>
      <c r="E1651" s="7"/>
      <c r="F1651" s="7"/>
      <c r="G1651" s="7"/>
      <c r="H1651" s="7">
        <v>5250</v>
      </c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 spans="1:24" x14ac:dyDescent="0.25">
      <c r="A1652" s="23">
        <v>46226</v>
      </c>
      <c r="B1652" s="7" t="s">
        <v>342</v>
      </c>
      <c r="C1652" s="7"/>
      <c r="D1652" s="7"/>
      <c r="E1652" s="7"/>
      <c r="F1652" s="7"/>
      <c r="G1652" s="7"/>
      <c r="H1652" s="7"/>
      <c r="I1652" s="7"/>
      <c r="J1652" s="7">
        <v>7040</v>
      </c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 spans="1:24" x14ac:dyDescent="0.25">
      <c r="A1653" s="23">
        <v>46226</v>
      </c>
      <c r="B1653" s="7" t="s">
        <v>33</v>
      </c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>
        <v>-31</v>
      </c>
      <c r="U1653" s="7">
        <v>0</v>
      </c>
      <c r="V1653" s="7">
        <v>-42</v>
      </c>
      <c r="W1653" s="7"/>
      <c r="X1653" s="7"/>
    </row>
    <row r="1654" spans="1:24" x14ac:dyDescent="0.25">
      <c r="A1654" s="23">
        <v>46226</v>
      </c>
      <c r="B1654" s="7" t="s">
        <v>340</v>
      </c>
      <c r="C1654" s="7">
        <v>-650</v>
      </c>
      <c r="D1654" s="7">
        <v>-550</v>
      </c>
      <c r="E1654" s="7"/>
      <c r="F1654" s="7">
        <v>-50</v>
      </c>
      <c r="G1654" s="7">
        <v>-200</v>
      </c>
      <c r="H1654" s="7">
        <v>-400</v>
      </c>
      <c r="I1654" s="7">
        <v>-140</v>
      </c>
      <c r="J1654" s="7"/>
      <c r="K1654" s="7">
        <v>-2</v>
      </c>
      <c r="L1654" s="7"/>
      <c r="M1654" s="7">
        <v>-0.6</v>
      </c>
      <c r="N1654" s="7">
        <v>-1</v>
      </c>
      <c r="O1654" s="7"/>
      <c r="P1654" s="7"/>
      <c r="Q1654" s="7"/>
      <c r="R1654" s="7"/>
      <c r="S1654" s="7"/>
      <c r="T1654" s="7">
        <v>40</v>
      </c>
      <c r="U1654" s="7"/>
      <c r="V1654" s="7"/>
      <c r="W1654" s="7"/>
      <c r="X1654" s="7"/>
    </row>
    <row r="1655" spans="1:24" x14ac:dyDescent="0.25">
      <c r="A1655" s="23">
        <v>46226</v>
      </c>
      <c r="B1655" s="7" t="s">
        <v>339</v>
      </c>
      <c r="C1655" s="7">
        <v>-800</v>
      </c>
      <c r="D1655" s="7">
        <v>-300</v>
      </c>
      <c r="E1655" s="7"/>
      <c r="F1655" s="7">
        <v>-50</v>
      </c>
      <c r="G1655" s="7">
        <v>-180</v>
      </c>
      <c r="H1655" s="7">
        <v>-350</v>
      </c>
      <c r="I1655" s="7">
        <v>-280</v>
      </c>
      <c r="J1655" s="7"/>
      <c r="K1655" s="7">
        <v>-2</v>
      </c>
      <c r="L1655" s="7"/>
      <c r="M1655" s="7">
        <v>-0.6</v>
      </c>
      <c r="N1655" s="7">
        <v>-1</v>
      </c>
      <c r="O1655" s="7"/>
      <c r="P1655" s="7"/>
      <c r="Q1655" s="7"/>
      <c r="R1655" s="7"/>
      <c r="S1655" s="7"/>
      <c r="T1655" s="7"/>
      <c r="U1655" s="7"/>
      <c r="V1655" s="7">
        <v>40</v>
      </c>
      <c r="W1655" s="7"/>
      <c r="X1655" s="7"/>
    </row>
    <row r="1656" spans="1:24" x14ac:dyDescent="0.25">
      <c r="A1656" s="23">
        <v>46227</v>
      </c>
      <c r="B1656" s="7" t="s">
        <v>329</v>
      </c>
      <c r="C1656" s="7">
        <v>-800</v>
      </c>
      <c r="D1656" s="7">
        <v>-250</v>
      </c>
      <c r="E1656" s="7"/>
      <c r="F1656" s="7">
        <v>-50</v>
      </c>
      <c r="G1656" s="7">
        <v>-180</v>
      </c>
      <c r="H1656" s="7">
        <v>-340</v>
      </c>
      <c r="I1656" s="7">
        <v>-220</v>
      </c>
      <c r="J1656" s="7">
        <v>-160</v>
      </c>
      <c r="K1656" s="7">
        <v>-2</v>
      </c>
      <c r="L1656" s="7"/>
      <c r="M1656" s="7">
        <v>-0.6</v>
      </c>
      <c r="N1656" s="7">
        <v>-1</v>
      </c>
      <c r="O1656" s="7"/>
      <c r="P1656" s="7"/>
      <c r="Q1656" s="7"/>
      <c r="R1656" s="7"/>
      <c r="S1656" s="7"/>
      <c r="T1656" s="7"/>
      <c r="U1656" s="7"/>
      <c r="V1656" s="7">
        <v>40</v>
      </c>
      <c r="W1656" s="7"/>
      <c r="X1656" s="7"/>
    </row>
    <row r="1657" spans="1:24" x14ac:dyDescent="0.25">
      <c r="A1657" s="23">
        <v>46227</v>
      </c>
      <c r="B1657" s="7" t="s">
        <v>126</v>
      </c>
      <c r="C1657" s="7">
        <v>-390</v>
      </c>
      <c r="D1657" s="7">
        <v>-180</v>
      </c>
      <c r="E1657" s="7"/>
      <c r="F1657" s="7">
        <v>-25</v>
      </c>
      <c r="G1657" s="7">
        <v>-100</v>
      </c>
      <c r="H1657" s="7">
        <v>-155</v>
      </c>
      <c r="I1657" s="7">
        <v>-40</v>
      </c>
      <c r="J1657" s="7">
        <v>-110</v>
      </c>
      <c r="K1657" s="7">
        <v>-1</v>
      </c>
      <c r="L1657" s="7"/>
      <c r="M1657" s="7">
        <v>-0.5</v>
      </c>
      <c r="N1657" s="7">
        <v>-0.5</v>
      </c>
      <c r="O1657" s="7"/>
      <c r="P1657" s="7"/>
      <c r="Q1657" s="7">
        <v>-0.5</v>
      </c>
      <c r="R1657" s="7"/>
      <c r="S1657" s="7"/>
      <c r="T1657" s="7">
        <v>20</v>
      </c>
      <c r="U1657" s="7"/>
      <c r="V1657" s="7"/>
      <c r="W1657" s="7">
        <v>1</v>
      </c>
      <c r="X1657" s="7"/>
    </row>
    <row r="1658" spans="1:24" x14ac:dyDescent="0.25">
      <c r="A1658" s="23">
        <v>46227</v>
      </c>
      <c r="B1658" s="7" t="s">
        <v>33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>
        <v>-31</v>
      </c>
      <c r="U1658" s="7">
        <v>0</v>
      </c>
      <c r="V1658" s="7">
        <v>-42</v>
      </c>
      <c r="W1658" s="7"/>
      <c r="X1658" s="7"/>
    </row>
    <row r="1659" spans="1:24" x14ac:dyDescent="0.25">
      <c r="A1659" s="23">
        <v>46228</v>
      </c>
      <c r="B1659" s="7" t="s">
        <v>335</v>
      </c>
      <c r="C1659" s="7">
        <v>2246</v>
      </c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 spans="1:24" x14ac:dyDescent="0.25">
      <c r="A1660" s="23">
        <v>46228</v>
      </c>
      <c r="B1660" s="7" t="s">
        <v>343</v>
      </c>
      <c r="C1660" s="7">
        <v>-2400</v>
      </c>
      <c r="D1660" s="7">
        <v>-750</v>
      </c>
      <c r="E1660" s="7"/>
      <c r="F1660" s="7">
        <v>-150</v>
      </c>
      <c r="G1660" s="7">
        <v>-540</v>
      </c>
      <c r="H1660" s="7">
        <v>-1020</v>
      </c>
      <c r="I1660" s="7">
        <v>-660</v>
      </c>
      <c r="J1660" s="7">
        <v>-480</v>
      </c>
      <c r="K1660" s="7">
        <v>-6</v>
      </c>
      <c r="L1660" s="7"/>
      <c r="M1660" s="7">
        <v>-1.8</v>
      </c>
      <c r="N1660" s="7">
        <v>-3</v>
      </c>
      <c r="O1660" s="7"/>
      <c r="P1660" s="7"/>
      <c r="Q1660" s="7"/>
      <c r="R1660" s="7"/>
      <c r="S1660" s="7"/>
      <c r="T1660" s="7"/>
      <c r="U1660" s="7"/>
      <c r="V1660" s="7">
        <v>120</v>
      </c>
      <c r="W1660" s="7"/>
      <c r="X1660" s="7">
        <v>6</v>
      </c>
    </row>
    <row r="1661" spans="1:24" x14ac:dyDescent="0.25">
      <c r="A1661" s="23">
        <v>46228</v>
      </c>
      <c r="B1661" s="7" t="s">
        <v>33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>
        <v>-31</v>
      </c>
      <c r="U1661" s="7">
        <v>0</v>
      </c>
      <c r="V1661" s="7">
        <v>-42</v>
      </c>
      <c r="W1661" s="7"/>
      <c r="X1661" s="7"/>
    </row>
    <row r="1662" spans="1:24" x14ac:dyDescent="0.25">
      <c r="A1662" s="23">
        <v>46228</v>
      </c>
      <c r="B1662" s="7" t="s">
        <v>146</v>
      </c>
      <c r="C1662" s="7">
        <v>-1950</v>
      </c>
      <c r="D1662" s="7">
        <v>-900</v>
      </c>
      <c r="E1662" s="7"/>
      <c r="F1662" s="7">
        <v>-125</v>
      </c>
      <c r="G1662" s="7">
        <v>-500</v>
      </c>
      <c r="H1662" s="7">
        <v>-775</v>
      </c>
      <c r="I1662" s="7">
        <v>-200</v>
      </c>
      <c r="J1662" s="7">
        <v>-550</v>
      </c>
      <c r="K1662" s="7">
        <v>-5</v>
      </c>
      <c r="L1662" s="7"/>
      <c r="M1662" s="7">
        <v>-1.5</v>
      </c>
      <c r="N1662" s="7">
        <v>-2.5</v>
      </c>
      <c r="O1662" s="7"/>
      <c r="P1662" s="7"/>
      <c r="Q1662" s="7"/>
      <c r="R1662" s="7"/>
      <c r="S1662" s="7"/>
      <c r="T1662" s="7">
        <v>100</v>
      </c>
      <c r="U1662" s="7"/>
      <c r="V1662" s="7"/>
      <c r="W1662" s="7">
        <v>5</v>
      </c>
      <c r="X1662" s="7"/>
    </row>
    <row r="1663" spans="1:24" x14ac:dyDescent="0.25">
      <c r="A1663" s="23">
        <v>46228</v>
      </c>
      <c r="B1663" s="7" t="s">
        <v>345</v>
      </c>
      <c r="C1663" s="7">
        <v>604</v>
      </c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 spans="1:24" x14ac:dyDescent="0.25">
      <c r="A1664" s="23">
        <v>46229</v>
      </c>
      <c r="B1664" s="7" t="s">
        <v>33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>
        <v>-31</v>
      </c>
      <c r="U1664" s="7">
        <v>0</v>
      </c>
      <c r="V1664" s="7">
        <v>-42</v>
      </c>
      <c r="W1664" s="7"/>
      <c r="X1664" s="7"/>
    </row>
    <row r="1665" spans="1:24" x14ac:dyDescent="0.25">
      <c r="A1665" s="23">
        <v>46230</v>
      </c>
      <c r="B1665" s="7" t="s">
        <v>346</v>
      </c>
      <c r="C1665" s="7">
        <v>5400</v>
      </c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 spans="1:24" x14ac:dyDescent="0.25">
      <c r="A1666" s="23">
        <v>46230</v>
      </c>
      <c r="B1666" s="7" t="s">
        <v>336</v>
      </c>
      <c r="C1666" s="7">
        <v>-2000</v>
      </c>
      <c r="D1666" s="7">
        <v>-625</v>
      </c>
      <c r="E1666" s="7"/>
      <c r="F1666" s="7">
        <v>-125</v>
      </c>
      <c r="G1666" s="7">
        <v>-450</v>
      </c>
      <c r="H1666" s="7">
        <v>-850</v>
      </c>
      <c r="I1666" s="7">
        <v>-550</v>
      </c>
      <c r="J1666" s="7">
        <v>-400</v>
      </c>
      <c r="K1666" s="7">
        <v>-5</v>
      </c>
      <c r="L1666" s="7"/>
      <c r="M1666" s="7">
        <v>-1.5</v>
      </c>
      <c r="N1666" s="7">
        <v>-2.5</v>
      </c>
      <c r="O1666" s="7"/>
      <c r="P1666" s="7"/>
      <c r="Q1666" s="7"/>
      <c r="R1666" s="7"/>
      <c r="S1666" s="7"/>
      <c r="T1666" s="7"/>
      <c r="U1666" s="7"/>
      <c r="V1666" s="7">
        <v>100</v>
      </c>
      <c r="W1666" s="7"/>
      <c r="X1666" s="7">
        <v>5</v>
      </c>
    </row>
    <row r="1667" spans="1:24" x14ac:dyDescent="0.25">
      <c r="A1667" s="23">
        <v>46230</v>
      </c>
      <c r="B1667" s="7" t="s">
        <v>126</v>
      </c>
      <c r="C1667" s="7">
        <v>-390</v>
      </c>
      <c r="D1667" s="7">
        <v>-180</v>
      </c>
      <c r="E1667" s="7"/>
      <c r="F1667" s="7">
        <v>-25</v>
      </c>
      <c r="G1667" s="7">
        <v>-100</v>
      </c>
      <c r="H1667" s="7">
        <v>-155</v>
      </c>
      <c r="I1667" s="7">
        <v>-40</v>
      </c>
      <c r="J1667" s="7">
        <v>-110</v>
      </c>
      <c r="K1667" s="7">
        <v>-1</v>
      </c>
      <c r="L1667" s="7"/>
      <c r="M1667" s="7">
        <v>-0.3</v>
      </c>
      <c r="N1667" s="7">
        <v>-0.5</v>
      </c>
      <c r="O1667" s="7"/>
      <c r="P1667" s="7"/>
      <c r="Q1667" s="7"/>
      <c r="R1667" s="7"/>
      <c r="S1667" s="7"/>
      <c r="T1667" s="7">
        <v>20</v>
      </c>
      <c r="U1667" s="7"/>
      <c r="V1667" s="7"/>
      <c r="W1667" s="7">
        <v>1</v>
      </c>
      <c r="X1667" s="7"/>
    </row>
    <row r="1668" spans="1:24" x14ac:dyDescent="0.25">
      <c r="A1668" s="23">
        <v>46230</v>
      </c>
      <c r="B1668" s="7" t="s">
        <v>33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>
        <v>-31</v>
      </c>
      <c r="U1668" s="7">
        <v>0</v>
      </c>
      <c r="V1668" s="7">
        <v>-42</v>
      </c>
      <c r="W1668" s="7"/>
      <c r="X1668" s="7"/>
    </row>
    <row r="1669" spans="1:24" x14ac:dyDescent="0.25">
      <c r="A1669" s="23">
        <v>46231</v>
      </c>
      <c r="B1669" s="7" t="s">
        <v>33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>
        <v>-30</v>
      </c>
      <c r="U1669" s="7">
        <v>0</v>
      </c>
      <c r="V1669" s="7">
        <v>-42</v>
      </c>
      <c r="W1669" s="7"/>
      <c r="X1669" s="7"/>
    </row>
    <row r="1670" spans="1:24" x14ac:dyDescent="0.25">
      <c r="A1670" s="23">
        <v>46231</v>
      </c>
      <c r="B1670" s="7" t="s">
        <v>327</v>
      </c>
      <c r="C1670" s="7">
        <v>-1200</v>
      </c>
      <c r="D1670" s="7">
        <v>-375</v>
      </c>
      <c r="E1670" s="7"/>
      <c r="F1670" s="7">
        <v>-75</v>
      </c>
      <c r="G1670" s="7">
        <v>-270</v>
      </c>
      <c r="H1670" s="7">
        <v>-510</v>
      </c>
      <c r="I1670" s="7">
        <v>-330</v>
      </c>
      <c r="J1670" s="7">
        <v>-240</v>
      </c>
      <c r="K1670" s="7">
        <v>-3</v>
      </c>
      <c r="L1670" s="7"/>
      <c r="M1670" s="7">
        <v>-0.9</v>
      </c>
      <c r="N1670" s="7"/>
      <c r="O1670" s="7"/>
      <c r="P1670" s="7"/>
      <c r="Q1670" s="7"/>
      <c r="R1670" s="7"/>
      <c r="S1670" s="7"/>
      <c r="T1670" s="7"/>
      <c r="U1670" s="7"/>
      <c r="V1670" s="7">
        <v>60</v>
      </c>
      <c r="W1670" s="7"/>
      <c r="X1670" s="7">
        <v>3</v>
      </c>
    </row>
    <row r="1671" spans="1:24" x14ac:dyDescent="0.25">
      <c r="A1671" s="23">
        <v>46231</v>
      </c>
      <c r="B1671" s="7" t="s">
        <v>129</v>
      </c>
      <c r="C1671" s="7">
        <v>-1560</v>
      </c>
      <c r="D1671" s="7">
        <v>-720</v>
      </c>
      <c r="E1671" s="7"/>
      <c r="F1671" s="7">
        <v>-75</v>
      </c>
      <c r="G1671" s="7">
        <v>-400</v>
      </c>
      <c r="H1671" s="7">
        <v>-620</v>
      </c>
      <c r="I1671" s="7">
        <v>-160</v>
      </c>
      <c r="J1671" s="7">
        <v>-440</v>
      </c>
      <c r="K1671" s="7">
        <v>-4</v>
      </c>
      <c r="L1671" s="7"/>
      <c r="M1671" s="7">
        <v>-2</v>
      </c>
      <c r="N1671" s="7">
        <v>-2</v>
      </c>
      <c r="O1671" s="7"/>
      <c r="P1671" s="7"/>
      <c r="Q1671" s="7"/>
      <c r="R1671" s="7"/>
      <c r="S1671" s="7"/>
      <c r="T1671" s="7">
        <v>80</v>
      </c>
      <c r="W1671" s="7">
        <v>4</v>
      </c>
      <c r="X1671" s="7"/>
    </row>
    <row r="1672" spans="1:24" x14ac:dyDescent="0.25">
      <c r="A1672" s="23">
        <v>46231</v>
      </c>
      <c r="B1672" s="7" t="s">
        <v>12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>
        <v>20</v>
      </c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 spans="1:24" x14ac:dyDescent="0.25">
      <c r="A1673" s="23">
        <v>46232</v>
      </c>
      <c r="B1673" s="7" t="s">
        <v>136</v>
      </c>
      <c r="C1673" s="7"/>
      <c r="D1673" s="7"/>
      <c r="E1673" s="7"/>
      <c r="F1673" s="7"/>
      <c r="G1673" s="7"/>
      <c r="H1673" s="7">
        <v>11500</v>
      </c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 spans="1:24" x14ac:dyDescent="0.25">
      <c r="A1674" s="23">
        <v>46232</v>
      </c>
      <c r="B1674" s="7" t="s">
        <v>55</v>
      </c>
      <c r="C1674" s="7"/>
      <c r="D1674" s="7"/>
      <c r="E1674" s="7"/>
      <c r="F1674" s="7"/>
      <c r="G1674" s="7"/>
      <c r="H1674" s="7"/>
      <c r="I1674" s="7"/>
      <c r="J1674" s="7">
        <v>800</v>
      </c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 spans="1:24" x14ac:dyDescent="0.25">
      <c r="A1675" s="23">
        <v>46232</v>
      </c>
      <c r="B1675" s="7" t="s">
        <v>33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>
        <v>-31</v>
      </c>
      <c r="U1675" s="7">
        <v>0</v>
      </c>
      <c r="V1675" s="7">
        <v>-42</v>
      </c>
      <c r="W1675" s="7"/>
      <c r="X1675" s="7"/>
    </row>
    <row r="1676" spans="1:24" x14ac:dyDescent="0.25">
      <c r="A1676" s="23">
        <v>46233</v>
      </c>
      <c r="B1676" s="7" t="s">
        <v>33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>
        <v>-31</v>
      </c>
      <c r="U1676" s="7">
        <v>0</v>
      </c>
      <c r="V1676" s="7">
        <v>-42</v>
      </c>
      <c r="W1676" s="7"/>
      <c r="X1676" s="7"/>
    </row>
    <row r="1677" spans="1:24" x14ac:dyDescent="0.25">
      <c r="A1677" s="23">
        <v>46233</v>
      </c>
      <c r="B1677" s="7" t="s">
        <v>349</v>
      </c>
      <c r="C1677" s="7">
        <v>-1600</v>
      </c>
      <c r="D1677" s="7">
        <v>-600</v>
      </c>
      <c r="E1677" s="7"/>
      <c r="F1677" s="7">
        <v>-100</v>
      </c>
      <c r="G1677" s="7">
        <v>-360</v>
      </c>
      <c r="H1677" s="7">
        <v>-680</v>
      </c>
      <c r="I1677" s="7">
        <v>-560</v>
      </c>
      <c r="J1677" s="7"/>
      <c r="K1677" s="7">
        <v>-4</v>
      </c>
      <c r="L1677" s="7"/>
      <c r="M1677" s="7">
        <v>-1.2</v>
      </c>
      <c r="N1677" s="7">
        <v>-2</v>
      </c>
      <c r="O1677" s="7"/>
      <c r="P1677" s="7"/>
      <c r="Q1677" s="7"/>
      <c r="R1677" s="7"/>
      <c r="S1677" s="7"/>
      <c r="T1677" s="7"/>
      <c r="U1677" s="7"/>
      <c r="V1677" s="7">
        <v>80</v>
      </c>
      <c r="W1677" s="7"/>
      <c r="X1677" s="7"/>
    </row>
    <row r="1678" spans="1:24" x14ac:dyDescent="0.25">
      <c r="A1678" s="23">
        <v>46233</v>
      </c>
      <c r="B1678" s="7" t="s">
        <v>122</v>
      </c>
      <c r="C1678" s="7">
        <v>-1170</v>
      </c>
      <c r="D1678" s="7">
        <v>-540</v>
      </c>
      <c r="E1678" s="7"/>
      <c r="F1678" s="7">
        <v>-75</v>
      </c>
      <c r="G1678" s="7">
        <v>-300</v>
      </c>
      <c r="H1678" s="7">
        <v>-465</v>
      </c>
      <c r="I1678" s="7">
        <v>-120</v>
      </c>
      <c r="J1678" s="7">
        <v>-330</v>
      </c>
      <c r="K1678" s="7">
        <v>-3</v>
      </c>
      <c r="L1678" s="7">
        <v>-9</v>
      </c>
      <c r="M1678" s="7">
        <v>-0.9</v>
      </c>
      <c r="N1678" s="7">
        <v>-1.5</v>
      </c>
      <c r="O1678" s="7"/>
      <c r="P1678" s="7"/>
      <c r="Q1678" s="7">
        <v>-0.5</v>
      </c>
      <c r="R1678" s="7"/>
      <c r="S1678" s="7"/>
      <c r="T1678" s="7">
        <v>60</v>
      </c>
      <c r="U1678" s="7"/>
      <c r="V1678" s="7"/>
      <c r="W1678" s="7"/>
      <c r="X1678" s="7"/>
    </row>
    <row r="1679" spans="1:24" x14ac:dyDescent="0.25">
      <c r="A1679" s="23">
        <v>46233</v>
      </c>
      <c r="B1679" s="7" t="s">
        <v>37</v>
      </c>
      <c r="C1679" s="7">
        <v>12740</v>
      </c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 spans="1:24" x14ac:dyDescent="0.25">
      <c r="A1680" s="23">
        <v>46234</v>
      </c>
      <c r="B1680" s="7" t="s">
        <v>336</v>
      </c>
      <c r="C1680" s="7">
        <v>-2000</v>
      </c>
      <c r="D1680" s="7">
        <v>-625</v>
      </c>
      <c r="E1680" s="7"/>
      <c r="F1680" s="7">
        <v>-125</v>
      </c>
      <c r="G1680" s="7">
        <v>-450</v>
      </c>
      <c r="H1680" s="7">
        <v>-850</v>
      </c>
      <c r="I1680" s="7">
        <v>-550</v>
      </c>
      <c r="J1680" s="7">
        <v>-400</v>
      </c>
      <c r="K1680" s="7">
        <v>-5</v>
      </c>
      <c r="L1680" s="7"/>
      <c r="M1680" s="7">
        <v>-1.5</v>
      </c>
      <c r="N1680" s="7">
        <v>-2.5</v>
      </c>
      <c r="O1680" s="7"/>
      <c r="P1680" s="7"/>
      <c r="Q1680" s="7"/>
      <c r="R1680" s="7"/>
      <c r="S1680" s="7"/>
      <c r="T1680" s="7"/>
      <c r="U1680" s="7"/>
      <c r="V1680" s="7">
        <v>100</v>
      </c>
      <c r="W1680" s="7"/>
      <c r="X1680" s="7"/>
    </row>
    <row r="1681" spans="1:25" x14ac:dyDescent="0.25">
      <c r="A1681" s="23">
        <v>46234</v>
      </c>
      <c r="B1681" s="7" t="s">
        <v>146</v>
      </c>
      <c r="C1681" s="7">
        <v>-1950</v>
      </c>
      <c r="D1681" s="7">
        <v>-900</v>
      </c>
      <c r="E1681" s="7"/>
      <c r="F1681" s="7">
        <v>-125</v>
      </c>
      <c r="G1681" s="7">
        <v>-500</v>
      </c>
      <c r="H1681" s="7">
        <v>-775</v>
      </c>
      <c r="I1681" s="7">
        <v>-200</v>
      </c>
      <c r="J1681" s="7">
        <v>-550</v>
      </c>
      <c r="K1681" s="7">
        <v>-5</v>
      </c>
      <c r="L1681" s="7"/>
      <c r="M1681" s="7">
        <v>-1.5</v>
      </c>
      <c r="N1681" s="7">
        <v>-2.5</v>
      </c>
      <c r="O1681" s="7"/>
      <c r="P1681" s="7"/>
      <c r="Q1681" s="7"/>
      <c r="R1681" s="7"/>
      <c r="S1681" s="7"/>
      <c r="T1681" s="7">
        <v>100</v>
      </c>
      <c r="U1681" s="7"/>
      <c r="V1681" s="7"/>
      <c r="W1681" s="7">
        <v>5</v>
      </c>
      <c r="X1681" s="7"/>
    </row>
    <row r="1682" spans="1:25" x14ac:dyDescent="0.25">
      <c r="A1682" s="23">
        <v>46234</v>
      </c>
      <c r="B1682" s="7" t="s">
        <v>33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>
        <v>-31</v>
      </c>
      <c r="U1682" s="7">
        <v>0</v>
      </c>
      <c r="V1682" s="7">
        <v>-42</v>
      </c>
      <c r="W1682" s="7"/>
      <c r="X1682" s="7"/>
    </row>
    <row r="1683" spans="1:25" x14ac:dyDescent="0.25">
      <c r="A1683" s="23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 spans="1:25" x14ac:dyDescent="0.25">
      <c r="A1684" s="23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 spans="1:25" x14ac:dyDescent="0.25">
      <c r="A1685" s="7"/>
      <c r="B1685" s="7"/>
      <c r="C1685" s="7"/>
      <c r="D1685" s="7"/>
      <c r="E1685" s="7"/>
      <c r="F1685" s="7" t="s">
        <v>198</v>
      </c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</row>
    <row r="1686" spans="1:25" x14ac:dyDescent="0.25">
      <c r="A1686" s="20"/>
      <c r="B1686" s="21" t="s">
        <v>25</v>
      </c>
      <c r="C1686" s="22">
        <f t="shared" ref="C1686:V1686" si="54">SUM(C1587:C1685)</f>
        <v>6460</v>
      </c>
      <c r="D1686" s="22">
        <f t="shared" si="54"/>
        <v>16540</v>
      </c>
      <c r="E1686" s="22">
        <f t="shared" si="54"/>
        <v>3825</v>
      </c>
      <c r="F1686" s="22">
        <f t="shared" si="54"/>
        <v>450</v>
      </c>
      <c r="G1686" s="22">
        <f t="shared" si="54"/>
        <v>3180</v>
      </c>
      <c r="H1686" s="22">
        <f t="shared" si="54"/>
        <v>8800</v>
      </c>
      <c r="I1686" s="22">
        <f t="shared" si="54"/>
        <v>1050</v>
      </c>
      <c r="J1686" s="22">
        <f t="shared" si="54"/>
        <v>4100</v>
      </c>
      <c r="K1686" s="22">
        <f t="shared" si="54"/>
        <v>106.4</v>
      </c>
      <c r="L1686" s="22">
        <f t="shared" si="54"/>
        <v>11</v>
      </c>
      <c r="M1686" s="22">
        <f t="shared" si="54"/>
        <v>51.100000000000037</v>
      </c>
      <c r="N1686" s="22">
        <f t="shared" si="54"/>
        <v>26.299999999999997</v>
      </c>
      <c r="O1686" s="22">
        <f t="shared" si="54"/>
        <v>146</v>
      </c>
      <c r="P1686" s="22">
        <f t="shared" si="54"/>
        <v>0</v>
      </c>
      <c r="Q1686" s="22">
        <f t="shared" si="54"/>
        <v>-0.5</v>
      </c>
      <c r="R1686" s="22">
        <f t="shared" si="54"/>
        <v>14</v>
      </c>
      <c r="S1686" s="22">
        <f t="shared" si="54"/>
        <v>0</v>
      </c>
      <c r="T1686" s="22">
        <f t="shared" si="54"/>
        <v>149</v>
      </c>
      <c r="U1686" s="22">
        <f t="shared" si="54"/>
        <v>0</v>
      </c>
      <c r="V1686" s="22">
        <f t="shared" si="54"/>
        <v>166</v>
      </c>
      <c r="W1686" s="7"/>
    </row>
    <row r="1687" spans="1:25" x14ac:dyDescent="0.25">
      <c r="A1687" s="17"/>
      <c r="B1687" s="17" t="s">
        <v>28</v>
      </c>
      <c r="C1687" s="17">
        <v>1404.5</v>
      </c>
      <c r="D1687" s="17">
        <v>541.5</v>
      </c>
      <c r="E1687" s="17">
        <v>0</v>
      </c>
      <c r="F1687" s="17">
        <v>91.25</v>
      </c>
      <c r="G1687" s="17">
        <v>344</v>
      </c>
      <c r="H1687" s="17">
        <v>597.25</v>
      </c>
      <c r="I1687" s="17">
        <v>293</v>
      </c>
      <c r="J1687" s="17">
        <v>338.5</v>
      </c>
      <c r="K1687" s="17">
        <v>3.65</v>
      </c>
      <c r="L1687" s="17">
        <v>10.95</v>
      </c>
      <c r="M1687" s="17">
        <v>1.095</v>
      </c>
      <c r="N1687" s="17">
        <v>1.825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31</v>
      </c>
      <c r="U1687" s="21">
        <v>0</v>
      </c>
      <c r="V1687" s="21">
        <v>42</v>
      </c>
      <c r="W1687" s="7"/>
    </row>
    <row r="1688" spans="1:25" x14ac:dyDescent="0.25">
      <c r="A1688" s="17"/>
      <c r="B1688" s="17" t="s">
        <v>26</v>
      </c>
      <c r="C1688" s="18">
        <f>C1686/C1687</f>
        <v>4.5995016019935919</v>
      </c>
      <c r="D1688" s="18">
        <f t="shared" ref="D1688:V1688" si="55">D1686/D1687</f>
        <v>30.544783010156973</v>
      </c>
      <c r="E1688" s="18" t="e">
        <f t="shared" si="55"/>
        <v>#DIV/0!</v>
      </c>
      <c r="F1688" s="18">
        <f t="shared" si="55"/>
        <v>4.9315068493150687</v>
      </c>
      <c r="G1688" s="18">
        <f t="shared" si="55"/>
        <v>9.2441860465116275</v>
      </c>
      <c r="H1688" s="18">
        <f t="shared" si="55"/>
        <v>14.734198409376308</v>
      </c>
      <c r="I1688" s="18">
        <f t="shared" si="55"/>
        <v>3.5836177474402731</v>
      </c>
      <c r="J1688" s="18">
        <f t="shared" si="55"/>
        <v>12.112259970457902</v>
      </c>
      <c r="K1688" s="18">
        <f t="shared" si="55"/>
        <v>29.150684931506852</v>
      </c>
      <c r="L1688" s="18">
        <f t="shared" si="55"/>
        <v>1.0045662100456623</v>
      </c>
      <c r="M1688" s="18">
        <f t="shared" si="55"/>
        <v>46.6666666666667</v>
      </c>
      <c r="N1688" s="18">
        <f t="shared" si="55"/>
        <v>14.410958904109588</v>
      </c>
      <c r="O1688" s="18" t="e">
        <f t="shared" si="55"/>
        <v>#DIV/0!</v>
      </c>
      <c r="P1688" s="18" t="e">
        <f t="shared" si="55"/>
        <v>#DIV/0!</v>
      </c>
      <c r="Q1688" s="18" t="e">
        <f t="shared" si="55"/>
        <v>#DIV/0!</v>
      </c>
      <c r="R1688" s="18" t="e">
        <f t="shared" si="55"/>
        <v>#DIV/0!</v>
      </c>
      <c r="S1688" s="18" t="e">
        <f t="shared" si="55"/>
        <v>#DIV/0!</v>
      </c>
      <c r="T1688" s="18">
        <f t="shared" si="55"/>
        <v>4.806451612903226</v>
      </c>
      <c r="U1688" s="18" t="e">
        <f t="shared" si="55"/>
        <v>#DIV/0!</v>
      </c>
      <c r="V1688" s="18">
        <f t="shared" si="55"/>
        <v>3.9523809523809526</v>
      </c>
      <c r="W1688" s="7"/>
    </row>
    <row r="1689" spans="1:25" x14ac:dyDescent="0.25">
      <c r="A1689" s="21"/>
      <c r="B1689" s="21" t="s">
        <v>102</v>
      </c>
      <c r="C1689" s="21">
        <f>C1687*31</f>
        <v>43539.5</v>
      </c>
      <c r="D1689" s="21">
        <f t="shared" ref="D1689:V1689" si="56">D1687*31</f>
        <v>16786.5</v>
      </c>
      <c r="E1689" s="21">
        <f t="shared" si="56"/>
        <v>0</v>
      </c>
      <c r="F1689" s="21">
        <f t="shared" si="56"/>
        <v>2828.75</v>
      </c>
      <c r="G1689" s="21">
        <f t="shared" si="56"/>
        <v>10664</v>
      </c>
      <c r="H1689" s="21">
        <f t="shared" si="56"/>
        <v>18514.75</v>
      </c>
      <c r="I1689" s="21">
        <f t="shared" si="56"/>
        <v>9083</v>
      </c>
      <c r="J1689" s="21">
        <f t="shared" si="56"/>
        <v>10493.5</v>
      </c>
      <c r="K1689" s="21">
        <f t="shared" si="56"/>
        <v>113.14999999999999</v>
      </c>
      <c r="L1689" s="21">
        <f t="shared" si="56"/>
        <v>339.45</v>
      </c>
      <c r="M1689" s="21">
        <f t="shared" si="56"/>
        <v>33.945</v>
      </c>
      <c r="N1689" s="21">
        <f t="shared" si="56"/>
        <v>56.574999999999996</v>
      </c>
      <c r="O1689" s="21">
        <f t="shared" si="56"/>
        <v>0</v>
      </c>
      <c r="P1689" s="21">
        <f t="shared" si="56"/>
        <v>0</v>
      </c>
      <c r="Q1689" s="21">
        <f t="shared" si="56"/>
        <v>0</v>
      </c>
      <c r="R1689" s="21">
        <f t="shared" si="56"/>
        <v>0</v>
      </c>
      <c r="S1689" s="21">
        <f t="shared" si="56"/>
        <v>0</v>
      </c>
      <c r="T1689" s="21">
        <f t="shared" si="56"/>
        <v>961</v>
      </c>
      <c r="U1689" s="21">
        <f t="shared" si="56"/>
        <v>0</v>
      </c>
      <c r="V1689" s="21">
        <f t="shared" si="56"/>
        <v>1302</v>
      </c>
      <c r="W1689" s="7"/>
    </row>
  </sheetData>
  <mergeCells count="2">
    <mergeCell ref="F204:N207"/>
    <mergeCell ref="I354:K354"/>
  </mergeCells>
  <phoneticPr fontId="4" type="noConversion"/>
  <pageMargins left="0.7" right="0.7" top="0.75" bottom="0.75" header="0.3" footer="0.3"/>
  <pageSetup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9455-3F22-440F-9AF3-512ED50E8415}">
  <dimension ref="A1:AE291"/>
  <sheetViews>
    <sheetView topLeftCell="A267" workbookViewId="0">
      <selection activeCell="L282" sqref="L282"/>
    </sheetView>
  </sheetViews>
  <sheetFormatPr defaultRowHeight="14.5" x14ac:dyDescent="0.35"/>
  <cols>
    <col min="1" max="1" width="9.453125" bestFit="1" customWidth="1"/>
    <col min="2" max="2" width="27.26953125" customWidth="1"/>
    <col min="10" max="10" width="13.54296875" customWidth="1"/>
    <col min="26" max="26" width="10.81640625" customWidth="1"/>
  </cols>
  <sheetData>
    <row r="1" spans="1:22" s="4" customFormat="1" ht="26" x14ac:dyDescent="0.6">
      <c r="J1" s="34">
        <v>45931</v>
      </c>
    </row>
    <row r="2" spans="1:22" s="4" customFormat="1" ht="10.5" x14ac:dyDescent="0.25">
      <c r="A2" s="28"/>
      <c r="B2" s="28"/>
      <c r="C2" s="28"/>
      <c r="D2" s="28"/>
      <c r="E2" s="28"/>
      <c r="F2" s="2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8"/>
      <c r="S2" s="28"/>
      <c r="T2" s="28"/>
      <c r="U2" s="28"/>
      <c r="V2" s="28"/>
    </row>
    <row r="3" spans="1:22" s="4" customFormat="1" ht="10.5" x14ac:dyDescent="0.25">
      <c r="A3" s="28"/>
      <c r="B3" s="28"/>
      <c r="C3" s="28" t="s">
        <v>148</v>
      </c>
      <c r="D3" s="28" t="s">
        <v>149</v>
      </c>
      <c r="E3" s="28" t="s">
        <v>150</v>
      </c>
      <c r="F3" s="28" t="s">
        <v>151</v>
      </c>
      <c r="G3" s="7" t="s">
        <v>152</v>
      </c>
      <c r="H3" s="7" t="s">
        <v>153</v>
      </c>
      <c r="I3" s="7" t="s">
        <v>154</v>
      </c>
      <c r="J3" s="7" t="s">
        <v>155</v>
      </c>
      <c r="K3" s="7" t="s">
        <v>156</v>
      </c>
      <c r="L3" s="7" t="s">
        <v>157</v>
      </c>
      <c r="M3" s="7" t="s">
        <v>158</v>
      </c>
      <c r="N3" s="7" t="s">
        <v>159</v>
      </c>
      <c r="O3" s="7" t="s">
        <v>160</v>
      </c>
      <c r="P3" s="7" t="s">
        <v>161</v>
      </c>
      <c r="Q3" s="7" t="s">
        <v>162</v>
      </c>
      <c r="R3" s="28" t="s">
        <v>163</v>
      </c>
      <c r="S3" s="28" t="s">
        <v>164</v>
      </c>
      <c r="T3" s="28" t="s">
        <v>165</v>
      </c>
      <c r="U3" s="28" t="s">
        <v>166</v>
      </c>
      <c r="V3" s="28"/>
    </row>
    <row r="4" spans="1:22" s="4" customFormat="1" ht="10.5" x14ac:dyDescent="0.25">
      <c r="A4" s="3">
        <v>45931</v>
      </c>
      <c r="B4" s="9" t="s">
        <v>0</v>
      </c>
      <c r="C4" s="10">
        <v>308.5</v>
      </c>
      <c r="D4" s="10">
        <v>6</v>
      </c>
      <c r="E4" s="9">
        <v>1</v>
      </c>
      <c r="F4" s="7">
        <v>1</v>
      </c>
      <c r="G4" s="9">
        <v>2</v>
      </c>
      <c r="H4" s="9">
        <v>4</v>
      </c>
      <c r="I4" s="9">
        <v>17</v>
      </c>
      <c r="J4" s="9">
        <v>6</v>
      </c>
      <c r="K4" s="9">
        <v>3</v>
      </c>
      <c r="L4" s="9">
        <v>5</v>
      </c>
      <c r="M4" s="9">
        <v>6</v>
      </c>
      <c r="N4" s="9"/>
      <c r="O4" s="9"/>
      <c r="P4" s="9">
        <v>0</v>
      </c>
      <c r="Q4" s="9">
        <v>0</v>
      </c>
      <c r="R4" s="9">
        <v>0</v>
      </c>
      <c r="S4" s="9"/>
      <c r="T4" s="9">
        <v>0</v>
      </c>
      <c r="U4" s="9">
        <v>0</v>
      </c>
      <c r="V4" s="9"/>
    </row>
    <row r="5" spans="1:22" s="4" customFormat="1" ht="10.5" x14ac:dyDescent="0.25">
      <c r="A5" s="23">
        <v>45932</v>
      </c>
      <c r="B5" s="28" t="s">
        <v>167</v>
      </c>
      <c r="C5" s="38"/>
      <c r="D5" s="38"/>
      <c r="E5" s="28"/>
      <c r="F5" s="7"/>
      <c r="G5" s="28"/>
      <c r="H5" s="28"/>
      <c r="I5" s="28"/>
      <c r="J5" s="28"/>
      <c r="K5" s="28"/>
      <c r="L5" s="28"/>
      <c r="M5" s="28"/>
      <c r="N5" s="28"/>
      <c r="O5" s="28"/>
      <c r="P5" s="28">
        <v>12</v>
      </c>
      <c r="Q5" s="28"/>
      <c r="R5" s="28"/>
      <c r="S5" s="28"/>
      <c r="T5" s="28"/>
      <c r="U5" s="28"/>
      <c r="V5" s="28"/>
    </row>
    <row r="6" spans="1:22" s="4" customFormat="1" ht="10.5" x14ac:dyDescent="0.25">
      <c r="A6" s="23">
        <v>45932</v>
      </c>
      <c r="B6" s="28" t="s">
        <v>168</v>
      </c>
      <c r="C6" s="38">
        <v>-1</v>
      </c>
      <c r="D6" s="38"/>
      <c r="E6" s="28"/>
      <c r="F6" s="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s="4" customFormat="1" ht="10.5" x14ac:dyDescent="0.25">
      <c r="A7" s="23">
        <v>45934</v>
      </c>
      <c r="B7" s="28" t="s">
        <v>187</v>
      </c>
      <c r="C7" s="38">
        <v>-15</v>
      </c>
      <c r="D7" s="38"/>
      <c r="E7" s="28"/>
      <c r="F7" s="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4" customFormat="1" ht="10.5" x14ac:dyDescent="0.25">
      <c r="A8" s="23">
        <v>45937</v>
      </c>
      <c r="B8" s="28" t="s">
        <v>169</v>
      </c>
      <c r="C8" s="38">
        <v>-37</v>
      </c>
      <c r="D8" s="38"/>
      <c r="E8" s="28"/>
      <c r="F8" s="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4" customFormat="1" ht="10.5" x14ac:dyDescent="0.25">
      <c r="A9" s="23">
        <v>45937</v>
      </c>
      <c r="B9" s="28" t="s">
        <v>170</v>
      </c>
      <c r="C9" s="10"/>
      <c r="D9" s="10"/>
      <c r="E9" s="9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>
        <v>2</v>
      </c>
      <c r="T9" s="9"/>
      <c r="U9" s="9"/>
      <c r="V9" s="9"/>
    </row>
    <row r="10" spans="1:22" s="4" customFormat="1" ht="10.5" x14ac:dyDescent="0.25">
      <c r="A10" s="23">
        <v>45938</v>
      </c>
      <c r="B10" s="28" t="s">
        <v>188</v>
      </c>
      <c r="C10" s="10"/>
      <c r="D10" s="10">
        <v>-1</v>
      </c>
      <c r="E10" s="9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s="4" customFormat="1" ht="10.5" x14ac:dyDescent="0.25">
      <c r="A11" s="23">
        <v>45938</v>
      </c>
      <c r="B11" s="28" t="s">
        <v>171</v>
      </c>
      <c r="C11" s="38"/>
      <c r="D11" s="38"/>
      <c r="E11" s="28"/>
      <c r="F11" s="7"/>
      <c r="G11" s="28"/>
      <c r="H11" s="28"/>
      <c r="I11" s="28"/>
      <c r="J11" s="28"/>
      <c r="K11" s="28"/>
      <c r="L11" s="28"/>
      <c r="M11" s="28">
        <v>12</v>
      </c>
      <c r="N11" s="28"/>
      <c r="O11" s="28"/>
      <c r="P11" s="28"/>
      <c r="Q11" s="28"/>
      <c r="R11" s="28"/>
      <c r="S11" s="28"/>
      <c r="T11" s="28"/>
      <c r="U11" s="28"/>
      <c r="V11" s="28"/>
    </row>
    <row r="12" spans="1:22" s="4" customFormat="1" ht="10.5" x14ac:dyDescent="0.25">
      <c r="A12" s="23">
        <v>45938</v>
      </c>
      <c r="B12" s="28" t="s">
        <v>172</v>
      </c>
      <c r="C12" s="38"/>
      <c r="D12" s="38"/>
      <c r="E12" s="28"/>
      <c r="F12" s="7"/>
      <c r="G12" s="28"/>
      <c r="H12" s="28"/>
      <c r="I12" s="28"/>
      <c r="J12" s="28"/>
      <c r="K12" s="28"/>
      <c r="L12" s="28"/>
      <c r="M12" s="28"/>
      <c r="N12" s="28">
        <v>12</v>
      </c>
      <c r="O12" s="28"/>
      <c r="P12" s="28"/>
      <c r="Q12" s="28"/>
      <c r="R12" s="28"/>
      <c r="S12" s="28"/>
      <c r="T12" s="28"/>
      <c r="U12" s="28"/>
      <c r="V12" s="28"/>
    </row>
    <row r="13" spans="1:22" s="4" customFormat="1" ht="10.5" x14ac:dyDescent="0.25">
      <c r="A13" s="23">
        <v>45938</v>
      </c>
      <c r="B13" s="28" t="s">
        <v>173</v>
      </c>
      <c r="C13" s="38">
        <v>-1</v>
      </c>
      <c r="D13" s="38"/>
      <c r="E13" s="28"/>
      <c r="F13" s="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s="4" customFormat="1" ht="10.5" x14ac:dyDescent="0.25">
      <c r="A14" s="23">
        <v>45939</v>
      </c>
      <c r="B14" s="28" t="s">
        <v>174</v>
      </c>
      <c r="C14" s="38"/>
      <c r="D14" s="38"/>
      <c r="E14" s="28"/>
      <c r="F14" s="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>
        <v>-1</v>
      </c>
      <c r="T14" s="28"/>
      <c r="U14" s="28"/>
      <c r="V14" s="28"/>
    </row>
    <row r="15" spans="1:22" s="4" customFormat="1" ht="10.5" x14ac:dyDescent="0.25">
      <c r="A15" s="23">
        <v>45939</v>
      </c>
      <c r="B15" s="28" t="s">
        <v>175</v>
      </c>
      <c r="C15" s="38"/>
      <c r="D15" s="38"/>
      <c r="E15" s="28"/>
      <c r="F15" s="7"/>
      <c r="G15" s="28"/>
      <c r="H15" s="28"/>
      <c r="I15" s="28"/>
      <c r="J15" s="28"/>
      <c r="K15" s="28"/>
      <c r="L15" s="28"/>
      <c r="M15" s="28"/>
      <c r="N15" s="28"/>
      <c r="O15" s="28">
        <v>18</v>
      </c>
      <c r="P15" s="28"/>
      <c r="Q15" s="28"/>
      <c r="R15" s="28"/>
      <c r="S15" s="28"/>
      <c r="T15" s="28"/>
      <c r="U15" s="28"/>
      <c r="V15" s="28"/>
    </row>
    <row r="16" spans="1:22" s="4" customFormat="1" ht="10.5" x14ac:dyDescent="0.25">
      <c r="A16" s="23">
        <v>45939</v>
      </c>
      <c r="B16" s="28" t="s">
        <v>176</v>
      </c>
      <c r="C16" s="38"/>
      <c r="D16" s="38"/>
      <c r="E16" s="28"/>
      <c r="F16" s="7"/>
      <c r="G16" s="28"/>
      <c r="H16" s="28"/>
      <c r="I16" s="28"/>
      <c r="J16" s="28">
        <v>14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s="4" customFormat="1" ht="10.5" x14ac:dyDescent="0.25">
      <c r="A17" s="23">
        <v>45939</v>
      </c>
      <c r="B17" s="28" t="s">
        <v>177</v>
      </c>
      <c r="C17" s="38"/>
      <c r="D17" s="38"/>
      <c r="E17" s="28"/>
      <c r="F17" s="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>
        <v>5</v>
      </c>
      <c r="S17" s="28"/>
      <c r="T17" s="28"/>
      <c r="U17" s="28"/>
      <c r="V17" s="28"/>
    </row>
    <row r="18" spans="1:22" s="4" customFormat="1" ht="10.5" x14ac:dyDescent="0.25">
      <c r="A18" s="23">
        <v>45944</v>
      </c>
      <c r="B18" s="28" t="s">
        <v>186</v>
      </c>
      <c r="C18" s="38"/>
      <c r="D18" s="38"/>
      <c r="E18" s="28"/>
      <c r="F18" s="7"/>
      <c r="G18" s="28"/>
      <c r="H18" s="28"/>
      <c r="I18" s="28"/>
      <c r="J18" s="28"/>
      <c r="K18" s="28"/>
      <c r="L18" s="28"/>
      <c r="M18" s="28"/>
      <c r="N18" s="28"/>
      <c r="O18" s="28">
        <v>-15</v>
      </c>
      <c r="P18" s="28"/>
      <c r="Q18" s="28"/>
      <c r="R18" s="28"/>
      <c r="S18" s="28"/>
      <c r="T18" s="28"/>
      <c r="U18" s="28"/>
      <c r="V18" s="28"/>
    </row>
    <row r="19" spans="1:22" s="4" customFormat="1" ht="10.5" x14ac:dyDescent="0.25">
      <c r="A19" s="23">
        <v>45946</v>
      </c>
      <c r="B19" s="28" t="s">
        <v>178</v>
      </c>
      <c r="C19" s="38"/>
      <c r="D19" s="38"/>
      <c r="E19" s="28"/>
      <c r="F19" s="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>
        <v>-1</v>
      </c>
      <c r="S19" s="28"/>
      <c r="T19" s="28"/>
      <c r="U19" s="28"/>
      <c r="V19" s="28"/>
    </row>
    <row r="20" spans="1:22" s="4" customFormat="1" ht="10.5" x14ac:dyDescent="0.25">
      <c r="A20" s="23">
        <v>45946</v>
      </c>
      <c r="B20" s="28" t="s">
        <v>179</v>
      </c>
      <c r="C20" s="38"/>
      <c r="D20" s="38"/>
      <c r="E20" s="28"/>
      <c r="F20" s="7"/>
      <c r="G20" s="28"/>
      <c r="H20" s="28"/>
      <c r="I20" s="28"/>
      <c r="J20" s="28"/>
      <c r="K20" s="28"/>
      <c r="L20" s="28"/>
      <c r="M20" s="28">
        <v>-10</v>
      </c>
      <c r="N20" s="28"/>
      <c r="O20" s="28"/>
      <c r="P20" s="28"/>
      <c r="Q20" s="28"/>
      <c r="R20" s="28"/>
      <c r="S20" s="28"/>
      <c r="T20" s="28"/>
      <c r="U20" s="28"/>
      <c r="V20" s="28"/>
    </row>
    <row r="21" spans="1:22" s="4" customFormat="1" ht="10.5" x14ac:dyDescent="0.25">
      <c r="A21" s="23">
        <v>45946</v>
      </c>
      <c r="B21" s="28" t="s">
        <v>173</v>
      </c>
      <c r="C21" s="38">
        <v>-1</v>
      </c>
      <c r="D21" s="38"/>
      <c r="E21" s="28"/>
      <c r="F21" s="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s="4" customFormat="1" ht="10.5" x14ac:dyDescent="0.25">
      <c r="A22" s="23">
        <v>45947</v>
      </c>
      <c r="B22" s="28" t="s">
        <v>180</v>
      </c>
      <c r="C22" s="38"/>
      <c r="D22" s="38"/>
      <c r="E22" s="28"/>
      <c r="F22" s="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>
        <v>5</v>
      </c>
      <c r="U22" s="28"/>
      <c r="V22" s="28"/>
    </row>
    <row r="23" spans="1:22" s="4" customFormat="1" ht="10.5" x14ac:dyDescent="0.25">
      <c r="A23" s="23">
        <v>45951</v>
      </c>
      <c r="B23" s="28" t="s">
        <v>173</v>
      </c>
      <c r="C23" s="38">
        <v>-1</v>
      </c>
      <c r="D23" s="38"/>
      <c r="E23" s="28"/>
      <c r="F23" s="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s="4" customFormat="1" ht="10.5" x14ac:dyDescent="0.25">
      <c r="A24" s="23">
        <v>45951</v>
      </c>
      <c r="B24" s="28" t="s">
        <v>181</v>
      </c>
      <c r="C24" s="38"/>
      <c r="D24" s="38"/>
      <c r="E24" s="28"/>
      <c r="F24" s="7"/>
      <c r="G24" s="28"/>
      <c r="H24" s="28"/>
      <c r="I24" s="28"/>
      <c r="J24" s="28"/>
      <c r="K24" s="28"/>
      <c r="L24" s="28"/>
      <c r="M24" s="28"/>
      <c r="N24" s="28"/>
      <c r="O24" s="28"/>
      <c r="P24" s="28">
        <v>-9</v>
      </c>
      <c r="Q24" s="28"/>
      <c r="R24" s="28"/>
      <c r="S24" s="28"/>
      <c r="T24" s="28"/>
      <c r="U24" s="28"/>
      <c r="V24" s="28"/>
    </row>
    <row r="25" spans="1:22" s="4" customFormat="1" ht="10.5" x14ac:dyDescent="0.25">
      <c r="A25" s="23">
        <v>45952</v>
      </c>
      <c r="B25" s="28" t="s">
        <v>182</v>
      </c>
      <c r="C25" s="38"/>
      <c r="D25" s="38"/>
      <c r="E25" s="28"/>
      <c r="F25" s="7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>
        <v>2</v>
      </c>
      <c r="V25" s="28"/>
    </row>
    <row r="26" spans="1:22" s="4" customFormat="1" ht="10.5" x14ac:dyDescent="0.25">
      <c r="A26" s="23">
        <v>45952</v>
      </c>
      <c r="B26" s="28" t="s">
        <v>183</v>
      </c>
      <c r="C26" s="38"/>
      <c r="D26" s="38"/>
      <c r="E26" s="28"/>
      <c r="F26" s="7"/>
      <c r="G26" s="28"/>
      <c r="H26" s="28"/>
      <c r="I26" s="28"/>
      <c r="J26" s="28"/>
      <c r="K26" s="28"/>
      <c r="L26" s="28"/>
      <c r="M26" s="28">
        <v>-7</v>
      </c>
      <c r="N26" s="28"/>
      <c r="O26" s="28"/>
      <c r="P26" s="28"/>
      <c r="Q26" s="28"/>
      <c r="R26" s="28"/>
      <c r="S26" s="28"/>
      <c r="T26" s="28"/>
      <c r="U26" s="28"/>
      <c r="V26" s="28"/>
    </row>
    <row r="27" spans="1:22" s="4" customFormat="1" ht="10.5" x14ac:dyDescent="0.25">
      <c r="A27" s="23">
        <v>45952</v>
      </c>
      <c r="B27" s="28" t="s">
        <v>184</v>
      </c>
      <c r="C27" s="38"/>
      <c r="D27" s="38"/>
      <c r="E27" s="28"/>
      <c r="F27" s="7"/>
      <c r="G27" s="28"/>
      <c r="H27" s="28"/>
      <c r="I27" s="28"/>
      <c r="J27" s="28"/>
      <c r="K27" s="28"/>
      <c r="L27" s="28"/>
      <c r="M27" s="28"/>
      <c r="N27" s="28">
        <v>-5</v>
      </c>
      <c r="O27" s="28"/>
      <c r="P27" s="28"/>
      <c r="Q27" s="28"/>
      <c r="R27" s="28"/>
      <c r="S27" s="28"/>
      <c r="T27" s="28"/>
      <c r="U27" s="28"/>
      <c r="V27" s="28"/>
    </row>
    <row r="28" spans="1:22" s="4" customFormat="1" ht="10.5" x14ac:dyDescent="0.25">
      <c r="A28" s="23">
        <v>45952</v>
      </c>
      <c r="B28" s="28" t="s">
        <v>185</v>
      </c>
      <c r="C28" s="38"/>
      <c r="D28" s="38"/>
      <c r="E28" s="28"/>
      <c r="F28" s="7"/>
      <c r="G28" s="28"/>
      <c r="H28" s="28"/>
      <c r="I28" s="28"/>
      <c r="J28" s="28">
        <v>-18.5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s="4" customFormat="1" ht="10.5" x14ac:dyDescent="0.25">
      <c r="A29" s="23">
        <v>45954</v>
      </c>
      <c r="B29" s="7" t="s">
        <v>189</v>
      </c>
      <c r="C29" s="7"/>
      <c r="D29" s="7"/>
      <c r="E29" s="7">
        <v>12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s="4" customFormat="1" ht="10.5" x14ac:dyDescent="0.25">
      <c r="A30" s="23">
        <v>45954</v>
      </c>
      <c r="B30" s="7" t="s">
        <v>190</v>
      </c>
      <c r="C30" s="7"/>
      <c r="D30" s="7"/>
      <c r="E30" s="7"/>
      <c r="F30" s="7"/>
      <c r="G30" s="7"/>
      <c r="H30" s="7"/>
      <c r="I30" s="7"/>
      <c r="J30" s="7"/>
      <c r="K30" s="7"/>
      <c r="L30" s="7">
        <v>12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s="4" customFormat="1" ht="10.5" x14ac:dyDescent="0.25">
      <c r="A31" s="23">
        <v>45955</v>
      </c>
      <c r="B31" s="7" t="s">
        <v>191</v>
      </c>
      <c r="C31" s="7">
        <v>-1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s="4" customFormat="1" ht="10.5" x14ac:dyDescent="0.25">
      <c r="A32" s="23">
        <v>45955</v>
      </c>
      <c r="B32" s="7" t="s">
        <v>192</v>
      </c>
      <c r="C32" s="7">
        <v>-1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s="4" customFormat="1" ht="10.5" x14ac:dyDescent="0.25">
      <c r="A33" s="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s="4" customFormat="1" ht="10.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s="4" customFormat="1" ht="10.5" x14ac:dyDescent="0.25">
      <c r="A35" s="20"/>
      <c r="B35" s="21" t="s">
        <v>25</v>
      </c>
      <c r="C35" s="22">
        <f>SUM(C4:C34)</f>
        <v>250.5</v>
      </c>
      <c r="D35" s="22">
        <f t="shared" ref="D35:U35" si="0">SUM(D4:D34)</f>
        <v>5</v>
      </c>
      <c r="E35" s="22">
        <f t="shared" si="0"/>
        <v>13</v>
      </c>
      <c r="F35" s="22">
        <f t="shared" si="0"/>
        <v>1</v>
      </c>
      <c r="G35" s="22">
        <f t="shared" si="0"/>
        <v>2</v>
      </c>
      <c r="H35" s="22">
        <f t="shared" si="0"/>
        <v>4</v>
      </c>
      <c r="I35" s="22">
        <f t="shared" si="0"/>
        <v>17</v>
      </c>
      <c r="J35" s="22">
        <f t="shared" si="0"/>
        <v>1.5</v>
      </c>
      <c r="K35" s="22">
        <f t="shared" si="0"/>
        <v>3</v>
      </c>
      <c r="L35" s="22">
        <f t="shared" si="0"/>
        <v>17</v>
      </c>
      <c r="M35" s="22">
        <f t="shared" si="0"/>
        <v>1</v>
      </c>
      <c r="N35" s="22">
        <f t="shared" si="0"/>
        <v>7</v>
      </c>
      <c r="O35" s="22">
        <f t="shared" si="0"/>
        <v>3</v>
      </c>
      <c r="P35" s="22">
        <f t="shared" si="0"/>
        <v>3</v>
      </c>
      <c r="Q35" s="22">
        <f t="shared" si="0"/>
        <v>0</v>
      </c>
      <c r="R35" s="22">
        <f t="shared" si="0"/>
        <v>4</v>
      </c>
      <c r="S35" s="22">
        <f t="shared" si="0"/>
        <v>1</v>
      </c>
      <c r="T35" s="22">
        <f t="shared" si="0"/>
        <v>5</v>
      </c>
      <c r="U35" s="22">
        <f t="shared" si="0"/>
        <v>2</v>
      </c>
      <c r="V35" s="22"/>
    </row>
    <row r="36" spans="1:22" s="4" customFormat="1" ht="10.5" x14ac:dyDescent="0.25">
      <c r="A36" s="17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s="4" customFormat="1" ht="10.5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40" spans="1:22" s="4" customFormat="1" ht="26" x14ac:dyDescent="0.6">
      <c r="J40" s="34">
        <v>45962</v>
      </c>
    </row>
    <row r="41" spans="1:22" s="4" customFormat="1" ht="10.5" x14ac:dyDescent="0.25">
      <c r="A41" s="28"/>
      <c r="B41" s="28"/>
      <c r="C41" s="28"/>
      <c r="D41" s="28"/>
      <c r="E41" s="28"/>
      <c r="F41" s="2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28"/>
      <c r="S41" s="28"/>
      <c r="T41" s="28"/>
      <c r="U41" s="28"/>
      <c r="V41" s="28"/>
    </row>
    <row r="42" spans="1:22" s="4" customFormat="1" ht="10.5" x14ac:dyDescent="0.25">
      <c r="A42" s="28"/>
      <c r="B42" s="28"/>
      <c r="C42" s="28" t="s">
        <v>148</v>
      </c>
      <c r="D42" s="28" t="s">
        <v>149</v>
      </c>
      <c r="E42" s="28" t="s">
        <v>150</v>
      </c>
      <c r="F42" s="28" t="s">
        <v>151</v>
      </c>
      <c r="G42" s="7" t="s">
        <v>152</v>
      </c>
      <c r="H42" s="7" t="s">
        <v>153</v>
      </c>
      <c r="I42" s="7" t="s">
        <v>154</v>
      </c>
      <c r="J42" s="7" t="s">
        <v>155</v>
      </c>
      <c r="K42" s="7" t="s">
        <v>156</v>
      </c>
      <c r="L42" s="7" t="s">
        <v>157</v>
      </c>
      <c r="M42" s="7" t="s">
        <v>158</v>
      </c>
      <c r="N42" s="7" t="s">
        <v>159</v>
      </c>
      <c r="O42" s="7" t="s">
        <v>160</v>
      </c>
      <c r="P42" s="7" t="s">
        <v>161</v>
      </c>
      <c r="Q42" s="7" t="s">
        <v>162</v>
      </c>
      <c r="R42" s="28" t="s">
        <v>163</v>
      </c>
      <c r="S42" s="28" t="s">
        <v>164</v>
      </c>
      <c r="T42" s="28" t="s">
        <v>165</v>
      </c>
      <c r="U42" s="28" t="s">
        <v>166</v>
      </c>
      <c r="V42" s="28" t="s">
        <v>209</v>
      </c>
    </row>
    <row r="43" spans="1:22" s="4" customFormat="1" ht="10.5" x14ac:dyDescent="0.25">
      <c r="A43" s="3">
        <v>45962</v>
      </c>
      <c r="B43" s="9" t="s">
        <v>0</v>
      </c>
      <c r="C43" s="10">
        <v>249.5</v>
      </c>
      <c r="D43" s="10">
        <v>5</v>
      </c>
      <c r="E43" s="9">
        <v>7</v>
      </c>
      <c r="F43" s="7">
        <v>0</v>
      </c>
      <c r="G43" s="9">
        <v>1</v>
      </c>
      <c r="H43" s="9">
        <v>4</v>
      </c>
      <c r="I43" s="9">
        <v>0</v>
      </c>
      <c r="J43" s="9">
        <v>0</v>
      </c>
      <c r="K43" s="9">
        <v>0</v>
      </c>
      <c r="L43" s="9">
        <v>14</v>
      </c>
      <c r="M43" s="9">
        <v>1.5</v>
      </c>
      <c r="N43" s="9">
        <v>1</v>
      </c>
      <c r="O43" s="9">
        <v>3</v>
      </c>
      <c r="P43" s="9">
        <v>0</v>
      </c>
      <c r="Q43" s="9">
        <v>0</v>
      </c>
      <c r="R43" s="9">
        <v>4</v>
      </c>
      <c r="S43" s="9">
        <v>1</v>
      </c>
      <c r="T43" s="9">
        <v>0</v>
      </c>
      <c r="U43" s="9">
        <v>0</v>
      </c>
      <c r="V43" s="9"/>
    </row>
    <row r="44" spans="1:22" s="4" customFormat="1" ht="10.5" x14ac:dyDescent="0.25">
      <c r="A44" s="3">
        <v>45963</v>
      </c>
      <c r="B44" s="7" t="s">
        <v>197</v>
      </c>
      <c r="C44" s="7">
        <v>-1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s="4" customFormat="1" ht="10.5" x14ac:dyDescent="0.25">
      <c r="A45" s="3">
        <v>45963</v>
      </c>
      <c r="B45" s="7" t="s">
        <v>201</v>
      </c>
      <c r="C45" s="7">
        <v>-1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s="4" customFormat="1" ht="10.5" x14ac:dyDescent="0.25">
      <c r="A46" s="3">
        <v>45965</v>
      </c>
      <c r="B46" s="7" t="s">
        <v>199</v>
      </c>
      <c r="C46" s="7">
        <v>-1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s="4" customFormat="1" ht="10.5" x14ac:dyDescent="0.25">
      <c r="A47" s="3">
        <v>45966</v>
      </c>
      <c r="B47" s="7" t="s">
        <v>189</v>
      </c>
      <c r="C47" s="7"/>
      <c r="D47" s="7"/>
      <c r="E47" s="7">
        <v>12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s="4" customFormat="1" ht="10.5" x14ac:dyDescent="0.25">
      <c r="A48" s="3">
        <v>45969</v>
      </c>
      <c r="B48" s="7" t="s">
        <v>202</v>
      </c>
      <c r="C48" s="7">
        <v>-1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s="4" customFormat="1" ht="10.5" x14ac:dyDescent="0.25">
      <c r="A49" s="3">
        <v>45972</v>
      </c>
      <c r="B49" s="7" t="s">
        <v>203</v>
      </c>
      <c r="C49" s="7">
        <v>-2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s="4" customFormat="1" ht="10.5" x14ac:dyDescent="0.25">
      <c r="A50" s="3">
        <v>45979</v>
      </c>
      <c r="B50" s="7" t="s">
        <v>206</v>
      </c>
      <c r="C50" s="7"/>
      <c r="D50" s="7"/>
      <c r="E50" s="7"/>
      <c r="F50" s="7"/>
      <c r="G50" s="7"/>
      <c r="H50" s="7"/>
      <c r="I50" s="7"/>
      <c r="J50" s="7"/>
      <c r="K50" s="7">
        <v>12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s="4" customFormat="1" ht="10.5" x14ac:dyDescent="0.25">
      <c r="A51" s="3">
        <v>45979</v>
      </c>
      <c r="B51" s="7" t="s">
        <v>167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>
        <v>12</v>
      </c>
      <c r="Q51" s="7"/>
      <c r="R51" s="7">
        <v>-2</v>
      </c>
      <c r="S51" s="7"/>
      <c r="T51" s="7"/>
      <c r="U51" s="7"/>
      <c r="V51" s="7"/>
    </row>
    <row r="52" spans="1:22" s="4" customFormat="1" ht="10.5" x14ac:dyDescent="0.25">
      <c r="A52" s="3">
        <v>45979</v>
      </c>
      <c r="B52" s="7" t="s">
        <v>207</v>
      </c>
      <c r="C52" s="7"/>
      <c r="D52" s="7"/>
      <c r="E52" s="7"/>
      <c r="F52" s="7"/>
      <c r="G52" s="7"/>
      <c r="H52" s="7"/>
      <c r="I52" s="7">
        <v>64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s="4" customFormat="1" ht="10.5" x14ac:dyDescent="0.25">
      <c r="A53" s="3">
        <v>45979</v>
      </c>
      <c r="B53" s="7" t="s">
        <v>208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>
        <v>5</v>
      </c>
    </row>
    <row r="54" spans="1:22" s="4" customFormat="1" ht="10.5" x14ac:dyDescent="0.25">
      <c r="A54" s="3">
        <v>45982</v>
      </c>
      <c r="B54" s="7" t="s">
        <v>199</v>
      </c>
      <c r="C54" s="7">
        <v>-1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>
        <v>-5</v>
      </c>
    </row>
    <row r="55" spans="1:22" s="4" customFormat="1" ht="10.5" x14ac:dyDescent="0.25">
      <c r="A55" s="3">
        <v>45991</v>
      </c>
      <c r="B55" s="7" t="s">
        <v>211</v>
      </c>
      <c r="C55" s="7"/>
      <c r="D55" s="7"/>
      <c r="E55" s="7">
        <v>-18</v>
      </c>
      <c r="F55" s="7"/>
      <c r="G55" s="7"/>
      <c r="H55" s="7"/>
      <c r="I55" s="7">
        <v>-30</v>
      </c>
      <c r="J55" s="7"/>
      <c r="K55" s="7">
        <v>-3</v>
      </c>
      <c r="L55" s="7">
        <v>-14</v>
      </c>
      <c r="M55" s="7"/>
      <c r="N55" s="7"/>
      <c r="O55" s="7"/>
      <c r="P55" s="7">
        <v>-5</v>
      </c>
      <c r="Q55" s="7"/>
      <c r="R55" s="7"/>
      <c r="S55" s="7"/>
      <c r="T55" s="7"/>
      <c r="U55" s="7"/>
      <c r="V55" s="7"/>
    </row>
    <row r="56" spans="1:22" s="4" customFormat="1" ht="10.5" x14ac:dyDescent="0.25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s="4" customFormat="1" ht="10.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s="4" customFormat="1" ht="10.5" x14ac:dyDescent="0.25">
      <c r="A58" s="20"/>
      <c r="B58" s="21" t="s">
        <v>25</v>
      </c>
      <c r="C58" s="22">
        <f>SUM(C43:C57)</f>
        <v>242.5</v>
      </c>
      <c r="D58" s="22">
        <f t="shared" ref="D58:V58" si="1">SUM(D43:D57)</f>
        <v>5</v>
      </c>
      <c r="E58" s="22">
        <f t="shared" si="1"/>
        <v>1</v>
      </c>
      <c r="F58" s="22">
        <f t="shared" si="1"/>
        <v>0</v>
      </c>
      <c r="G58" s="22">
        <f t="shared" si="1"/>
        <v>1</v>
      </c>
      <c r="H58" s="22">
        <f t="shared" si="1"/>
        <v>4</v>
      </c>
      <c r="I58" s="22">
        <f t="shared" si="1"/>
        <v>34</v>
      </c>
      <c r="J58" s="22">
        <f t="shared" si="1"/>
        <v>0</v>
      </c>
      <c r="K58" s="22">
        <f t="shared" si="1"/>
        <v>9</v>
      </c>
      <c r="L58" s="22">
        <f t="shared" si="1"/>
        <v>0</v>
      </c>
      <c r="M58" s="22">
        <f t="shared" si="1"/>
        <v>1.5</v>
      </c>
      <c r="N58" s="22">
        <f t="shared" si="1"/>
        <v>1</v>
      </c>
      <c r="O58" s="22">
        <f t="shared" si="1"/>
        <v>3</v>
      </c>
      <c r="P58" s="22">
        <f t="shared" si="1"/>
        <v>7</v>
      </c>
      <c r="Q58" s="22">
        <f t="shared" si="1"/>
        <v>0</v>
      </c>
      <c r="R58" s="22">
        <f t="shared" si="1"/>
        <v>2</v>
      </c>
      <c r="S58" s="22">
        <f t="shared" si="1"/>
        <v>1</v>
      </c>
      <c r="T58" s="22">
        <f t="shared" si="1"/>
        <v>0</v>
      </c>
      <c r="U58" s="22">
        <f t="shared" si="1"/>
        <v>0</v>
      </c>
      <c r="V58" s="22">
        <f t="shared" si="1"/>
        <v>0</v>
      </c>
    </row>
    <row r="59" spans="1:22" s="4" customFormat="1" ht="10.5" x14ac:dyDescent="0.25">
      <c r="A59" s="17"/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s="4" customFormat="1" ht="10.5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3" spans="1:22" s="4" customFormat="1" ht="26" x14ac:dyDescent="0.6">
      <c r="J63" s="34">
        <v>45992</v>
      </c>
    </row>
    <row r="64" spans="1:22" s="4" customFormat="1" ht="10.5" x14ac:dyDescent="0.25">
      <c r="A64" s="28"/>
      <c r="B64" s="28"/>
      <c r="C64" s="28"/>
      <c r="D64" s="28"/>
      <c r="E64" s="28"/>
      <c r="F64" s="2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28"/>
      <c r="S64" s="28"/>
      <c r="T64" s="28"/>
      <c r="U64" s="28"/>
      <c r="V64" s="28"/>
    </row>
    <row r="65" spans="1:22" s="4" customFormat="1" ht="10.5" x14ac:dyDescent="0.25">
      <c r="A65" s="28"/>
      <c r="B65" s="28"/>
      <c r="C65" s="28" t="s">
        <v>148</v>
      </c>
      <c r="D65" s="28" t="s">
        <v>149</v>
      </c>
      <c r="E65" s="28" t="s">
        <v>150</v>
      </c>
      <c r="F65" s="28" t="s">
        <v>151</v>
      </c>
      <c r="G65" s="7" t="s">
        <v>152</v>
      </c>
      <c r="H65" s="7" t="s">
        <v>153</v>
      </c>
      <c r="I65" s="7" t="s">
        <v>154</v>
      </c>
      <c r="J65" s="7" t="s">
        <v>155</v>
      </c>
      <c r="K65" s="7" t="s">
        <v>156</v>
      </c>
      <c r="L65" s="7" t="s">
        <v>157</v>
      </c>
      <c r="M65" s="7" t="s">
        <v>158</v>
      </c>
      <c r="N65" s="7" t="s">
        <v>159</v>
      </c>
      <c r="O65" s="7" t="s">
        <v>160</v>
      </c>
      <c r="P65" s="7" t="s">
        <v>161</v>
      </c>
      <c r="Q65" s="7" t="s">
        <v>162</v>
      </c>
      <c r="R65" s="28" t="s">
        <v>163</v>
      </c>
      <c r="S65" s="28" t="s">
        <v>164</v>
      </c>
      <c r="T65" s="28" t="s">
        <v>165</v>
      </c>
      <c r="U65" s="28" t="s">
        <v>166</v>
      </c>
      <c r="V65" s="28" t="s">
        <v>209</v>
      </c>
    </row>
    <row r="66" spans="1:22" s="4" customFormat="1" ht="10.5" x14ac:dyDescent="0.25">
      <c r="A66" s="3">
        <v>45992</v>
      </c>
      <c r="B66" s="9" t="s">
        <v>0</v>
      </c>
      <c r="C66" s="10">
        <v>242.5</v>
      </c>
      <c r="D66" s="10">
        <v>5</v>
      </c>
      <c r="E66" s="9">
        <v>1</v>
      </c>
      <c r="F66" s="7">
        <v>0</v>
      </c>
      <c r="G66" s="9">
        <v>1</v>
      </c>
      <c r="H66" s="9">
        <v>4</v>
      </c>
      <c r="I66" s="9">
        <v>34</v>
      </c>
      <c r="J66" s="9">
        <v>0</v>
      </c>
      <c r="K66" s="9">
        <v>9</v>
      </c>
      <c r="L66" s="9">
        <v>0</v>
      </c>
      <c r="M66" s="9">
        <v>1.5</v>
      </c>
      <c r="N66" s="9">
        <v>1</v>
      </c>
      <c r="O66" s="9">
        <v>3</v>
      </c>
      <c r="P66" s="9">
        <v>7</v>
      </c>
      <c r="Q66" s="9">
        <v>0</v>
      </c>
      <c r="R66" s="9">
        <v>2</v>
      </c>
      <c r="S66" s="9">
        <v>1</v>
      </c>
      <c r="T66" s="9">
        <v>0</v>
      </c>
      <c r="U66" s="9">
        <v>0</v>
      </c>
      <c r="V66" s="9">
        <v>0</v>
      </c>
    </row>
    <row r="67" spans="1:22" s="4" customFormat="1" ht="10.5" x14ac:dyDescent="0.25">
      <c r="A67" s="23">
        <v>45992</v>
      </c>
      <c r="B67" s="7" t="s">
        <v>212</v>
      </c>
      <c r="C67" s="7">
        <v>-2</v>
      </c>
      <c r="D67" s="7"/>
      <c r="E67" s="7"/>
      <c r="F67" s="7"/>
      <c r="G67" s="7"/>
      <c r="H67" s="7"/>
      <c r="I67" s="7">
        <v>-14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s="4" customFormat="1" ht="10.5" x14ac:dyDescent="0.25">
      <c r="A68" s="23">
        <v>45992</v>
      </c>
      <c r="B68" s="7" t="s">
        <v>213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s="4" customFormat="1" ht="10.5" x14ac:dyDescent="0.25">
      <c r="A69" s="23">
        <v>45999</v>
      </c>
      <c r="B69" s="7" t="s">
        <v>218</v>
      </c>
      <c r="C69" s="7">
        <v>-1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s="4" customFormat="1" ht="10.5" x14ac:dyDescent="0.25">
      <c r="A70" s="23">
        <v>46008</v>
      </c>
      <c r="B70" s="7" t="s">
        <v>221</v>
      </c>
      <c r="C70" s="7">
        <v>-1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s="4" customFormat="1" ht="10.5" x14ac:dyDescent="0.25">
      <c r="A71" s="23">
        <v>46008</v>
      </c>
      <c r="B71" s="7" t="s">
        <v>222</v>
      </c>
      <c r="C71" s="7"/>
      <c r="D71" s="7">
        <v>-1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s="4" customFormat="1" ht="10.5" x14ac:dyDescent="0.25">
      <c r="A72" s="23">
        <v>46008</v>
      </c>
      <c r="B72" s="7" t="s">
        <v>223</v>
      </c>
      <c r="C72" s="7"/>
      <c r="D72" s="7">
        <v>-0.5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s="4" customFormat="1" ht="10.5" x14ac:dyDescent="0.25">
      <c r="A73" s="23">
        <v>46008</v>
      </c>
      <c r="B73" s="7" t="s">
        <v>224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s="4" customFormat="1" ht="10.5" x14ac:dyDescent="0.25">
      <c r="A74" s="23">
        <v>46010</v>
      </c>
      <c r="B74" s="7" t="s">
        <v>221</v>
      </c>
      <c r="C74" s="7">
        <v>-1</v>
      </c>
      <c r="D74" s="7">
        <v>-1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s="4" customFormat="1" ht="10.5" x14ac:dyDescent="0.25">
      <c r="A75" s="23">
        <v>46010</v>
      </c>
      <c r="B75" s="7" t="s">
        <v>218</v>
      </c>
      <c r="C75" s="7">
        <v>-1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s="4" customFormat="1" ht="10.5" x14ac:dyDescent="0.25">
      <c r="A76" s="23">
        <v>46010</v>
      </c>
      <c r="B76" s="7" t="s">
        <v>225</v>
      </c>
      <c r="C76" s="7"/>
      <c r="D76" s="7"/>
      <c r="E76" s="7"/>
      <c r="F76" s="7"/>
      <c r="G76" s="7"/>
      <c r="H76" s="7">
        <v>12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s="4" customFormat="1" ht="10.5" x14ac:dyDescent="0.25">
      <c r="A77" s="23">
        <v>46010</v>
      </c>
      <c r="B77" s="7" t="s">
        <v>190</v>
      </c>
      <c r="C77" s="7"/>
      <c r="D77" s="7"/>
      <c r="E77" s="7"/>
      <c r="F77" s="7"/>
      <c r="G77" s="7"/>
      <c r="H77" s="7"/>
      <c r="I77" s="7"/>
      <c r="J77" s="7"/>
      <c r="K77" s="7"/>
      <c r="L77" s="7">
        <v>12</v>
      </c>
      <c r="M77" s="7"/>
      <c r="N77" s="7"/>
      <c r="O77" s="7"/>
      <c r="P77" s="7">
        <v>-14</v>
      </c>
      <c r="Q77" s="7"/>
      <c r="R77" s="7"/>
      <c r="S77" s="7"/>
      <c r="T77" s="7"/>
      <c r="U77" s="7"/>
      <c r="V77" s="7"/>
    </row>
    <row r="78" spans="1:22" s="4" customFormat="1" ht="10.5" x14ac:dyDescent="0.25">
      <c r="A78" s="23">
        <v>46010</v>
      </c>
      <c r="B78" s="7" t="s">
        <v>226</v>
      </c>
      <c r="C78" s="7"/>
      <c r="D78" s="7"/>
      <c r="E78" s="7"/>
      <c r="F78" s="7"/>
      <c r="G78" s="7"/>
      <c r="H78" s="7">
        <v>-16</v>
      </c>
      <c r="I78" s="7">
        <v>36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s="4" customFormat="1" ht="10.5" x14ac:dyDescent="0.25">
      <c r="A79" s="23">
        <v>46010</v>
      </c>
      <c r="B79" s="7" t="s">
        <v>167</v>
      </c>
      <c r="C79" s="7"/>
      <c r="D79" s="7"/>
      <c r="E79" s="7"/>
      <c r="F79" s="7"/>
      <c r="G79" s="7"/>
      <c r="H79" s="7"/>
      <c r="I79" s="7"/>
      <c r="J79" s="7"/>
      <c r="K79" s="7">
        <v>-6</v>
      </c>
      <c r="L79" s="7">
        <v>-9</v>
      </c>
      <c r="M79" s="7"/>
      <c r="N79" s="7"/>
      <c r="O79" s="7"/>
      <c r="P79" s="7">
        <v>7</v>
      </c>
      <c r="Q79" s="7"/>
      <c r="R79" s="7"/>
      <c r="S79" s="7"/>
      <c r="T79" s="7"/>
      <c r="U79" s="7"/>
      <c r="V79" s="7"/>
    </row>
    <row r="80" spans="1:22" s="4" customFormat="1" ht="10.5" x14ac:dyDescent="0.25">
      <c r="A80" s="23">
        <v>46020</v>
      </c>
      <c r="B80" s="7" t="s">
        <v>218</v>
      </c>
      <c r="C80" s="7">
        <v>-2</v>
      </c>
      <c r="D80" s="7"/>
      <c r="E80" s="7"/>
      <c r="F80" s="7"/>
      <c r="G80" s="7"/>
      <c r="H80" s="7"/>
      <c r="I80" s="7">
        <v>-31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s="4" customFormat="1" ht="10.5" x14ac:dyDescent="0.25">
      <c r="A81" s="2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s="4" customFormat="1" ht="10.5" x14ac:dyDescent="0.25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s="4" customFormat="1" ht="10.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s="4" customFormat="1" ht="10.5" x14ac:dyDescent="0.25">
      <c r="A84" s="20"/>
      <c r="B84" s="21" t="s">
        <v>25</v>
      </c>
      <c r="C84" s="22">
        <f>SUM(C66:C83)</f>
        <v>234.5</v>
      </c>
      <c r="D84" s="22">
        <f t="shared" ref="D84:V84" si="2">SUM(D66:D83)</f>
        <v>2.5</v>
      </c>
      <c r="E84" s="22">
        <f t="shared" si="2"/>
        <v>1</v>
      </c>
      <c r="F84" s="22">
        <f t="shared" si="2"/>
        <v>0</v>
      </c>
      <c r="G84" s="22">
        <f t="shared" si="2"/>
        <v>1</v>
      </c>
      <c r="H84" s="22">
        <f t="shared" si="2"/>
        <v>0</v>
      </c>
      <c r="I84" s="22">
        <f t="shared" si="2"/>
        <v>25</v>
      </c>
      <c r="J84" s="22">
        <f t="shared" si="2"/>
        <v>0</v>
      </c>
      <c r="K84" s="22">
        <f t="shared" si="2"/>
        <v>3</v>
      </c>
      <c r="L84" s="22">
        <f t="shared" si="2"/>
        <v>3</v>
      </c>
      <c r="M84" s="22">
        <f t="shared" si="2"/>
        <v>1.5</v>
      </c>
      <c r="N84" s="22">
        <f t="shared" si="2"/>
        <v>1</v>
      </c>
      <c r="O84" s="22">
        <f t="shared" si="2"/>
        <v>3</v>
      </c>
      <c r="P84" s="22">
        <f t="shared" si="2"/>
        <v>0</v>
      </c>
      <c r="Q84" s="22">
        <f t="shared" si="2"/>
        <v>0</v>
      </c>
      <c r="R84" s="22">
        <f t="shared" si="2"/>
        <v>2</v>
      </c>
      <c r="S84" s="22">
        <f t="shared" si="2"/>
        <v>1</v>
      </c>
      <c r="T84" s="22">
        <f t="shared" si="2"/>
        <v>0</v>
      </c>
      <c r="U84" s="22">
        <f t="shared" si="2"/>
        <v>0</v>
      </c>
      <c r="V84" s="22">
        <f t="shared" si="2"/>
        <v>0</v>
      </c>
    </row>
    <row r="85" spans="1:22" s="4" customFormat="1" ht="10.5" x14ac:dyDescent="0.25">
      <c r="A85" s="17"/>
      <c r="B85" s="1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 s="4" customFormat="1" ht="10.5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9" spans="1:22" s="4" customFormat="1" ht="26" x14ac:dyDescent="0.6">
      <c r="J89" s="34">
        <v>46023</v>
      </c>
    </row>
    <row r="90" spans="1:22" s="4" customFormat="1" ht="10.5" x14ac:dyDescent="0.25">
      <c r="A90" s="28"/>
      <c r="B90" s="28"/>
      <c r="C90" s="28"/>
      <c r="D90" s="28"/>
      <c r="E90" s="28"/>
      <c r="F90" s="2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28"/>
      <c r="S90" s="28"/>
      <c r="T90" s="28"/>
      <c r="U90" s="28"/>
      <c r="V90" s="28"/>
    </row>
    <row r="91" spans="1:22" s="4" customFormat="1" ht="10.5" x14ac:dyDescent="0.25">
      <c r="A91" s="28"/>
      <c r="B91" s="28"/>
      <c r="C91" s="28" t="s">
        <v>148</v>
      </c>
      <c r="D91" s="28" t="s">
        <v>149</v>
      </c>
      <c r="E91" s="28" t="s">
        <v>150</v>
      </c>
      <c r="F91" s="28" t="s">
        <v>151</v>
      </c>
      <c r="G91" s="7" t="s">
        <v>152</v>
      </c>
      <c r="H91" s="7" t="s">
        <v>153</v>
      </c>
      <c r="I91" s="7" t="s">
        <v>154</v>
      </c>
      <c r="J91" s="7" t="s">
        <v>155</v>
      </c>
      <c r="K91" s="7" t="s">
        <v>156</v>
      </c>
      <c r="L91" s="7" t="s">
        <v>157</v>
      </c>
      <c r="M91" s="7" t="s">
        <v>158</v>
      </c>
      <c r="N91" s="7" t="s">
        <v>159</v>
      </c>
      <c r="O91" s="7" t="s">
        <v>160</v>
      </c>
      <c r="P91" s="7" t="s">
        <v>161</v>
      </c>
      <c r="Q91" s="7" t="s">
        <v>162</v>
      </c>
      <c r="R91" s="28" t="s">
        <v>163</v>
      </c>
      <c r="S91" s="28" t="s">
        <v>164</v>
      </c>
      <c r="T91" s="28" t="s">
        <v>165</v>
      </c>
      <c r="U91" s="28" t="s">
        <v>166</v>
      </c>
      <c r="V91" s="28" t="s">
        <v>209</v>
      </c>
    </row>
    <row r="92" spans="1:22" s="4" customFormat="1" ht="10.5" x14ac:dyDescent="0.25">
      <c r="A92" s="3">
        <v>46023</v>
      </c>
      <c r="B92" s="9" t="s">
        <v>0</v>
      </c>
      <c r="C92" s="10">
        <v>234.5</v>
      </c>
      <c r="D92" s="10">
        <v>2.5</v>
      </c>
      <c r="E92" s="9">
        <v>1</v>
      </c>
      <c r="F92" s="7">
        <v>0</v>
      </c>
      <c r="G92" s="9">
        <v>1</v>
      </c>
      <c r="H92" s="9">
        <v>0</v>
      </c>
      <c r="I92" s="9">
        <v>25</v>
      </c>
      <c r="J92" s="9">
        <v>0</v>
      </c>
      <c r="K92" s="9">
        <v>3</v>
      </c>
      <c r="L92" s="9">
        <v>3</v>
      </c>
      <c r="M92" s="9">
        <v>1.5</v>
      </c>
      <c r="N92" s="9">
        <v>1</v>
      </c>
      <c r="O92" s="9">
        <v>3</v>
      </c>
      <c r="P92" s="9">
        <v>0</v>
      </c>
      <c r="Q92" s="9">
        <v>0</v>
      </c>
      <c r="R92" s="9">
        <v>2</v>
      </c>
      <c r="S92" s="9">
        <v>1</v>
      </c>
      <c r="T92" s="9">
        <v>0</v>
      </c>
      <c r="U92" s="9">
        <v>0</v>
      </c>
      <c r="V92" s="9">
        <v>0</v>
      </c>
    </row>
    <row r="93" spans="1:22" s="4" customFormat="1" ht="10.5" x14ac:dyDescent="0.25">
      <c r="A93" s="23">
        <v>46033</v>
      </c>
      <c r="B93" s="28" t="s">
        <v>228</v>
      </c>
      <c r="C93" s="38">
        <v>-1</v>
      </c>
      <c r="D93" s="10"/>
      <c r="E93" s="9"/>
      <c r="F93" s="7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s="4" customFormat="1" ht="10.5" x14ac:dyDescent="0.25">
      <c r="A94" s="23">
        <v>46035</v>
      </c>
      <c r="B94" s="7" t="s">
        <v>167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>
        <v>15</v>
      </c>
      <c r="Q94" s="7"/>
      <c r="R94" s="7"/>
      <c r="S94" s="7"/>
      <c r="T94" s="7"/>
      <c r="U94" s="7"/>
      <c r="V94" s="7"/>
    </row>
    <row r="95" spans="1:22" s="4" customFormat="1" ht="10.5" x14ac:dyDescent="0.25">
      <c r="A95" s="23">
        <v>46035</v>
      </c>
      <c r="B95" s="7" t="s">
        <v>206</v>
      </c>
      <c r="C95" s="7"/>
      <c r="D95" s="7"/>
      <c r="E95" s="7"/>
      <c r="F95" s="7"/>
      <c r="G95" s="7"/>
      <c r="H95" s="7"/>
      <c r="I95" s="7"/>
      <c r="J95" s="7"/>
      <c r="K95" s="7">
        <v>5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s="4" customFormat="1" ht="10.5" x14ac:dyDescent="0.25">
      <c r="A96" s="23">
        <v>46035</v>
      </c>
      <c r="B96" s="7" t="s">
        <v>208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>
        <v>3</v>
      </c>
    </row>
    <row r="97" spans="1:29" s="4" customFormat="1" ht="10.5" x14ac:dyDescent="0.25">
      <c r="A97" s="23">
        <v>46035</v>
      </c>
      <c r="B97" s="7" t="s">
        <v>227</v>
      </c>
      <c r="C97" s="7"/>
      <c r="D97" s="7"/>
      <c r="E97" s="7"/>
      <c r="F97" s="7"/>
      <c r="G97" s="7"/>
      <c r="H97" s="7"/>
      <c r="I97" s="7">
        <v>8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9" s="4" customFormat="1" ht="10.5" x14ac:dyDescent="0.25">
      <c r="A98" s="23">
        <v>46037</v>
      </c>
      <c r="B98" s="7" t="s">
        <v>190</v>
      </c>
      <c r="C98" s="7"/>
      <c r="D98" s="7"/>
      <c r="E98" s="7"/>
      <c r="F98" s="7"/>
      <c r="G98" s="7"/>
      <c r="H98" s="7"/>
      <c r="I98" s="7"/>
      <c r="J98" s="7"/>
      <c r="K98" s="7"/>
      <c r="L98" s="7">
        <v>12</v>
      </c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9" s="4" customFormat="1" ht="10.5" x14ac:dyDescent="0.25">
      <c r="A99" s="23">
        <v>46041</v>
      </c>
      <c r="B99" s="7" t="s">
        <v>212</v>
      </c>
      <c r="C99" s="7">
        <v>-2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9" s="4" customFormat="1" ht="10.5" x14ac:dyDescent="0.25">
      <c r="A100" s="23">
        <v>46050</v>
      </c>
      <c r="B100" s="28" t="s">
        <v>228</v>
      </c>
      <c r="C100" s="7">
        <v>-1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9" s="4" customFormat="1" ht="10.5" x14ac:dyDescent="0.25">
      <c r="A101" s="23">
        <v>46050</v>
      </c>
      <c r="B101" s="7" t="s">
        <v>230</v>
      </c>
      <c r="C101" s="7"/>
      <c r="D101" s="7">
        <v>4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9" s="4" customFormat="1" ht="10.5" x14ac:dyDescent="0.25">
      <c r="A102" s="23">
        <v>46051</v>
      </c>
      <c r="B102" s="7" t="s">
        <v>232</v>
      </c>
      <c r="C102" s="7">
        <v>6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9" s="4" customFormat="1" ht="10.5" x14ac:dyDescent="0.25">
      <c r="A103" s="23">
        <v>46053</v>
      </c>
      <c r="B103" s="7" t="s">
        <v>211</v>
      </c>
      <c r="C103" s="7"/>
      <c r="D103" s="7"/>
      <c r="E103" s="7"/>
      <c r="F103" s="7"/>
      <c r="G103" s="7"/>
      <c r="H103" s="7"/>
      <c r="I103" s="7">
        <v>-29</v>
      </c>
      <c r="J103" s="7"/>
      <c r="K103" s="7">
        <v>-7</v>
      </c>
      <c r="L103" s="7">
        <v>-13.5</v>
      </c>
      <c r="M103" s="7"/>
      <c r="N103" s="7"/>
      <c r="O103" s="7"/>
      <c r="P103" s="7">
        <v>-14</v>
      </c>
      <c r="Q103" s="7"/>
      <c r="R103" s="7"/>
      <c r="S103" s="7"/>
      <c r="T103" s="7"/>
      <c r="U103" s="7"/>
      <c r="V103" s="7"/>
    </row>
    <row r="104" spans="1:29" s="4" customFormat="1" ht="10.5" x14ac:dyDescent="0.25">
      <c r="A104" s="2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9" s="4" customFormat="1" ht="10.5" x14ac:dyDescent="0.25">
      <c r="A105" s="2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9" s="4" customFormat="1" ht="10.5" x14ac:dyDescent="0.25">
      <c r="A106" s="2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9" s="4" customFormat="1" ht="10.5" x14ac:dyDescent="0.25">
      <c r="A107" s="2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9" s="4" customFormat="1" ht="10.5" x14ac:dyDescent="0.25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9" s="4" customFormat="1" ht="10.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9" s="4" customFormat="1" ht="10.5" x14ac:dyDescent="0.25">
      <c r="A110" s="20"/>
      <c r="B110" s="21" t="s">
        <v>25</v>
      </c>
      <c r="C110" s="22">
        <f>SUM(C92:C109)</f>
        <v>236.5</v>
      </c>
      <c r="D110" s="22">
        <f t="shared" ref="D110:V110" si="3">SUM(D92:D109)</f>
        <v>6.5</v>
      </c>
      <c r="E110" s="22">
        <f t="shared" si="3"/>
        <v>1</v>
      </c>
      <c r="F110" s="22">
        <f t="shared" si="3"/>
        <v>0</v>
      </c>
      <c r="G110" s="22">
        <f t="shared" si="3"/>
        <v>1</v>
      </c>
      <c r="H110" s="22">
        <f t="shared" si="3"/>
        <v>0</v>
      </c>
      <c r="I110" s="22">
        <f t="shared" si="3"/>
        <v>4</v>
      </c>
      <c r="J110" s="22">
        <f t="shared" si="3"/>
        <v>0</v>
      </c>
      <c r="K110" s="22">
        <f t="shared" si="3"/>
        <v>1</v>
      </c>
      <c r="L110" s="22">
        <f t="shared" si="3"/>
        <v>1.5</v>
      </c>
      <c r="M110" s="22">
        <f t="shared" si="3"/>
        <v>1.5</v>
      </c>
      <c r="N110" s="22">
        <f t="shared" si="3"/>
        <v>1</v>
      </c>
      <c r="O110" s="22">
        <f t="shared" si="3"/>
        <v>3</v>
      </c>
      <c r="P110" s="22">
        <f t="shared" si="3"/>
        <v>1</v>
      </c>
      <c r="Q110" s="22">
        <f t="shared" si="3"/>
        <v>0</v>
      </c>
      <c r="R110" s="22">
        <f t="shared" si="3"/>
        <v>2</v>
      </c>
      <c r="S110" s="22">
        <f t="shared" si="3"/>
        <v>1</v>
      </c>
      <c r="T110" s="22">
        <f t="shared" si="3"/>
        <v>0</v>
      </c>
      <c r="U110" s="22">
        <f t="shared" si="3"/>
        <v>0</v>
      </c>
      <c r="V110" s="22">
        <f t="shared" si="3"/>
        <v>3</v>
      </c>
      <c r="W110" s="39"/>
      <c r="X110" s="39"/>
      <c r="Y110" s="39"/>
      <c r="Z110" s="39"/>
      <c r="AA110" s="39"/>
      <c r="AB110" s="39"/>
      <c r="AC110" s="39"/>
    </row>
    <row r="111" spans="1:29" s="4" customFormat="1" ht="10.5" x14ac:dyDescent="0.25">
      <c r="A111" s="17"/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39"/>
      <c r="X111" s="39"/>
      <c r="Y111" s="39"/>
      <c r="Z111" s="39"/>
      <c r="AA111" s="39"/>
      <c r="AB111" s="39"/>
      <c r="AC111" s="39"/>
    </row>
    <row r="112" spans="1:29" s="4" customFormat="1" ht="10.5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39"/>
      <c r="X112" s="39"/>
      <c r="Y112" s="39"/>
      <c r="Z112" s="39"/>
      <c r="AA112" s="39"/>
      <c r="AB112" s="39"/>
      <c r="AC112" s="39"/>
    </row>
    <row r="114" spans="1:29" s="4" customFormat="1" ht="26" x14ac:dyDescent="0.6">
      <c r="J114" s="34">
        <v>46054</v>
      </c>
    </row>
    <row r="115" spans="1:29" s="4" customFormat="1" ht="10.5" x14ac:dyDescent="0.25">
      <c r="A115" s="28"/>
      <c r="B115" s="28"/>
      <c r="C115" s="28"/>
      <c r="D115" s="28"/>
      <c r="E115" s="28"/>
      <c r="F115" s="2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28"/>
      <c r="S115" s="28"/>
      <c r="T115" s="28"/>
      <c r="U115" s="28"/>
      <c r="V115" s="28"/>
      <c r="W115" s="7"/>
      <c r="X115" s="7"/>
      <c r="Y115" s="7"/>
      <c r="Z115" s="7"/>
      <c r="AA115" s="7"/>
      <c r="AB115" s="7"/>
      <c r="AC115" s="7"/>
    </row>
    <row r="116" spans="1:29" s="41" customFormat="1" ht="10.5" x14ac:dyDescent="0.25">
      <c r="A116" s="9"/>
      <c r="B116" s="9"/>
      <c r="C116" s="9" t="s">
        <v>148</v>
      </c>
      <c r="D116" s="9" t="s">
        <v>149</v>
      </c>
      <c r="E116" s="9" t="s">
        <v>150</v>
      </c>
      <c r="F116" s="9" t="s">
        <v>151</v>
      </c>
      <c r="G116" s="40" t="s">
        <v>152</v>
      </c>
      <c r="H116" s="40" t="s">
        <v>153</v>
      </c>
      <c r="I116" s="40" t="s">
        <v>154</v>
      </c>
      <c r="J116" s="40" t="s">
        <v>155</v>
      </c>
      <c r="K116" s="40" t="s">
        <v>156</v>
      </c>
      <c r="L116" s="40" t="s">
        <v>157</v>
      </c>
      <c r="M116" s="40" t="s">
        <v>158</v>
      </c>
      <c r="N116" s="40" t="s">
        <v>159</v>
      </c>
      <c r="O116" s="40" t="s">
        <v>160</v>
      </c>
      <c r="P116" s="40" t="s">
        <v>161</v>
      </c>
      <c r="Q116" s="40" t="s">
        <v>162</v>
      </c>
      <c r="R116" s="9" t="s">
        <v>163</v>
      </c>
      <c r="S116" s="9" t="s">
        <v>164</v>
      </c>
      <c r="T116" s="9" t="s">
        <v>165</v>
      </c>
      <c r="U116" s="9" t="s">
        <v>166</v>
      </c>
      <c r="V116" s="9" t="s">
        <v>209</v>
      </c>
      <c r="W116" s="40" t="s">
        <v>235</v>
      </c>
      <c r="X116" s="40" t="s">
        <v>236</v>
      </c>
      <c r="Y116" s="40" t="s">
        <v>237</v>
      </c>
      <c r="Z116" s="40" t="s">
        <v>238</v>
      </c>
      <c r="AA116" s="40" t="s">
        <v>242</v>
      </c>
      <c r="AB116" s="40" t="s">
        <v>245</v>
      </c>
      <c r="AC116" s="40"/>
    </row>
    <row r="117" spans="1:29" s="4" customFormat="1" ht="10.5" x14ac:dyDescent="0.25">
      <c r="A117" s="3">
        <v>46054</v>
      </c>
      <c r="B117" s="9" t="s">
        <v>0</v>
      </c>
      <c r="C117" s="10">
        <v>236.5</v>
      </c>
      <c r="D117" s="10">
        <v>6.5</v>
      </c>
      <c r="E117" s="9">
        <v>1</v>
      </c>
      <c r="F117" s="7">
        <v>0</v>
      </c>
      <c r="G117" s="9">
        <v>1</v>
      </c>
      <c r="H117" s="9">
        <v>0</v>
      </c>
      <c r="I117" s="9">
        <v>4</v>
      </c>
      <c r="J117" s="9">
        <v>0</v>
      </c>
      <c r="K117" s="9">
        <v>1</v>
      </c>
      <c r="L117" s="9">
        <v>1.5</v>
      </c>
      <c r="M117" s="9">
        <v>1.5</v>
      </c>
      <c r="N117" s="9">
        <v>1</v>
      </c>
      <c r="O117" s="9">
        <v>3</v>
      </c>
      <c r="P117" s="9">
        <v>1</v>
      </c>
      <c r="Q117" s="9">
        <v>0</v>
      </c>
      <c r="R117" s="9">
        <v>2</v>
      </c>
      <c r="S117" s="9">
        <v>1</v>
      </c>
      <c r="T117" s="9">
        <v>0</v>
      </c>
      <c r="U117" s="9">
        <v>0</v>
      </c>
      <c r="V117" s="9">
        <v>0</v>
      </c>
      <c r="W117" s="7"/>
      <c r="X117" s="7"/>
      <c r="Y117" s="7"/>
      <c r="Z117" s="7"/>
      <c r="AA117" s="7"/>
      <c r="AB117" s="7"/>
      <c r="AC117" s="7"/>
    </row>
    <row r="118" spans="1:29" s="4" customFormat="1" ht="10.5" x14ac:dyDescent="0.25">
      <c r="A118" s="23">
        <v>46060</v>
      </c>
      <c r="B118" s="7" t="s">
        <v>212</v>
      </c>
      <c r="C118" s="7">
        <v>-2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s="4" customFormat="1" ht="10.5" x14ac:dyDescent="0.25">
      <c r="A119" s="23">
        <v>46062</v>
      </c>
      <c r="B119" s="7" t="s">
        <v>250</v>
      </c>
      <c r="C119" s="7">
        <v>-1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s="4" customFormat="1" ht="10.5" x14ac:dyDescent="0.25">
      <c r="A120" s="23">
        <v>46064</v>
      </c>
      <c r="B120" s="7" t="s">
        <v>239</v>
      </c>
      <c r="C120" s="7"/>
      <c r="D120" s="7"/>
      <c r="E120" s="7"/>
      <c r="F120" s="7"/>
      <c r="G120" s="7"/>
      <c r="H120" s="7"/>
      <c r="I120" s="7"/>
      <c r="J120" s="7"/>
      <c r="K120" s="7">
        <v>7</v>
      </c>
      <c r="L120" s="7">
        <v>12</v>
      </c>
      <c r="M120" s="7"/>
      <c r="N120" s="7"/>
      <c r="O120" s="7"/>
      <c r="P120" s="7"/>
      <c r="Q120" s="7"/>
      <c r="R120" s="7">
        <v>5</v>
      </c>
      <c r="S120" s="7"/>
      <c r="T120" s="7"/>
      <c r="U120" s="7"/>
      <c r="V120" s="7"/>
      <c r="W120" s="7">
        <v>5</v>
      </c>
      <c r="X120" s="7">
        <v>5</v>
      </c>
      <c r="Y120" s="7">
        <v>5</v>
      </c>
      <c r="Z120" s="7">
        <v>5</v>
      </c>
      <c r="AA120" s="7"/>
      <c r="AB120" s="7"/>
      <c r="AC120" s="7"/>
    </row>
    <row r="121" spans="1:29" s="4" customFormat="1" ht="10.5" x14ac:dyDescent="0.25">
      <c r="A121" s="23">
        <v>46067</v>
      </c>
      <c r="B121" s="7" t="s">
        <v>228</v>
      </c>
      <c r="C121" s="7">
        <v>-1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s="4" customFormat="1" ht="10.5" x14ac:dyDescent="0.25">
      <c r="A122" s="23">
        <v>46068</v>
      </c>
      <c r="B122" s="7" t="s">
        <v>243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>
        <v>5</v>
      </c>
      <c r="AB122" s="7"/>
      <c r="AC122" s="7"/>
    </row>
    <row r="123" spans="1:29" s="4" customFormat="1" ht="10.5" x14ac:dyDescent="0.25">
      <c r="A123" s="23">
        <v>46070</v>
      </c>
      <c r="B123" s="7" t="s">
        <v>247</v>
      </c>
      <c r="C123" s="7">
        <v>-0.5</v>
      </c>
      <c r="D123" s="7"/>
      <c r="E123" s="7"/>
      <c r="F123" s="7"/>
      <c r="G123" s="7"/>
      <c r="H123" s="7"/>
      <c r="I123" s="7"/>
      <c r="J123" s="7"/>
      <c r="K123" s="7"/>
      <c r="L123" s="7">
        <v>12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s="4" customFormat="1" ht="10.5" x14ac:dyDescent="0.25">
      <c r="A124" s="23">
        <v>46074</v>
      </c>
      <c r="B124" s="7" t="s">
        <v>212</v>
      </c>
      <c r="C124" s="7">
        <v>-2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s="4" customFormat="1" ht="10.5" x14ac:dyDescent="0.25">
      <c r="A125" s="23">
        <v>46078</v>
      </c>
      <c r="B125" s="7" t="s">
        <v>246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>
        <v>10</v>
      </c>
      <c r="AC125" s="7"/>
    </row>
    <row r="126" spans="1:29" s="4" customFormat="1" ht="10.5" x14ac:dyDescent="0.25">
      <c r="A126" s="23">
        <v>46080</v>
      </c>
      <c r="B126" s="7" t="s">
        <v>249</v>
      </c>
      <c r="C126" s="7"/>
      <c r="D126" s="7"/>
      <c r="E126" s="7"/>
      <c r="F126" s="7"/>
      <c r="G126" s="7"/>
      <c r="H126" s="7"/>
      <c r="I126" s="7">
        <v>-4</v>
      </c>
      <c r="J126" s="7"/>
      <c r="K126" s="7">
        <v>-5</v>
      </c>
      <c r="L126" s="7">
        <v>-13.5</v>
      </c>
      <c r="M126" s="7"/>
      <c r="N126" s="7"/>
      <c r="O126" s="7"/>
      <c r="P126" s="7"/>
      <c r="Q126" s="7"/>
      <c r="R126" s="7">
        <v>-1</v>
      </c>
      <c r="S126" s="7"/>
      <c r="T126" s="7"/>
      <c r="U126" s="7"/>
      <c r="V126" s="7"/>
      <c r="W126" s="7">
        <v>-4</v>
      </c>
      <c r="X126" s="7">
        <v>-5</v>
      </c>
      <c r="Y126" s="7"/>
      <c r="Z126" s="7">
        <v>-3</v>
      </c>
      <c r="AA126" s="7"/>
      <c r="AB126" s="7">
        <v>-2</v>
      </c>
      <c r="AC126" s="7"/>
    </row>
    <row r="127" spans="1:29" s="4" customFormat="1" ht="10.5" x14ac:dyDescent="0.25">
      <c r="A127" s="23">
        <v>46080</v>
      </c>
      <c r="B127" s="7" t="s">
        <v>228</v>
      </c>
      <c r="C127" s="7">
        <v>-1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s="4" customFormat="1" ht="10.5" x14ac:dyDescent="0.25">
      <c r="A128" s="2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s="4" customFormat="1" ht="10.5" x14ac:dyDescent="0.25">
      <c r="A129" s="2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s="4" customFormat="1" ht="10.5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s="4" customFormat="1" ht="10.5" x14ac:dyDescent="0.25">
      <c r="A131" s="20"/>
      <c r="B131" s="21" t="s">
        <v>25</v>
      </c>
      <c r="C131" s="22">
        <f t="shared" ref="C131:AC131" si="4">SUM(C117:C130)</f>
        <v>229</v>
      </c>
      <c r="D131" s="22">
        <f t="shared" si="4"/>
        <v>6.5</v>
      </c>
      <c r="E131" s="22">
        <f t="shared" si="4"/>
        <v>1</v>
      </c>
      <c r="F131" s="22">
        <f t="shared" si="4"/>
        <v>0</v>
      </c>
      <c r="G131" s="22">
        <f t="shared" si="4"/>
        <v>1</v>
      </c>
      <c r="H131" s="22">
        <f t="shared" si="4"/>
        <v>0</v>
      </c>
      <c r="I131" s="22">
        <f t="shared" si="4"/>
        <v>0</v>
      </c>
      <c r="J131" s="22">
        <f t="shared" si="4"/>
        <v>0</v>
      </c>
      <c r="K131" s="22">
        <f t="shared" si="4"/>
        <v>3</v>
      </c>
      <c r="L131" s="22">
        <f t="shared" si="4"/>
        <v>12</v>
      </c>
      <c r="M131" s="22">
        <f t="shared" si="4"/>
        <v>1.5</v>
      </c>
      <c r="N131" s="22">
        <f t="shared" si="4"/>
        <v>1</v>
      </c>
      <c r="O131" s="22">
        <f t="shared" si="4"/>
        <v>3</v>
      </c>
      <c r="P131" s="22">
        <f t="shared" si="4"/>
        <v>1</v>
      </c>
      <c r="Q131" s="22">
        <f t="shared" si="4"/>
        <v>0</v>
      </c>
      <c r="R131" s="22">
        <f t="shared" si="4"/>
        <v>6</v>
      </c>
      <c r="S131" s="22">
        <f t="shared" si="4"/>
        <v>1</v>
      </c>
      <c r="T131" s="22">
        <f t="shared" si="4"/>
        <v>0</v>
      </c>
      <c r="U131" s="22">
        <f t="shared" si="4"/>
        <v>0</v>
      </c>
      <c r="V131" s="22">
        <f t="shared" si="4"/>
        <v>0</v>
      </c>
      <c r="W131" s="22">
        <f t="shared" si="4"/>
        <v>1</v>
      </c>
      <c r="X131" s="22">
        <f t="shared" si="4"/>
        <v>0</v>
      </c>
      <c r="Y131" s="22">
        <v>6.5</v>
      </c>
      <c r="Z131" s="22">
        <f t="shared" si="4"/>
        <v>2</v>
      </c>
      <c r="AA131" s="22">
        <f t="shared" si="4"/>
        <v>5</v>
      </c>
      <c r="AB131" s="22">
        <f t="shared" si="4"/>
        <v>8</v>
      </c>
      <c r="AC131" s="22">
        <f t="shared" si="4"/>
        <v>0</v>
      </c>
    </row>
    <row r="132" spans="1:29" s="4" customFormat="1" ht="10.5" x14ac:dyDescent="0.25">
      <c r="A132" s="17"/>
      <c r="B132" s="17"/>
      <c r="C132" s="18"/>
      <c r="D132" s="18"/>
      <c r="E132" s="18">
        <v>1</v>
      </c>
      <c r="F132" s="18">
        <v>0</v>
      </c>
      <c r="G132" s="18">
        <v>1</v>
      </c>
      <c r="H132" s="18">
        <v>0</v>
      </c>
      <c r="I132" s="18">
        <v>4</v>
      </c>
      <c r="J132" s="18">
        <v>0</v>
      </c>
      <c r="K132" s="18">
        <v>8</v>
      </c>
      <c r="L132" s="18">
        <v>0</v>
      </c>
      <c r="M132" s="18">
        <v>1.5</v>
      </c>
      <c r="N132" s="18">
        <v>1</v>
      </c>
      <c r="O132" s="18">
        <v>3</v>
      </c>
      <c r="P132" s="18">
        <v>1</v>
      </c>
      <c r="Q132" s="18">
        <v>0</v>
      </c>
      <c r="R132" s="18">
        <v>7</v>
      </c>
      <c r="S132" s="18">
        <v>1</v>
      </c>
      <c r="T132" s="18">
        <v>0</v>
      </c>
      <c r="U132" s="18">
        <v>0</v>
      </c>
      <c r="V132" s="18">
        <v>0</v>
      </c>
      <c r="W132" s="21">
        <v>5</v>
      </c>
      <c r="X132" s="21">
        <v>5</v>
      </c>
      <c r="Y132" s="21">
        <v>6.5</v>
      </c>
      <c r="Z132" s="21">
        <v>5</v>
      </c>
      <c r="AA132" s="21">
        <v>5</v>
      </c>
      <c r="AB132" s="21">
        <v>10</v>
      </c>
      <c r="AC132" s="21"/>
    </row>
    <row r="133" spans="1:29" s="4" customFormat="1" ht="10.5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5" spans="1:29" s="4" customFormat="1" ht="26" x14ac:dyDescent="0.6">
      <c r="J135" s="34">
        <v>46082</v>
      </c>
    </row>
    <row r="136" spans="1:29" s="4" customFormat="1" ht="10.5" x14ac:dyDescent="0.25">
      <c r="A136" s="28"/>
      <c r="B136" s="28"/>
      <c r="C136" s="28"/>
      <c r="D136" s="28"/>
      <c r="E136" s="28"/>
      <c r="F136" s="2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28"/>
      <c r="S136" s="28"/>
      <c r="T136" s="28"/>
      <c r="U136" s="28"/>
      <c r="V136" s="28"/>
      <c r="W136" s="7"/>
      <c r="X136" s="7"/>
      <c r="Y136" s="7"/>
      <c r="Z136" s="7"/>
      <c r="AA136" s="7"/>
      <c r="AB136" s="7"/>
      <c r="AC136" s="7"/>
    </row>
    <row r="137" spans="1:29" s="41" customFormat="1" ht="10.5" x14ac:dyDescent="0.25">
      <c r="A137" s="9"/>
      <c r="B137" s="9"/>
      <c r="C137" s="9" t="s">
        <v>148</v>
      </c>
      <c r="D137" s="9" t="s">
        <v>149</v>
      </c>
      <c r="E137" s="9" t="s">
        <v>150</v>
      </c>
      <c r="F137" s="9" t="s">
        <v>151</v>
      </c>
      <c r="G137" s="40" t="s">
        <v>152</v>
      </c>
      <c r="H137" s="40" t="s">
        <v>153</v>
      </c>
      <c r="I137" s="40" t="s">
        <v>154</v>
      </c>
      <c r="J137" s="40" t="s">
        <v>155</v>
      </c>
      <c r="K137" s="40" t="s">
        <v>156</v>
      </c>
      <c r="L137" s="40" t="s">
        <v>157</v>
      </c>
      <c r="M137" s="40" t="s">
        <v>158</v>
      </c>
      <c r="N137" s="40" t="s">
        <v>159</v>
      </c>
      <c r="O137" s="40" t="s">
        <v>160</v>
      </c>
      <c r="P137" s="40" t="s">
        <v>161</v>
      </c>
      <c r="Q137" s="40" t="s">
        <v>162</v>
      </c>
      <c r="R137" s="9" t="s">
        <v>163</v>
      </c>
      <c r="S137" s="9" t="s">
        <v>164</v>
      </c>
      <c r="T137" s="9" t="s">
        <v>165</v>
      </c>
      <c r="U137" s="9" t="s">
        <v>166</v>
      </c>
      <c r="V137" s="9" t="s">
        <v>209</v>
      </c>
      <c r="W137" s="40" t="s">
        <v>235</v>
      </c>
      <c r="X137" s="40" t="s">
        <v>236</v>
      </c>
      <c r="Y137" s="40" t="s">
        <v>237</v>
      </c>
      <c r="Z137" s="40" t="s">
        <v>238</v>
      </c>
      <c r="AA137" s="40" t="s">
        <v>242</v>
      </c>
      <c r="AB137" s="40" t="s">
        <v>245</v>
      </c>
      <c r="AC137" s="40"/>
    </row>
    <row r="138" spans="1:29" s="4" customFormat="1" ht="10.5" x14ac:dyDescent="0.25">
      <c r="A138" s="3">
        <v>46082</v>
      </c>
      <c r="B138" s="9" t="s">
        <v>0</v>
      </c>
      <c r="C138" s="10">
        <v>229</v>
      </c>
      <c r="D138" s="10">
        <v>6.5</v>
      </c>
      <c r="E138" s="9">
        <v>1</v>
      </c>
      <c r="F138" s="7">
        <v>0</v>
      </c>
      <c r="G138" s="9">
        <v>1</v>
      </c>
      <c r="H138" s="9">
        <v>0</v>
      </c>
      <c r="I138" s="9">
        <v>0</v>
      </c>
      <c r="J138" s="9">
        <v>0</v>
      </c>
      <c r="K138" s="9">
        <v>3</v>
      </c>
      <c r="L138" s="9">
        <v>12</v>
      </c>
      <c r="M138" s="9">
        <v>1.5</v>
      </c>
      <c r="N138" s="9">
        <v>1</v>
      </c>
      <c r="O138" s="9">
        <v>3</v>
      </c>
      <c r="P138" s="9">
        <v>1</v>
      </c>
      <c r="Q138" s="9">
        <v>0</v>
      </c>
      <c r="R138" s="9">
        <v>6</v>
      </c>
      <c r="S138" s="9">
        <v>1</v>
      </c>
      <c r="T138" s="9">
        <v>0</v>
      </c>
      <c r="U138" s="9">
        <v>0</v>
      </c>
      <c r="V138" s="9">
        <v>0</v>
      </c>
      <c r="W138" s="7">
        <v>1</v>
      </c>
      <c r="X138" s="7">
        <v>0</v>
      </c>
      <c r="Y138" s="7">
        <v>6.5</v>
      </c>
      <c r="Z138" s="7">
        <v>2</v>
      </c>
      <c r="AA138" s="7">
        <v>0</v>
      </c>
      <c r="AB138" s="7">
        <v>8</v>
      </c>
      <c r="AC138" s="7"/>
    </row>
    <row r="139" spans="1:29" s="4" customFormat="1" ht="10.5" x14ac:dyDescent="0.25">
      <c r="A139" s="23">
        <v>46083</v>
      </c>
      <c r="B139" s="7" t="s">
        <v>251</v>
      </c>
      <c r="C139" s="7">
        <v>-3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s="4" customFormat="1" ht="10.5" x14ac:dyDescent="0.25">
      <c r="A140" s="23">
        <v>46088</v>
      </c>
      <c r="B140" s="7" t="s">
        <v>257</v>
      </c>
      <c r="C140" s="7">
        <v>-2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s="4" customFormat="1" ht="10.5" x14ac:dyDescent="0.25">
      <c r="A141" s="23">
        <v>46089</v>
      </c>
      <c r="B141" s="7" t="s">
        <v>190</v>
      </c>
      <c r="C141" s="7"/>
      <c r="D141" s="7"/>
      <c r="E141" s="7"/>
      <c r="F141" s="7"/>
      <c r="G141" s="7"/>
      <c r="H141" s="7"/>
      <c r="I141" s="7"/>
      <c r="J141" s="7"/>
      <c r="K141" s="7"/>
      <c r="L141" s="7">
        <v>14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s="4" customFormat="1" ht="10.5" x14ac:dyDescent="0.25">
      <c r="A142" s="23">
        <v>46089</v>
      </c>
      <c r="B142" s="7" t="s">
        <v>167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>
        <v>14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s="4" customFormat="1" ht="10.5" x14ac:dyDescent="0.25">
      <c r="A143" s="23">
        <v>46089</v>
      </c>
      <c r="B143" s="7" t="s">
        <v>206</v>
      </c>
      <c r="C143" s="7"/>
      <c r="D143" s="7"/>
      <c r="E143" s="7"/>
      <c r="F143" s="7"/>
      <c r="G143" s="7"/>
      <c r="H143" s="7"/>
      <c r="I143" s="7"/>
      <c r="J143" s="7"/>
      <c r="K143" s="7">
        <v>6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s="4" customFormat="1" ht="10.5" x14ac:dyDescent="0.25">
      <c r="A144" s="23">
        <v>46089</v>
      </c>
      <c r="B144" s="7" t="s">
        <v>227</v>
      </c>
      <c r="C144" s="7"/>
      <c r="D144" s="7"/>
      <c r="E144" s="7"/>
      <c r="F144" s="7"/>
      <c r="G144" s="7"/>
      <c r="H144" s="7"/>
      <c r="I144" s="7">
        <v>54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s="4" customFormat="1" ht="10.5" x14ac:dyDescent="0.25">
      <c r="A145" s="23">
        <v>46094</v>
      </c>
      <c r="B145" s="7" t="s">
        <v>228</v>
      </c>
      <c r="C145" s="7">
        <v>-1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s="4" customFormat="1" ht="10.5" x14ac:dyDescent="0.25">
      <c r="A146" s="23">
        <v>46098</v>
      </c>
      <c r="B146" s="7" t="s">
        <v>260</v>
      </c>
      <c r="C146" s="7">
        <v>-1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s="4" customFormat="1" ht="10.5" x14ac:dyDescent="0.25">
      <c r="A147" s="23">
        <v>46100</v>
      </c>
      <c r="B147" s="7" t="s">
        <v>261</v>
      </c>
      <c r="C147" s="7">
        <v>-1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s="4" customFormat="1" ht="10.5" x14ac:dyDescent="0.25">
      <c r="A148" s="23">
        <v>46100</v>
      </c>
      <c r="B148" s="7" t="s">
        <v>262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>
        <v>11</v>
      </c>
      <c r="AC148" s="7"/>
    </row>
    <row r="149" spans="1:29" s="4" customFormat="1" ht="10.5" x14ac:dyDescent="0.25">
      <c r="A149" s="23">
        <v>46100</v>
      </c>
      <c r="B149" s="7" t="s">
        <v>263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>
        <v>7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s="4" customFormat="1" ht="10.5" x14ac:dyDescent="0.25">
      <c r="A150" s="23">
        <v>46104</v>
      </c>
      <c r="B150" s="7" t="s">
        <v>228</v>
      </c>
      <c r="C150" s="7">
        <v>-1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s="4" customFormat="1" ht="10.5" x14ac:dyDescent="0.25">
      <c r="A151" s="23">
        <v>46110</v>
      </c>
      <c r="B151" s="7" t="s">
        <v>268</v>
      </c>
      <c r="C151" s="7">
        <v>-1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s="4" customFormat="1" ht="10.5" x14ac:dyDescent="0.25">
      <c r="A152" s="23">
        <v>46111</v>
      </c>
      <c r="B152" s="7" t="s">
        <v>228</v>
      </c>
      <c r="C152" s="7">
        <v>-1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s="4" customFormat="1" ht="10.5" x14ac:dyDescent="0.25">
      <c r="A153" s="23">
        <v>46112</v>
      </c>
      <c r="B153" s="7" t="s">
        <v>211</v>
      </c>
      <c r="C153" s="7"/>
      <c r="D153" s="7"/>
      <c r="E153" s="7"/>
      <c r="F153" s="7"/>
      <c r="G153" s="7"/>
      <c r="H153" s="7"/>
      <c r="I153" s="7">
        <v>-42</v>
      </c>
      <c r="J153" s="7"/>
      <c r="K153" s="7">
        <v>-6</v>
      </c>
      <c r="L153" s="7">
        <v>-26</v>
      </c>
      <c r="M153" s="7"/>
      <c r="N153" s="7"/>
      <c r="O153" s="7">
        <v>-6</v>
      </c>
      <c r="P153" s="7">
        <v>-9</v>
      </c>
      <c r="Q153" s="7"/>
      <c r="R153" s="7">
        <v>-3</v>
      </c>
      <c r="S153" s="7"/>
      <c r="T153" s="7"/>
      <c r="U153" s="7"/>
      <c r="V153" s="7"/>
      <c r="W153" s="7"/>
      <c r="X153" s="7"/>
      <c r="Y153" s="7"/>
      <c r="Z153" s="7"/>
      <c r="AA153" s="7"/>
      <c r="AB153" s="7">
        <v>-19</v>
      </c>
      <c r="AC153" s="7"/>
    </row>
    <row r="154" spans="1:29" s="4" customFormat="1" ht="10.5" x14ac:dyDescent="0.25">
      <c r="A154" s="2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s="4" customFormat="1" ht="10.5" x14ac:dyDescent="0.25">
      <c r="A155" s="2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s="4" customFormat="1" ht="10.5" x14ac:dyDescent="0.25">
      <c r="A156" s="2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s="4" customFormat="1" ht="10.5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s="4" customFormat="1" ht="10.5" x14ac:dyDescent="0.25">
      <c r="A158" s="20"/>
      <c r="B158" s="21" t="s">
        <v>25</v>
      </c>
      <c r="C158" s="22">
        <f t="shared" ref="C158:X158" si="5">SUM(C138:C157)</f>
        <v>218</v>
      </c>
      <c r="D158" s="22">
        <f t="shared" si="5"/>
        <v>6.5</v>
      </c>
      <c r="E158" s="22">
        <f t="shared" si="5"/>
        <v>1</v>
      </c>
      <c r="F158" s="22">
        <f t="shared" si="5"/>
        <v>0</v>
      </c>
      <c r="G158" s="22">
        <f t="shared" si="5"/>
        <v>1</v>
      </c>
      <c r="H158" s="22">
        <f t="shared" si="5"/>
        <v>0</v>
      </c>
      <c r="I158" s="22">
        <f t="shared" si="5"/>
        <v>12</v>
      </c>
      <c r="J158" s="22">
        <f t="shared" si="5"/>
        <v>0</v>
      </c>
      <c r="K158" s="22">
        <f t="shared" si="5"/>
        <v>3</v>
      </c>
      <c r="L158" s="22">
        <f t="shared" si="5"/>
        <v>0</v>
      </c>
      <c r="M158" s="22">
        <f t="shared" si="5"/>
        <v>1.5</v>
      </c>
      <c r="N158" s="22">
        <f t="shared" si="5"/>
        <v>1</v>
      </c>
      <c r="O158" s="22">
        <f t="shared" si="5"/>
        <v>4</v>
      </c>
      <c r="P158" s="22">
        <f t="shared" si="5"/>
        <v>6</v>
      </c>
      <c r="Q158" s="22">
        <f t="shared" si="5"/>
        <v>0</v>
      </c>
      <c r="R158" s="22">
        <f t="shared" si="5"/>
        <v>3</v>
      </c>
      <c r="S158" s="22">
        <f t="shared" si="5"/>
        <v>1</v>
      </c>
      <c r="T158" s="22">
        <f t="shared" si="5"/>
        <v>0</v>
      </c>
      <c r="U158" s="22">
        <f t="shared" si="5"/>
        <v>0</v>
      </c>
      <c r="V158" s="22">
        <f t="shared" si="5"/>
        <v>0</v>
      </c>
      <c r="W158" s="22">
        <f t="shared" si="5"/>
        <v>1</v>
      </c>
      <c r="X158" s="22">
        <f t="shared" si="5"/>
        <v>0</v>
      </c>
      <c r="Y158" s="22">
        <v>6.5</v>
      </c>
      <c r="Z158" s="22">
        <f t="shared" ref="Z158:AC158" si="6">SUM(Z138:Z157)</f>
        <v>2</v>
      </c>
      <c r="AA158" s="22">
        <f t="shared" si="6"/>
        <v>0</v>
      </c>
      <c r="AB158" s="22">
        <f t="shared" si="6"/>
        <v>0</v>
      </c>
      <c r="AC158" s="22">
        <f t="shared" si="6"/>
        <v>0</v>
      </c>
    </row>
    <row r="159" spans="1:29" s="4" customFormat="1" ht="10.5" x14ac:dyDescent="0.25">
      <c r="A159" s="17"/>
      <c r="B159" s="17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21"/>
      <c r="X159" s="21"/>
      <c r="Y159" s="21"/>
      <c r="Z159" s="21"/>
      <c r="AA159" s="21"/>
      <c r="AB159" s="21"/>
      <c r="AC159" s="21"/>
    </row>
    <row r="160" spans="1:29" s="4" customFormat="1" ht="10.5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2" spans="1:29" s="41" customFormat="1" ht="10.5" x14ac:dyDescent="0.25">
      <c r="A162" s="9"/>
      <c r="B162" s="9"/>
      <c r="C162" s="9" t="s">
        <v>148</v>
      </c>
      <c r="D162" s="9" t="s">
        <v>149</v>
      </c>
      <c r="E162" s="9" t="s">
        <v>150</v>
      </c>
      <c r="F162" s="9" t="s">
        <v>151</v>
      </c>
      <c r="G162" s="40" t="s">
        <v>152</v>
      </c>
      <c r="H162" s="40" t="s">
        <v>153</v>
      </c>
      <c r="I162" s="40" t="s">
        <v>154</v>
      </c>
      <c r="J162" s="40" t="s">
        <v>155</v>
      </c>
      <c r="K162" s="40" t="s">
        <v>156</v>
      </c>
      <c r="L162" s="40" t="s">
        <v>157</v>
      </c>
      <c r="M162" s="40" t="s">
        <v>158</v>
      </c>
      <c r="N162" s="40" t="s">
        <v>159</v>
      </c>
      <c r="O162" s="40" t="s">
        <v>160</v>
      </c>
      <c r="P162" s="40" t="s">
        <v>161</v>
      </c>
      <c r="Q162" s="40" t="s">
        <v>162</v>
      </c>
      <c r="R162" s="9" t="s">
        <v>163</v>
      </c>
      <c r="S162" s="9" t="s">
        <v>164</v>
      </c>
      <c r="T162" s="9" t="s">
        <v>165</v>
      </c>
      <c r="U162" s="9" t="s">
        <v>166</v>
      </c>
      <c r="V162" s="9" t="s">
        <v>209</v>
      </c>
      <c r="W162" s="40" t="s">
        <v>235</v>
      </c>
      <c r="X162" s="40" t="s">
        <v>236</v>
      </c>
      <c r="Y162" s="40" t="s">
        <v>237</v>
      </c>
      <c r="Z162" s="40" t="s">
        <v>238</v>
      </c>
      <c r="AA162" s="40" t="s">
        <v>242</v>
      </c>
      <c r="AB162" s="40" t="s">
        <v>245</v>
      </c>
      <c r="AC162" s="40" t="s">
        <v>289</v>
      </c>
    </row>
    <row r="163" spans="1:29" s="4" customFormat="1" ht="10.5" x14ac:dyDescent="0.25">
      <c r="A163" s="3">
        <v>46113</v>
      </c>
      <c r="B163" s="9" t="s">
        <v>0</v>
      </c>
      <c r="C163" s="10">
        <v>218</v>
      </c>
      <c r="D163" s="10">
        <v>6.5</v>
      </c>
      <c r="E163" s="9">
        <v>1</v>
      </c>
      <c r="F163" s="7">
        <v>0</v>
      </c>
      <c r="G163" s="9">
        <v>1</v>
      </c>
      <c r="H163" s="9">
        <v>0</v>
      </c>
      <c r="I163" s="9">
        <v>0</v>
      </c>
      <c r="J163" s="9">
        <v>0</v>
      </c>
      <c r="K163" s="9">
        <v>3</v>
      </c>
      <c r="L163" s="9">
        <v>0</v>
      </c>
      <c r="M163" s="9">
        <v>1.5</v>
      </c>
      <c r="N163" s="9">
        <v>1</v>
      </c>
      <c r="O163" s="9">
        <v>4</v>
      </c>
      <c r="P163" s="9">
        <v>6</v>
      </c>
      <c r="Q163" s="9">
        <v>0</v>
      </c>
      <c r="R163" s="9">
        <v>3</v>
      </c>
      <c r="S163" s="9">
        <v>1</v>
      </c>
      <c r="T163" s="9">
        <v>0</v>
      </c>
      <c r="U163" s="9">
        <v>0</v>
      </c>
      <c r="V163" s="9">
        <v>0</v>
      </c>
      <c r="W163" s="7">
        <v>1</v>
      </c>
      <c r="X163" s="7">
        <v>0</v>
      </c>
      <c r="Y163" s="7">
        <v>6.5</v>
      </c>
      <c r="Z163" s="7">
        <v>2</v>
      </c>
      <c r="AA163" s="7">
        <v>0</v>
      </c>
      <c r="AB163" s="7">
        <v>0</v>
      </c>
      <c r="AC163" s="7"/>
    </row>
    <row r="164" spans="1:29" s="4" customFormat="1" ht="10.5" x14ac:dyDescent="0.25">
      <c r="A164" s="23">
        <v>46114</v>
      </c>
      <c r="B164" s="7" t="s">
        <v>261</v>
      </c>
      <c r="C164" s="7">
        <v>-1</v>
      </c>
      <c r="D164" s="10"/>
      <c r="E164" s="9"/>
      <c r="F164" s="7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7"/>
      <c r="X164" s="7"/>
      <c r="Y164" s="7"/>
      <c r="Z164" s="7"/>
      <c r="AA164" s="7"/>
      <c r="AB164" s="7"/>
      <c r="AC164" s="7"/>
    </row>
    <row r="165" spans="1:29" s="4" customFormat="1" ht="10.5" x14ac:dyDescent="0.25">
      <c r="A165" s="23">
        <v>46118</v>
      </c>
      <c r="B165" s="7" t="s">
        <v>228</v>
      </c>
      <c r="C165" s="7">
        <v>-1</v>
      </c>
      <c r="D165" s="10"/>
      <c r="E165" s="9"/>
      <c r="F165" s="7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7"/>
      <c r="X165" s="7"/>
      <c r="Y165" s="7"/>
      <c r="Z165" s="7"/>
      <c r="AA165" s="7"/>
      <c r="AB165" s="7"/>
      <c r="AC165" s="7"/>
    </row>
    <row r="166" spans="1:29" s="4" customFormat="1" ht="10.5" x14ac:dyDescent="0.25">
      <c r="A166" s="23">
        <v>46121</v>
      </c>
      <c r="B166" s="7" t="s">
        <v>282</v>
      </c>
      <c r="C166" s="7">
        <v>-1</v>
      </c>
      <c r="D166" s="10"/>
      <c r="E166" s="9"/>
      <c r="F166" s="7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7"/>
      <c r="X166" s="7"/>
      <c r="Y166" s="7"/>
      <c r="Z166" s="7"/>
      <c r="AA166" s="7"/>
      <c r="AB166" s="7"/>
      <c r="AC166" s="7"/>
    </row>
    <row r="167" spans="1:29" s="4" customFormat="1" ht="10.5" x14ac:dyDescent="0.25">
      <c r="A167" s="23">
        <v>46121</v>
      </c>
      <c r="B167" s="7" t="s">
        <v>283</v>
      </c>
      <c r="C167" s="7"/>
      <c r="D167" s="10"/>
      <c r="E167" s="9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7"/>
      <c r="X167" s="7"/>
      <c r="Y167" s="7">
        <v>10</v>
      </c>
      <c r="Z167" s="7"/>
      <c r="AA167" s="7"/>
      <c r="AB167" s="7"/>
      <c r="AC167" s="7"/>
    </row>
    <row r="168" spans="1:29" s="4" customFormat="1" ht="10.5" x14ac:dyDescent="0.25">
      <c r="A168" s="23">
        <v>46121</v>
      </c>
      <c r="B168" s="7" t="s">
        <v>206</v>
      </c>
      <c r="C168" s="7"/>
      <c r="D168" s="10"/>
      <c r="E168" s="9"/>
      <c r="F168" s="7"/>
      <c r="G168" s="9"/>
      <c r="H168" s="9"/>
      <c r="I168" s="9"/>
      <c r="J168" s="9"/>
      <c r="K168" s="9">
        <v>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7"/>
      <c r="X168" s="7"/>
      <c r="Y168" s="7"/>
      <c r="Z168" s="7"/>
      <c r="AA168" s="7"/>
      <c r="AB168" s="7"/>
      <c r="AC168" s="7"/>
    </row>
    <row r="169" spans="1:29" s="4" customFormat="1" ht="10.5" x14ac:dyDescent="0.25">
      <c r="A169" s="23">
        <v>46121</v>
      </c>
      <c r="B169" s="28" t="s">
        <v>243</v>
      </c>
      <c r="C169" s="10"/>
      <c r="D169" s="10"/>
      <c r="E169" s="9"/>
      <c r="F169" s="7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7"/>
      <c r="X169" s="7"/>
      <c r="Y169" s="7"/>
      <c r="Z169" s="7"/>
      <c r="AA169" s="7">
        <v>5</v>
      </c>
      <c r="AB169" s="7"/>
      <c r="AC169" s="7"/>
    </row>
    <row r="170" spans="1:29" s="4" customFormat="1" ht="10.5" x14ac:dyDescent="0.25">
      <c r="A170" s="23">
        <v>46126</v>
      </c>
      <c r="B170" s="7" t="s">
        <v>228</v>
      </c>
      <c r="C170" s="7">
        <v>-1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s="4" customFormat="1" ht="10.5" x14ac:dyDescent="0.25">
      <c r="A171" s="23">
        <v>46128</v>
      </c>
      <c r="B171" s="7" t="s">
        <v>208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>
        <v>3</v>
      </c>
      <c r="W171" s="7"/>
      <c r="X171" s="7"/>
      <c r="Y171" s="7"/>
      <c r="Z171" s="7"/>
      <c r="AA171" s="7"/>
      <c r="AB171" s="7"/>
      <c r="AC171" s="7"/>
    </row>
    <row r="172" spans="1:29" s="4" customFormat="1" ht="10.5" x14ac:dyDescent="0.25">
      <c r="A172" s="23">
        <v>46128</v>
      </c>
      <c r="B172" s="7" t="s">
        <v>206</v>
      </c>
      <c r="C172" s="7"/>
      <c r="D172" s="7"/>
      <c r="E172" s="7"/>
      <c r="F172" s="7"/>
      <c r="G172" s="7"/>
      <c r="H172" s="7"/>
      <c r="I172" s="7"/>
      <c r="J172" s="7"/>
      <c r="K172" s="7">
        <v>3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s="4" customFormat="1" ht="10.5" x14ac:dyDescent="0.25">
      <c r="A173" s="23">
        <v>46128</v>
      </c>
      <c r="B173" s="7" t="s">
        <v>227</v>
      </c>
      <c r="C173" s="7"/>
      <c r="D173" s="7"/>
      <c r="E173" s="7"/>
      <c r="F173" s="7"/>
      <c r="G173" s="7"/>
      <c r="H173" s="7"/>
      <c r="I173" s="7">
        <v>30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s="4" customFormat="1" ht="10.5" x14ac:dyDescent="0.25">
      <c r="A174" s="23">
        <v>46128</v>
      </c>
      <c r="B174" s="7" t="s">
        <v>288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>
        <v>5</v>
      </c>
    </row>
    <row r="175" spans="1:29" s="4" customFormat="1" ht="10.5" x14ac:dyDescent="0.25">
      <c r="A175" s="23">
        <v>46129</v>
      </c>
      <c r="B175" s="7" t="s">
        <v>261</v>
      </c>
      <c r="C175" s="7">
        <v>-1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s="4" customFormat="1" ht="10.5" x14ac:dyDescent="0.25">
      <c r="A176" s="23">
        <v>46132</v>
      </c>
      <c r="B176" s="7" t="s">
        <v>292</v>
      </c>
      <c r="C176" s="7"/>
      <c r="D176" s="7">
        <v>-0.5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30" s="4" customFormat="1" ht="10.5" x14ac:dyDescent="0.25">
      <c r="A177" s="23">
        <v>46133</v>
      </c>
      <c r="B177" s="7" t="s">
        <v>228</v>
      </c>
      <c r="C177" s="7">
        <v>-1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30" s="4" customFormat="1" ht="10.5" x14ac:dyDescent="0.25">
      <c r="A178" s="23">
        <v>46133</v>
      </c>
      <c r="B178" s="7" t="s">
        <v>190</v>
      </c>
      <c r="C178" s="7"/>
      <c r="D178" s="7"/>
      <c r="E178" s="7"/>
      <c r="F178" s="7"/>
      <c r="G178" s="7"/>
      <c r="H178" s="7"/>
      <c r="I178" s="7"/>
      <c r="J178" s="7"/>
      <c r="K178" s="7"/>
      <c r="L178" s="7">
        <v>12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30" s="4" customFormat="1" ht="10.5" x14ac:dyDescent="0.25">
      <c r="A179" s="23">
        <v>46140</v>
      </c>
      <c r="B179" s="7" t="s">
        <v>295</v>
      </c>
      <c r="C179" s="7">
        <v>-2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30" s="4" customFormat="1" ht="10.5" x14ac:dyDescent="0.25">
      <c r="A180" s="23">
        <v>46140</v>
      </c>
      <c r="B180" s="7" t="s">
        <v>296</v>
      </c>
      <c r="C180" s="7">
        <v>-0.5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30" s="4" customFormat="1" ht="10.5" x14ac:dyDescent="0.25">
      <c r="A181" s="23">
        <v>46140</v>
      </c>
      <c r="B181" s="7" t="s">
        <v>211</v>
      </c>
      <c r="C181" s="7"/>
      <c r="D181" s="7"/>
      <c r="E181" s="7"/>
      <c r="F181" s="7"/>
      <c r="G181" s="7">
        <v>-1</v>
      </c>
      <c r="H181" s="7"/>
      <c r="I181" s="7">
        <v>-29</v>
      </c>
      <c r="J181" s="7"/>
      <c r="K181" s="7">
        <v>-8</v>
      </c>
      <c r="L181" s="7">
        <v>-5</v>
      </c>
      <c r="M181" s="7">
        <v>-1</v>
      </c>
      <c r="N181" s="7"/>
      <c r="O181" s="7">
        <v>-4</v>
      </c>
      <c r="P181" s="7">
        <v>-3</v>
      </c>
      <c r="Q181" s="7"/>
      <c r="R181" s="7">
        <v>-2</v>
      </c>
      <c r="S181" s="7"/>
      <c r="T181" s="7"/>
      <c r="U181" s="7"/>
      <c r="V181" s="7">
        <v>-3</v>
      </c>
      <c r="W181" s="7">
        <v>-1</v>
      </c>
      <c r="X181" s="7"/>
      <c r="Y181" s="7">
        <v>-6.5</v>
      </c>
      <c r="Z181" s="7"/>
      <c r="AA181" s="7">
        <v>-5</v>
      </c>
      <c r="AB181" s="7"/>
      <c r="AC181" s="7">
        <v>-3</v>
      </c>
    </row>
    <row r="182" spans="1:30" s="4" customFormat="1" ht="10.5" x14ac:dyDescent="0.25">
      <c r="A182" s="2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30" s="4" customFormat="1" ht="10.5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30" s="4" customFormat="1" ht="10.5" x14ac:dyDescent="0.25">
      <c r="A184" s="20"/>
      <c r="B184" s="21" t="s">
        <v>25</v>
      </c>
      <c r="C184" s="22">
        <f t="shared" ref="C184:AC184" si="7">SUM(C163:C183)</f>
        <v>209.5</v>
      </c>
      <c r="D184" s="22">
        <f t="shared" si="7"/>
        <v>6</v>
      </c>
      <c r="E184" s="22">
        <f t="shared" si="7"/>
        <v>1</v>
      </c>
      <c r="F184" s="22">
        <f t="shared" si="7"/>
        <v>0</v>
      </c>
      <c r="G184" s="22">
        <f t="shared" si="7"/>
        <v>0</v>
      </c>
      <c r="H184" s="22">
        <f t="shared" si="7"/>
        <v>0</v>
      </c>
      <c r="I184" s="22">
        <f t="shared" si="7"/>
        <v>1</v>
      </c>
      <c r="J184" s="22">
        <f t="shared" si="7"/>
        <v>0</v>
      </c>
      <c r="K184" s="22">
        <f t="shared" si="7"/>
        <v>3</v>
      </c>
      <c r="L184" s="22">
        <f t="shared" si="7"/>
        <v>7</v>
      </c>
      <c r="M184" s="22">
        <f t="shared" si="7"/>
        <v>0.5</v>
      </c>
      <c r="N184" s="22">
        <f t="shared" si="7"/>
        <v>1</v>
      </c>
      <c r="O184" s="22">
        <f t="shared" si="7"/>
        <v>0</v>
      </c>
      <c r="P184" s="22">
        <f t="shared" si="7"/>
        <v>3</v>
      </c>
      <c r="Q184" s="22">
        <f t="shared" si="7"/>
        <v>0</v>
      </c>
      <c r="R184" s="22">
        <f t="shared" si="7"/>
        <v>1</v>
      </c>
      <c r="S184" s="22">
        <f t="shared" si="7"/>
        <v>1</v>
      </c>
      <c r="T184" s="22">
        <f t="shared" si="7"/>
        <v>0</v>
      </c>
      <c r="U184" s="22">
        <f t="shared" si="7"/>
        <v>0</v>
      </c>
      <c r="V184" s="22">
        <f t="shared" si="7"/>
        <v>0</v>
      </c>
      <c r="W184" s="22">
        <f t="shared" si="7"/>
        <v>0</v>
      </c>
      <c r="X184" s="22">
        <f t="shared" si="7"/>
        <v>0</v>
      </c>
      <c r="Y184" s="22">
        <f t="shared" si="7"/>
        <v>10</v>
      </c>
      <c r="Z184" s="22">
        <f t="shared" si="7"/>
        <v>2</v>
      </c>
      <c r="AA184" s="22">
        <f t="shared" si="7"/>
        <v>0</v>
      </c>
      <c r="AB184" s="22">
        <f t="shared" si="7"/>
        <v>0</v>
      </c>
      <c r="AC184" s="22">
        <f t="shared" si="7"/>
        <v>2</v>
      </c>
    </row>
    <row r="185" spans="1:30" s="4" customFormat="1" ht="10.5" x14ac:dyDescent="0.25">
      <c r="A185" s="17"/>
      <c r="B185" s="17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21"/>
      <c r="X185" s="21"/>
      <c r="Y185" s="21"/>
      <c r="Z185" s="21"/>
      <c r="AA185" s="21"/>
      <c r="AB185" s="21"/>
      <c r="AC185" s="21"/>
    </row>
    <row r="186" spans="1:30" s="4" customFormat="1" ht="10.5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8" spans="1:30" s="41" customFormat="1" ht="10.5" x14ac:dyDescent="0.25">
      <c r="A188" s="9"/>
      <c r="B188" s="9"/>
      <c r="C188" s="9" t="s">
        <v>148</v>
      </c>
      <c r="D188" s="9" t="s">
        <v>149</v>
      </c>
      <c r="E188" s="9" t="s">
        <v>150</v>
      </c>
      <c r="F188" s="9" t="s">
        <v>151</v>
      </c>
      <c r="G188" s="40" t="s">
        <v>152</v>
      </c>
      <c r="H188" s="40" t="s">
        <v>153</v>
      </c>
      <c r="I188" s="40" t="s">
        <v>154</v>
      </c>
      <c r="J188" s="40" t="s">
        <v>155</v>
      </c>
      <c r="K188" s="40" t="s">
        <v>156</v>
      </c>
      <c r="L188" s="40" t="s">
        <v>157</v>
      </c>
      <c r="M188" s="40" t="s">
        <v>158</v>
      </c>
      <c r="N188" s="40" t="s">
        <v>159</v>
      </c>
      <c r="O188" s="40" t="s">
        <v>160</v>
      </c>
      <c r="P188" s="40" t="s">
        <v>161</v>
      </c>
      <c r="Q188" s="40" t="s">
        <v>162</v>
      </c>
      <c r="R188" s="9" t="s">
        <v>163</v>
      </c>
      <c r="S188" s="9" t="s">
        <v>164</v>
      </c>
      <c r="T188" s="9" t="s">
        <v>165</v>
      </c>
      <c r="U188" s="9" t="s">
        <v>166</v>
      </c>
      <c r="V188" s="9" t="s">
        <v>209</v>
      </c>
      <c r="W188" s="40" t="s">
        <v>235</v>
      </c>
      <c r="X188" s="40" t="s">
        <v>236</v>
      </c>
      <c r="Y188" s="40" t="s">
        <v>237</v>
      </c>
      <c r="Z188" s="40" t="s">
        <v>238</v>
      </c>
      <c r="AA188" s="40" t="s">
        <v>242</v>
      </c>
      <c r="AB188" s="40" t="s">
        <v>245</v>
      </c>
      <c r="AC188" s="40" t="s">
        <v>289</v>
      </c>
      <c r="AD188" s="40" t="s">
        <v>311</v>
      </c>
    </row>
    <row r="189" spans="1:30" s="4" customFormat="1" ht="10.5" x14ac:dyDescent="0.25">
      <c r="A189" s="3">
        <v>46143</v>
      </c>
      <c r="B189" s="9" t="s">
        <v>0</v>
      </c>
      <c r="C189" s="10">
        <v>209.5</v>
      </c>
      <c r="D189" s="10">
        <v>6</v>
      </c>
      <c r="E189" s="9">
        <v>1</v>
      </c>
      <c r="F189" s="7">
        <v>0</v>
      </c>
      <c r="G189" s="9">
        <v>0</v>
      </c>
      <c r="H189" s="9">
        <v>0</v>
      </c>
      <c r="I189" s="9">
        <v>1</v>
      </c>
      <c r="J189" s="9">
        <v>0</v>
      </c>
      <c r="K189" s="9">
        <v>3</v>
      </c>
      <c r="L189" s="9">
        <v>7</v>
      </c>
      <c r="M189" s="9">
        <v>0.5</v>
      </c>
      <c r="N189" s="9">
        <v>1</v>
      </c>
      <c r="O189" s="9">
        <v>0</v>
      </c>
      <c r="P189" s="9">
        <v>3</v>
      </c>
      <c r="Q189" s="9">
        <v>0</v>
      </c>
      <c r="R189" s="9">
        <v>1</v>
      </c>
      <c r="S189" s="9">
        <v>1</v>
      </c>
      <c r="T189" s="9">
        <v>0</v>
      </c>
      <c r="U189" s="9">
        <v>0</v>
      </c>
      <c r="V189" s="9">
        <v>0</v>
      </c>
      <c r="W189" s="7">
        <v>0</v>
      </c>
      <c r="X189" s="7">
        <v>0</v>
      </c>
      <c r="Y189" s="7">
        <v>10</v>
      </c>
      <c r="Z189" s="7">
        <v>2</v>
      </c>
      <c r="AA189" s="7">
        <v>0</v>
      </c>
      <c r="AB189" s="7">
        <v>0</v>
      </c>
      <c r="AC189" s="7">
        <v>2</v>
      </c>
      <c r="AD189" s="7">
        <v>0</v>
      </c>
    </row>
    <row r="190" spans="1:30" s="4" customFormat="1" ht="10.5" x14ac:dyDescent="0.25">
      <c r="A190" s="23">
        <v>46146</v>
      </c>
      <c r="B190" s="28" t="s">
        <v>298</v>
      </c>
      <c r="C190" s="38"/>
      <c r="D190" s="38">
        <v>-0.25</v>
      </c>
      <c r="E190" s="28"/>
      <c r="F190" s="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7"/>
      <c r="X190" s="7"/>
      <c r="Y190" s="7"/>
      <c r="Z190" s="7"/>
      <c r="AA190" s="7"/>
      <c r="AB190" s="7"/>
      <c r="AC190" s="7"/>
      <c r="AD190" s="7"/>
    </row>
    <row r="191" spans="1:30" s="4" customFormat="1" ht="10.5" x14ac:dyDescent="0.25">
      <c r="A191" s="23">
        <v>46148</v>
      </c>
      <c r="B191" s="28" t="s">
        <v>243</v>
      </c>
      <c r="C191" s="38"/>
      <c r="D191" s="38"/>
      <c r="E191" s="28"/>
      <c r="F191" s="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7"/>
      <c r="X191" s="7"/>
      <c r="Y191" s="7"/>
      <c r="Z191" s="7"/>
      <c r="AA191" s="7">
        <v>6</v>
      </c>
      <c r="AB191" s="7"/>
      <c r="AC191" s="7"/>
      <c r="AD191" s="7"/>
    </row>
    <row r="192" spans="1:30" s="4" customFormat="1" ht="10.5" x14ac:dyDescent="0.25">
      <c r="A192" s="23">
        <v>46148</v>
      </c>
      <c r="B192" s="28" t="s">
        <v>206</v>
      </c>
      <c r="C192" s="38"/>
      <c r="D192" s="38"/>
      <c r="E192" s="28"/>
      <c r="F192" s="7"/>
      <c r="G192" s="28"/>
      <c r="H192" s="28"/>
      <c r="I192" s="28"/>
      <c r="J192" s="28"/>
      <c r="K192" s="28">
        <v>6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7"/>
      <c r="X192" s="7"/>
      <c r="Y192" s="7"/>
      <c r="Z192" s="7"/>
      <c r="AA192" s="7"/>
      <c r="AB192" s="7"/>
      <c r="AC192" s="7"/>
      <c r="AD192" s="7"/>
    </row>
    <row r="193" spans="1:30" s="4" customFormat="1" ht="10.5" x14ac:dyDescent="0.25">
      <c r="A193" s="23">
        <v>46148</v>
      </c>
      <c r="B193" s="28" t="s">
        <v>228</v>
      </c>
      <c r="C193" s="38">
        <v>-1</v>
      </c>
      <c r="D193" s="38"/>
      <c r="E193" s="28"/>
      <c r="F193" s="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7"/>
      <c r="X193" s="7"/>
      <c r="Y193" s="7"/>
      <c r="Z193" s="7"/>
      <c r="AA193" s="7"/>
      <c r="AB193" s="7"/>
      <c r="AC193" s="7"/>
      <c r="AD193" s="7"/>
    </row>
    <row r="194" spans="1:30" s="4" customFormat="1" ht="10.5" x14ac:dyDescent="0.25">
      <c r="A194" s="23">
        <v>46151</v>
      </c>
      <c r="B194" s="28" t="s">
        <v>261</v>
      </c>
      <c r="C194" s="38">
        <v>-1</v>
      </c>
      <c r="D194" s="38"/>
      <c r="E194" s="28"/>
      <c r="F194" s="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7"/>
      <c r="X194" s="7"/>
      <c r="Y194" s="7"/>
      <c r="Z194" s="7"/>
      <c r="AA194" s="7"/>
      <c r="AB194" s="7"/>
      <c r="AC194" s="7"/>
      <c r="AD194" s="7"/>
    </row>
    <row r="195" spans="1:30" s="4" customFormat="1" ht="10.5" x14ac:dyDescent="0.25">
      <c r="A195" s="23">
        <v>46152</v>
      </c>
      <c r="B195" s="28" t="s">
        <v>298</v>
      </c>
      <c r="C195" s="38"/>
      <c r="D195" s="38">
        <v>-0.25</v>
      </c>
      <c r="E195" s="28"/>
      <c r="F195" s="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7"/>
      <c r="X195" s="7"/>
      <c r="Y195" s="7"/>
      <c r="Z195" s="7"/>
      <c r="AA195" s="7"/>
      <c r="AB195" s="7"/>
      <c r="AC195" s="7"/>
      <c r="AD195" s="7"/>
    </row>
    <row r="196" spans="1:30" s="4" customFormat="1" ht="10.5" x14ac:dyDescent="0.25">
      <c r="A196" s="23">
        <v>46156</v>
      </c>
      <c r="B196" s="28" t="s">
        <v>228</v>
      </c>
      <c r="C196" s="38">
        <v>-1</v>
      </c>
      <c r="D196" s="38"/>
      <c r="E196" s="28"/>
      <c r="F196" s="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7"/>
      <c r="X196" s="7"/>
      <c r="Y196" s="7"/>
      <c r="Z196" s="7"/>
      <c r="AA196" s="7"/>
      <c r="AB196" s="7"/>
      <c r="AC196" s="7"/>
      <c r="AD196" s="7"/>
    </row>
    <row r="197" spans="1:30" s="4" customFormat="1" ht="10.5" x14ac:dyDescent="0.25">
      <c r="A197" s="23">
        <v>46158</v>
      </c>
      <c r="B197" s="28" t="s">
        <v>227</v>
      </c>
      <c r="C197" s="38"/>
      <c r="D197" s="38"/>
      <c r="E197" s="28"/>
      <c r="F197" s="7"/>
      <c r="G197" s="28"/>
      <c r="H197" s="28"/>
      <c r="I197" s="28">
        <v>32</v>
      </c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7"/>
      <c r="X197" s="7"/>
      <c r="Y197" s="7"/>
      <c r="Z197" s="7"/>
      <c r="AA197" s="7"/>
      <c r="AB197" s="7"/>
      <c r="AC197" s="7"/>
      <c r="AD197" s="7"/>
    </row>
    <row r="198" spans="1:30" s="4" customFormat="1" ht="10.5" x14ac:dyDescent="0.25">
      <c r="A198" s="23">
        <v>46158</v>
      </c>
      <c r="B198" s="28" t="s">
        <v>206</v>
      </c>
      <c r="C198" s="38"/>
      <c r="D198" s="38"/>
      <c r="E198" s="28"/>
      <c r="F198" s="7"/>
      <c r="G198" s="28"/>
      <c r="H198" s="28"/>
      <c r="I198" s="28"/>
      <c r="J198" s="28"/>
      <c r="K198" s="28">
        <v>3</v>
      </c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7"/>
      <c r="X198" s="7"/>
      <c r="Y198" s="7"/>
      <c r="Z198" s="7"/>
      <c r="AA198" s="7"/>
      <c r="AB198" s="7"/>
      <c r="AC198" s="7"/>
      <c r="AD198" s="7"/>
    </row>
    <row r="199" spans="1:30" s="4" customFormat="1" ht="10.5" x14ac:dyDescent="0.25">
      <c r="A199" s="23">
        <v>46158</v>
      </c>
      <c r="B199" s="7" t="s">
        <v>167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>
        <v>4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s="4" customFormat="1" ht="10.5" x14ac:dyDescent="0.25">
      <c r="A200" s="23">
        <v>46161</v>
      </c>
      <c r="B200" s="28" t="s">
        <v>212</v>
      </c>
      <c r="C200" s="7">
        <v>-2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s="4" customFormat="1" ht="10.5" x14ac:dyDescent="0.25">
      <c r="A201" s="23">
        <v>46163</v>
      </c>
      <c r="B201" s="28" t="s">
        <v>303</v>
      </c>
      <c r="C201" s="7"/>
      <c r="D201" s="7">
        <v>-0.5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s="4" customFormat="1" ht="10.5" x14ac:dyDescent="0.25">
      <c r="A202" s="23">
        <v>46163</v>
      </c>
      <c r="B202" s="28" t="s">
        <v>310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>
        <v>3</v>
      </c>
    </row>
    <row r="203" spans="1:30" s="4" customFormat="1" ht="10.5" x14ac:dyDescent="0.25">
      <c r="A203" s="23">
        <v>46163</v>
      </c>
      <c r="B203" s="28" t="s">
        <v>317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>
        <v>12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s="4" customFormat="1" ht="10.5" x14ac:dyDescent="0.25">
      <c r="A204" s="23">
        <v>46164</v>
      </c>
      <c r="B204" s="28" t="s">
        <v>189</v>
      </c>
      <c r="C204" s="7"/>
      <c r="D204" s="7"/>
      <c r="E204" s="7">
        <v>12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s="4" customFormat="1" ht="10.5" x14ac:dyDescent="0.25">
      <c r="A205" s="23">
        <v>46165</v>
      </c>
      <c r="B205" s="28" t="s">
        <v>303</v>
      </c>
      <c r="C205" s="7"/>
      <c r="D205" s="7">
        <v>-0.5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s="4" customFormat="1" ht="10.5" x14ac:dyDescent="0.25">
      <c r="A206" s="23">
        <v>46169</v>
      </c>
      <c r="B206" s="4" t="s">
        <v>176</v>
      </c>
      <c r="C206" s="7"/>
      <c r="D206" s="7"/>
      <c r="E206" s="7"/>
      <c r="F206" s="7"/>
      <c r="G206" s="7"/>
      <c r="H206" s="7"/>
      <c r="I206" s="7"/>
      <c r="J206" s="7">
        <v>12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s="4" customFormat="1" ht="10.5" x14ac:dyDescent="0.25">
      <c r="A207" s="23">
        <v>46170</v>
      </c>
      <c r="B207" s="28" t="s">
        <v>212</v>
      </c>
      <c r="C207" s="7">
        <v>-2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s="4" customFormat="1" ht="10.5" x14ac:dyDescent="0.25">
      <c r="A208" s="23">
        <v>46173</v>
      </c>
      <c r="B208" s="28" t="s">
        <v>305</v>
      </c>
      <c r="C208" s="7"/>
      <c r="D208" s="7"/>
      <c r="E208" s="7">
        <v>-7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1" s="4" customFormat="1" ht="10.5" x14ac:dyDescent="0.25">
      <c r="A209" s="23">
        <v>46173</v>
      </c>
      <c r="B209" s="28" t="s">
        <v>306</v>
      </c>
      <c r="C209" s="7"/>
      <c r="D209" s="7"/>
      <c r="E209" s="7"/>
      <c r="F209" s="7"/>
      <c r="G209" s="7"/>
      <c r="H209" s="7"/>
      <c r="I209" s="7"/>
      <c r="J209" s="7"/>
      <c r="K209" s="7"/>
      <c r="L209" s="7">
        <v>-4.5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1" s="4" customFormat="1" ht="10.5" x14ac:dyDescent="0.25">
      <c r="A210" s="23">
        <v>46173</v>
      </c>
      <c r="B210" s="28" t="s">
        <v>307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>
        <v>-6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1" s="4" customFormat="1" ht="10.5" x14ac:dyDescent="0.25">
      <c r="A211" s="23">
        <v>46173</v>
      </c>
      <c r="B211" s="28" t="s">
        <v>308</v>
      </c>
      <c r="C211" s="7"/>
      <c r="D211" s="7"/>
      <c r="E211" s="7"/>
      <c r="F211" s="7"/>
      <c r="G211" s="7"/>
      <c r="H211" s="7"/>
      <c r="I211" s="7"/>
      <c r="J211" s="7"/>
      <c r="K211" s="7">
        <v>-9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1" s="4" customFormat="1" ht="10.5" x14ac:dyDescent="0.25">
      <c r="A212" s="23">
        <v>46173</v>
      </c>
      <c r="B212" s="28" t="s">
        <v>309</v>
      </c>
      <c r="C212" s="7"/>
      <c r="D212" s="7"/>
      <c r="E212" s="7"/>
      <c r="F212" s="7"/>
      <c r="G212" s="7"/>
      <c r="H212" s="7"/>
      <c r="I212" s="7">
        <v>-28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1" s="4" customFormat="1" ht="10.5" x14ac:dyDescent="0.25">
      <c r="A213" s="23">
        <v>46173</v>
      </c>
      <c r="B213" s="28" t="s">
        <v>312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>
        <v>-0.5</v>
      </c>
    </row>
    <row r="214" spans="1:31" s="4" customFormat="1" ht="10.5" x14ac:dyDescent="0.25">
      <c r="A214" s="23"/>
      <c r="B214" s="2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1" s="4" customFormat="1" ht="10.5" x14ac:dyDescent="0.25">
      <c r="A215" s="23"/>
      <c r="B215" s="2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1" s="4" customFormat="1" ht="10.5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1" s="4" customFormat="1" ht="10.5" x14ac:dyDescent="0.25">
      <c r="A217" s="20"/>
      <c r="B217" s="21" t="s">
        <v>25</v>
      </c>
      <c r="C217" s="22">
        <f t="shared" ref="C217:AD217" si="8">SUM(C189:C216)</f>
        <v>202.5</v>
      </c>
      <c r="D217" s="22">
        <f t="shared" si="8"/>
        <v>4.5</v>
      </c>
      <c r="E217" s="22">
        <f t="shared" si="8"/>
        <v>6</v>
      </c>
      <c r="F217" s="22">
        <f t="shared" si="8"/>
        <v>0</v>
      </c>
      <c r="G217" s="22">
        <f t="shared" si="8"/>
        <v>0</v>
      </c>
      <c r="H217" s="22">
        <f t="shared" si="8"/>
        <v>0</v>
      </c>
      <c r="I217" s="22">
        <f t="shared" si="8"/>
        <v>5</v>
      </c>
      <c r="J217" s="22">
        <f t="shared" si="8"/>
        <v>12</v>
      </c>
      <c r="K217" s="22">
        <f t="shared" si="8"/>
        <v>3</v>
      </c>
      <c r="L217" s="22">
        <f t="shared" si="8"/>
        <v>2.5</v>
      </c>
      <c r="M217" s="22">
        <f t="shared" si="8"/>
        <v>0.5</v>
      </c>
      <c r="N217" s="22">
        <f t="shared" si="8"/>
        <v>13</v>
      </c>
      <c r="O217" s="22">
        <f t="shared" si="8"/>
        <v>0</v>
      </c>
      <c r="P217" s="22">
        <f t="shared" si="8"/>
        <v>1</v>
      </c>
      <c r="Q217" s="22">
        <f t="shared" si="8"/>
        <v>0</v>
      </c>
      <c r="R217" s="22">
        <f t="shared" si="8"/>
        <v>1</v>
      </c>
      <c r="S217" s="22">
        <f t="shared" si="8"/>
        <v>1</v>
      </c>
      <c r="T217" s="22">
        <f t="shared" si="8"/>
        <v>0</v>
      </c>
      <c r="U217" s="22">
        <f t="shared" si="8"/>
        <v>0</v>
      </c>
      <c r="V217" s="22">
        <f t="shared" si="8"/>
        <v>0</v>
      </c>
      <c r="W217" s="22">
        <f t="shared" si="8"/>
        <v>0</v>
      </c>
      <c r="X217" s="22">
        <f t="shared" si="8"/>
        <v>0</v>
      </c>
      <c r="Y217" s="22">
        <f t="shared" si="8"/>
        <v>10</v>
      </c>
      <c r="Z217" s="22">
        <f t="shared" si="8"/>
        <v>2</v>
      </c>
      <c r="AA217" s="22">
        <f t="shared" si="8"/>
        <v>6</v>
      </c>
      <c r="AB217" s="22">
        <f t="shared" si="8"/>
        <v>0</v>
      </c>
      <c r="AC217" s="22">
        <f t="shared" si="8"/>
        <v>2</v>
      </c>
      <c r="AD217" s="22">
        <f t="shared" si="8"/>
        <v>2.5</v>
      </c>
    </row>
    <row r="218" spans="1:31" s="4" customFormat="1" ht="10.5" x14ac:dyDescent="0.25">
      <c r="A218" s="17"/>
      <c r="B218" s="17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21"/>
      <c r="X218" s="21"/>
      <c r="Y218" s="21"/>
      <c r="Z218" s="21"/>
      <c r="AA218" s="21"/>
      <c r="AB218" s="21"/>
      <c r="AC218" s="21"/>
      <c r="AD218" s="21"/>
    </row>
    <row r="219" spans="1:31" s="4" customFormat="1" ht="10.5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1" spans="1:31" s="41" customFormat="1" ht="10.5" x14ac:dyDescent="0.25">
      <c r="A221" s="9"/>
      <c r="B221" s="9"/>
      <c r="C221" s="9" t="s">
        <v>148</v>
      </c>
      <c r="D221" s="9" t="s">
        <v>149</v>
      </c>
      <c r="E221" s="9" t="s">
        <v>150</v>
      </c>
      <c r="F221" s="9" t="s">
        <v>151</v>
      </c>
      <c r="G221" s="40" t="s">
        <v>152</v>
      </c>
      <c r="H221" s="40" t="s">
        <v>153</v>
      </c>
      <c r="I221" s="40" t="s">
        <v>154</v>
      </c>
      <c r="J221" s="40" t="s">
        <v>155</v>
      </c>
      <c r="K221" s="40" t="s">
        <v>156</v>
      </c>
      <c r="L221" s="40" t="s">
        <v>157</v>
      </c>
      <c r="M221" s="40" t="s">
        <v>158</v>
      </c>
      <c r="N221" s="40" t="s">
        <v>159</v>
      </c>
      <c r="O221" s="40" t="s">
        <v>160</v>
      </c>
      <c r="P221" s="40" t="s">
        <v>161</v>
      </c>
      <c r="Q221" s="40" t="s">
        <v>162</v>
      </c>
      <c r="R221" s="9" t="s">
        <v>163</v>
      </c>
      <c r="S221" s="9" t="s">
        <v>164</v>
      </c>
      <c r="T221" s="9" t="s">
        <v>165</v>
      </c>
      <c r="U221" s="9" t="s">
        <v>166</v>
      </c>
      <c r="V221" s="9" t="s">
        <v>209</v>
      </c>
      <c r="W221" s="40" t="s">
        <v>235</v>
      </c>
      <c r="X221" s="40" t="s">
        <v>236</v>
      </c>
      <c r="Y221" s="40" t="s">
        <v>237</v>
      </c>
      <c r="Z221" s="40" t="s">
        <v>238</v>
      </c>
      <c r="AA221" s="40" t="s">
        <v>242</v>
      </c>
      <c r="AB221" s="40" t="s">
        <v>245</v>
      </c>
      <c r="AC221" s="40" t="s">
        <v>289</v>
      </c>
      <c r="AD221" s="45" t="s">
        <v>311</v>
      </c>
      <c r="AE221" s="46" t="s">
        <v>319</v>
      </c>
    </row>
    <row r="222" spans="1:31" s="4" customFormat="1" ht="10.5" x14ac:dyDescent="0.25">
      <c r="A222" s="3">
        <v>46174</v>
      </c>
      <c r="B222" s="9" t="s">
        <v>0</v>
      </c>
      <c r="C222" s="10">
        <v>202.5</v>
      </c>
      <c r="D222" s="10">
        <v>4.5</v>
      </c>
      <c r="E222" s="9">
        <v>6</v>
      </c>
      <c r="F222" s="7">
        <v>0</v>
      </c>
      <c r="G222" s="9">
        <v>0</v>
      </c>
      <c r="H222" s="9">
        <v>0</v>
      </c>
      <c r="I222" s="9">
        <v>5</v>
      </c>
      <c r="J222" s="9">
        <v>12</v>
      </c>
      <c r="K222" s="9">
        <v>3</v>
      </c>
      <c r="L222" s="9">
        <v>2.5</v>
      </c>
      <c r="M222" s="9">
        <v>0.5</v>
      </c>
      <c r="N222" s="9">
        <v>13</v>
      </c>
      <c r="O222" s="9">
        <v>0</v>
      </c>
      <c r="P222" s="9">
        <v>1</v>
      </c>
      <c r="Q222" s="9">
        <v>0</v>
      </c>
      <c r="R222" s="9">
        <v>1</v>
      </c>
      <c r="S222" s="9">
        <v>1</v>
      </c>
      <c r="T222" s="9">
        <v>0</v>
      </c>
      <c r="U222" s="9">
        <v>0</v>
      </c>
      <c r="V222" s="9">
        <v>0</v>
      </c>
      <c r="W222" s="7">
        <v>0</v>
      </c>
      <c r="X222" s="7">
        <v>0</v>
      </c>
      <c r="Y222" s="7">
        <v>10</v>
      </c>
      <c r="Z222" s="7">
        <v>2</v>
      </c>
      <c r="AA222" s="7">
        <v>0</v>
      </c>
      <c r="AB222" s="7">
        <v>0</v>
      </c>
      <c r="AC222" s="7">
        <v>2</v>
      </c>
      <c r="AD222" s="28">
        <v>2.5</v>
      </c>
      <c r="AE222" s="28"/>
    </row>
    <row r="223" spans="1:31" s="4" customFormat="1" ht="10.5" x14ac:dyDescent="0.25">
      <c r="A223" s="23">
        <v>46174</v>
      </c>
      <c r="B223" s="28" t="s">
        <v>228</v>
      </c>
      <c r="C223" s="7">
        <v>-1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28"/>
      <c r="AE223" s="28"/>
    </row>
    <row r="224" spans="1:31" s="4" customFormat="1" ht="10.5" x14ac:dyDescent="0.25">
      <c r="A224" s="23">
        <v>46174</v>
      </c>
      <c r="B224" s="28" t="s">
        <v>308</v>
      </c>
      <c r="C224" s="7"/>
      <c r="D224" s="7"/>
      <c r="E224" s="7"/>
      <c r="F224" s="7"/>
      <c r="G224" s="7"/>
      <c r="H224" s="7"/>
      <c r="I224" s="7"/>
      <c r="J224" s="7"/>
      <c r="K224" s="7">
        <v>-2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28"/>
      <c r="AE224" s="28"/>
    </row>
    <row r="225" spans="1:31" s="4" customFormat="1" ht="10.5" x14ac:dyDescent="0.25">
      <c r="A225" s="23">
        <v>46182</v>
      </c>
      <c r="B225" s="28" t="s">
        <v>261</v>
      </c>
      <c r="C225" s="7">
        <v>-1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28"/>
      <c r="AE225" s="28"/>
    </row>
    <row r="226" spans="1:31" s="4" customFormat="1" ht="10.5" x14ac:dyDescent="0.25">
      <c r="A226" s="23">
        <v>46184</v>
      </c>
      <c r="B226" s="28" t="s">
        <v>316</v>
      </c>
      <c r="C226" s="7">
        <v>-1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28"/>
      <c r="AE226" s="28"/>
    </row>
    <row r="227" spans="1:31" s="4" customFormat="1" ht="10.5" x14ac:dyDescent="0.25">
      <c r="A227" s="23">
        <v>46184</v>
      </c>
      <c r="B227" s="28" t="s">
        <v>325</v>
      </c>
      <c r="C227" s="7"/>
      <c r="D227" s="7">
        <v>-0.5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28"/>
      <c r="AE227" s="28"/>
    </row>
    <row r="228" spans="1:31" s="4" customFormat="1" ht="10.5" x14ac:dyDescent="0.25">
      <c r="A228" s="23">
        <v>46186</v>
      </c>
      <c r="B228" s="28" t="s">
        <v>206</v>
      </c>
      <c r="C228" s="7"/>
      <c r="D228" s="7"/>
      <c r="E228" s="7"/>
      <c r="F228" s="7"/>
      <c r="G228" s="7"/>
      <c r="H228" s="7"/>
      <c r="I228" s="7"/>
      <c r="J228" s="7"/>
      <c r="K228" s="7">
        <v>6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28"/>
      <c r="AE228" s="28"/>
    </row>
    <row r="229" spans="1:31" s="4" customFormat="1" ht="10.5" x14ac:dyDescent="0.25">
      <c r="A229" s="23">
        <v>46186</v>
      </c>
      <c r="B229" s="28" t="s">
        <v>167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>
        <v>4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28"/>
      <c r="AE229" s="28"/>
    </row>
    <row r="230" spans="1:31" s="4" customFormat="1" ht="10.5" x14ac:dyDescent="0.25">
      <c r="A230" s="23">
        <v>46186</v>
      </c>
      <c r="B230" s="28" t="s">
        <v>227</v>
      </c>
      <c r="C230" s="7"/>
      <c r="D230" s="7"/>
      <c r="E230" s="7"/>
      <c r="F230" s="7"/>
      <c r="G230" s="7"/>
      <c r="H230" s="7"/>
      <c r="I230" s="7">
        <v>56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28"/>
      <c r="AE230" s="28"/>
    </row>
    <row r="231" spans="1:31" s="4" customFormat="1" ht="10.5" x14ac:dyDescent="0.25">
      <c r="A231" s="23">
        <v>46188</v>
      </c>
      <c r="B231" s="28" t="s">
        <v>190</v>
      </c>
      <c r="C231" s="7"/>
      <c r="D231" s="7"/>
      <c r="E231" s="7"/>
      <c r="F231" s="7"/>
      <c r="G231" s="7"/>
      <c r="H231" s="7"/>
      <c r="I231" s="7"/>
      <c r="J231" s="7"/>
      <c r="K231" s="7"/>
      <c r="L231" s="7">
        <v>12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28"/>
      <c r="AE231" s="28"/>
    </row>
    <row r="232" spans="1:31" s="4" customFormat="1" ht="10.5" x14ac:dyDescent="0.25">
      <c r="A232" s="23">
        <v>46188</v>
      </c>
      <c r="B232" s="28" t="s">
        <v>324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>
        <v>-1</v>
      </c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28"/>
      <c r="AE232" s="28"/>
    </row>
    <row r="233" spans="1:31" s="4" customFormat="1" ht="10.5" x14ac:dyDescent="0.25">
      <c r="A233" s="23">
        <v>46191</v>
      </c>
      <c r="B233" s="28" t="s">
        <v>316</v>
      </c>
      <c r="C233" s="7">
        <v>-1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28"/>
      <c r="AE233" s="28"/>
    </row>
    <row r="234" spans="1:31" s="4" customFormat="1" ht="10.5" x14ac:dyDescent="0.25">
      <c r="A234" s="23">
        <v>46191</v>
      </c>
      <c r="B234" s="28" t="s">
        <v>306</v>
      </c>
      <c r="C234" s="7"/>
      <c r="D234" s="7"/>
      <c r="E234" s="7"/>
      <c r="F234" s="7"/>
      <c r="G234" s="7"/>
      <c r="H234" s="7"/>
      <c r="I234" s="7"/>
      <c r="J234" s="7"/>
      <c r="K234" s="7"/>
      <c r="L234" s="7">
        <v>-13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28"/>
      <c r="AE234" s="28"/>
    </row>
    <row r="235" spans="1:31" s="4" customFormat="1" ht="10.5" x14ac:dyDescent="0.25">
      <c r="A235" s="23">
        <v>46195</v>
      </c>
      <c r="B235" s="28" t="s">
        <v>185</v>
      </c>
      <c r="C235" s="7"/>
      <c r="D235" s="7"/>
      <c r="E235" s="7"/>
      <c r="F235" s="7"/>
      <c r="G235" s="7"/>
      <c r="H235" s="7"/>
      <c r="I235" s="7"/>
      <c r="J235" s="7">
        <v>-12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28"/>
      <c r="AE235" s="28"/>
    </row>
    <row r="236" spans="1:31" s="4" customFormat="1" ht="10.5" x14ac:dyDescent="0.25">
      <c r="A236" s="23">
        <v>46198</v>
      </c>
      <c r="B236" s="28" t="s">
        <v>318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28"/>
      <c r="AE236" s="28">
        <v>10</v>
      </c>
    </row>
    <row r="237" spans="1:31" s="4" customFormat="1" ht="10.5" x14ac:dyDescent="0.25">
      <c r="A237" s="23">
        <v>46199</v>
      </c>
      <c r="B237" s="28" t="s">
        <v>316</v>
      </c>
      <c r="C237" s="7">
        <v>-1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28"/>
      <c r="AE237" s="28"/>
    </row>
    <row r="238" spans="1:31" s="4" customFormat="1" ht="10.5" x14ac:dyDescent="0.25">
      <c r="A238" s="23">
        <v>46200</v>
      </c>
      <c r="B238" s="28" t="s">
        <v>318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28"/>
      <c r="AE238" s="28">
        <v>15</v>
      </c>
    </row>
    <row r="239" spans="1:31" s="4" customFormat="1" ht="10.5" x14ac:dyDescent="0.25">
      <c r="A239" s="23">
        <v>46200</v>
      </c>
      <c r="B239" s="28" t="s">
        <v>308</v>
      </c>
      <c r="C239" s="7"/>
      <c r="D239" s="7"/>
      <c r="E239" s="7"/>
      <c r="F239" s="7"/>
      <c r="G239" s="7"/>
      <c r="H239" s="7"/>
      <c r="I239" s="7"/>
      <c r="J239" s="7"/>
      <c r="K239" s="7">
        <v>-4.5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28"/>
      <c r="AE239" s="28"/>
    </row>
    <row r="240" spans="1:31" s="4" customFormat="1" ht="10.5" x14ac:dyDescent="0.25">
      <c r="A240" s="23">
        <v>46203</v>
      </c>
      <c r="B240" s="28" t="s">
        <v>322</v>
      </c>
      <c r="C240" s="7"/>
      <c r="D240" s="7"/>
      <c r="E240" s="7"/>
      <c r="F240" s="7"/>
      <c r="G240" s="7"/>
      <c r="H240" s="7"/>
      <c r="I240" s="7">
        <v>-53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28"/>
      <c r="AE240" s="28"/>
    </row>
    <row r="241" spans="1:31" s="4" customFormat="1" ht="10.5" x14ac:dyDescent="0.25">
      <c r="A241" s="23">
        <v>46203</v>
      </c>
      <c r="B241" s="28" t="s">
        <v>323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>
        <v>-0.5</v>
      </c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28"/>
      <c r="AE241" s="28"/>
    </row>
    <row r="242" spans="1:31" s="4" customFormat="1" ht="10.5" x14ac:dyDescent="0.25">
      <c r="A242" s="23">
        <v>46203</v>
      </c>
      <c r="B242" s="28" t="s">
        <v>323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28"/>
      <c r="AE242" s="28">
        <v>-20</v>
      </c>
    </row>
    <row r="243" spans="1:31" s="4" customFormat="1" ht="10.5" x14ac:dyDescent="0.25">
      <c r="A243" s="23">
        <v>46203</v>
      </c>
      <c r="B243" s="28" t="s">
        <v>312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28">
        <v>-1</v>
      </c>
      <c r="AE243" s="28"/>
    </row>
    <row r="244" spans="1:31" s="4" customFormat="1" ht="10.5" x14ac:dyDescent="0.25">
      <c r="A244" s="23"/>
      <c r="B244" s="2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28"/>
      <c r="AE244" s="28"/>
    </row>
    <row r="245" spans="1:31" s="4" customFormat="1" ht="10.5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28"/>
      <c r="AE245" s="28"/>
    </row>
    <row r="246" spans="1:31" s="4" customFormat="1" ht="10.5" x14ac:dyDescent="0.25">
      <c r="A246" s="20"/>
      <c r="B246" s="21" t="s">
        <v>25</v>
      </c>
      <c r="C246" s="22">
        <f t="shared" ref="C246:AE246" si="9">SUM(C222:C245)</f>
        <v>197.5</v>
      </c>
      <c r="D246" s="22">
        <f t="shared" si="9"/>
        <v>4</v>
      </c>
      <c r="E246" s="22">
        <f t="shared" si="9"/>
        <v>6</v>
      </c>
      <c r="F246" s="22">
        <f t="shared" si="9"/>
        <v>0</v>
      </c>
      <c r="G246" s="22">
        <f t="shared" si="9"/>
        <v>0</v>
      </c>
      <c r="H246" s="22">
        <f t="shared" si="9"/>
        <v>0</v>
      </c>
      <c r="I246" s="22">
        <f t="shared" si="9"/>
        <v>8</v>
      </c>
      <c r="J246" s="22">
        <f t="shared" si="9"/>
        <v>0</v>
      </c>
      <c r="K246" s="22">
        <f t="shared" si="9"/>
        <v>2.5</v>
      </c>
      <c r="L246" s="22">
        <f t="shared" si="9"/>
        <v>1.5</v>
      </c>
      <c r="M246" s="22">
        <f t="shared" si="9"/>
        <v>0.5</v>
      </c>
      <c r="N246" s="22">
        <f t="shared" si="9"/>
        <v>13</v>
      </c>
      <c r="O246" s="22">
        <f t="shared" si="9"/>
        <v>0</v>
      </c>
      <c r="P246" s="22">
        <f t="shared" si="9"/>
        <v>5</v>
      </c>
      <c r="Q246" s="22">
        <f t="shared" si="9"/>
        <v>0</v>
      </c>
      <c r="R246" s="22">
        <f t="shared" si="9"/>
        <v>0.5</v>
      </c>
      <c r="S246" s="22">
        <f t="shared" si="9"/>
        <v>0</v>
      </c>
      <c r="T246" s="22">
        <f t="shared" si="9"/>
        <v>0</v>
      </c>
      <c r="U246" s="22">
        <f t="shared" si="9"/>
        <v>0</v>
      </c>
      <c r="V246" s="22">
        <f t="shared" si="9"/>
        <v>0</v>
      </c>
      <c r="W246" s="22">
        <f t="shared" si="9"/>
        <v>0</v>
      </c>
      <c r="X246" s="22">
        <f t="shared" si="9"/>
        <v>0</v>
      </c>
      <c r="Y246" s="22">
        <f t="shared" si="9"/>
        <v>10</v>
      </c>
      <c r="Z246" s="22">
        <f t="shared" si="9"/>
        <v>2</v>
      </c>
      <c r="AA246" s="22">
        <f t="shared" si="9"/>
        <v>0</v>
      </c>
      <c r="AB246" s="22">
        <f t="shared" si="9"/>
        <v>0</v>
      </c>
      <c r="AC246" s="22">
        <f t="shared" si="9"/>
        <v>2</v>
      </c>
      <c r="AD246" s="22">
        <f t="shared" si="9"/>
        <v>1.5</v>
      </c>
      <c r="AE246" s="22">
        <f t="shared" si="9"/>
        <v>5</v>
      </c>
    </row>
    <row r="247" spans="1:31" s="4" customFormat="1" ht="10.5" x14ac:dyDescent="0.25">
      <c r="A247" s="17"/>
      <c r="B247" s="17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21"/>
      <c r="X247" s="21"/>
      <c r="Y247" s="21"/>
      <c r="Z247" s="21"/>
      <c r="AA247" s="21"/>
      <c r="AB247" s="21"/>
      <c r="AC247" s="21"/>
      <c r="AD247" s="21"/>
      <c r="AE247" s="21"/>
    </row>
    <row r="248" spans="1:31" s="4" customFormat="1" ht="10.5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51" spans="1:31" s="41" customFormat="1" ht="10.5" x14ac:dyDescent="0.25">
      <c r="A251" s="9"/>
      <c r="B251" s="9"/>
      <c r="C251" s="9" t="s">
        <v>148</v>
      </c>
      <c r="D251" s="9" t="s">
        <v>149</v>
      </c>
      <c r="E251" s="9" t="s">
        <v>150</v>
      </c>
      <c r="F251" s="9" t="s">
        <v>151</v>
      </c>
      <c r="G251" s="40" t="s">
        <v>152</v>
      </c>
      <c r="H251" s="40" t="s">
        <v>153</v>
      </c>
      <c r="I251" s="40" t="s">
        <v>154</v>
      </c>
      <c r="J251" s="40" t="s">
        <v>155</v>
      </c>
      <c r="K251" s="40" t="s">
        <v>156</v>
      </c>
      <c r="L251" s="40" t="s">
        <v>157</v>
      </c>
      <c r="M251" s="40" t="s">
        <v>158</v>
      </c>
      <c r="N251" s="40" t="s">
        <v>159</v>
      </c>
      <c r="O251" s="40" t="s">
        <v>160</v>
      </c>
      <c r="P251" s="40" t="s">
        <v>161</v>
      </c>
      <c r="Q251" s="40" t="s">
        <v>162</v>
      </c>
      <c r="R251" s="9" t="s">
        <v>163</v>
      </c>
      <c r="S251" s="9" t="s">
        <v>164</v>
      </c>
      <c r="T251" s="9" t="s">
        <v>165</v>
      </c>
      <c r="U251" s="9" t="s">
        <v>166</v>
      </c>
      <c r="V251" s="9" t="s">
        <v>209</v>
      </c>
      <c r="W251" s="40" t="s">
        <v>235</v>
      </c>
      <c r="X251" s="40" t="s">
        <v>236</v>
      </c>
      <c r="Y251" s="40" t="s">
        <v>237</v>
      </c>
      <c r="Z251" s="40" t="s">
        <v>238</v>
      </c>
      <c r="AA251" s="40" t="s">
        <v>242</v>
      </c>
      <c r="AB251" s="40" t="s">
        <v>245</v>
      </c>
      <c r="AC251" s="40" t="s">
        <v>289</v>
      </c>
      <c r="AD251" s="45" t="s">
        <v>311</v>
      </c>
      <c r="AE251" s="46" t="s">
        <v>319</v>
      </c>
    </row>
    <row r="252" spans="1:31" s="4" customFormat="1" ht="10.5" x14ac:dyDescent="0.25">
      <c r="A252" s="3">
        <v>46204</v>
      </c>
      <c r="B252" s="9" t="s">
        <v>0</v>
      </c>
      <c r="C252" s="10">
        <v>197.5</v>
      </c>
      <c r="D252" s="10">
        <v>4</v>
      </c>
      <c r="E252" s="9">
        <v>6</v>
      </c>
      <c r="F252" s="7">
        <v>0</v>
      </c>
      <c r="G252" s="9">
        <v>0</v>
      </c>
      <c r="H252" s="9">
        <v>0</v>
      </c>
      <c r="I252" s="9">
        <v>8</v>
      </c>
      <c r="J252" s="9">
        <v>0</v>
      </c>
      <c r="K252" s="9">
        <v>2.5</v>
      </c>
      <c r="L252" s="9">
        <v>1.5</v>
      </c>
      <c r="M252" s="9">
        <v>0.5</v>
      </c>
      <c r="N252" s="9">
        <v>13</v>
      </c>
      <c r="O252" s="9">
        <v>0</v>
      </c>
      <c r="P252" s="9">
        <v>5</v>
      </c>
      <c r="Q252" s="9">
        <v>0</v>
      </c>
      <c r="R252" s="9">
        <v>0.5</v>
      </c>
      <c r="S252" s="9">
        <v>0</v>
      </c>
      <c r="T252" s="9">
        <v>0</v>
      </c>
      <c r="U252" s="9">
        <v>0</v>
      </c>
      <c r="V252" s="9">
        <v>0</v>
      </c>
      <c r="W252" s="7">
        <v>0</v>
      </c>
      <c r="X252" s="7">
        <v>0</v>
      </c>
      <c r="Y252" s="7">
        <v>10</v>
      </c>
      <c r="Z252" s="7">
        <v>2</v>
      </c>
      <c r="AA252" s="7">
        <v>0</v>
      </c>
      <c r="AB252" s="7">
        <v>0</v>
      </c>
      <c r="AC252" s="7">
        <v>2</v>
      </c>
      <c r="AD252" s="28">
        <v>1.5</v>
      </c>
      <c r="AE252" s="28">
        <v>5</v>
      </c>
    </row>
    <row r="253" spans="1:31" s="4" customFormat="1" ht="10.5" x14ac:dyDescent="0.25">
      <c r="A253" s="23">
        <v>46206</v>
      </c>
      <c r="B253" s="28" t="s">
        <v>307</v>
      </c>
      <c r="C253" s="38"/>
      <c r="D253" s="38"/>
      <c r="E253" s="28"/>
      <c r="F253" s="7"/>
      <c r="G253" s="28"/>
      <c r="H253" s="28"/>
      <c r="I253" s="28"/>
      <c r="J253" s="28"/>
      <c r="K253" s="28"/>
      <c r="L253" s="28"/>
      <c r="M253" s="28"/>
      <c r="N253" s="28"/>
      <c r="O253" s="28"/>
      <c r="P253" s="28">
        <v>-4.3499999999999996</v>
      </c>
      <c r="Q253" s="28"/>
      <c r="R253" s="28"/>
      <c r="S253" s="28"/>
      <c r="T253" s="28"/>
      <c r="U253" s="28"/>
      <c r="V253" s="28"/>
      <c r="W253" s="7"/>
      <c r="X253" s="7"/>
      <c r="Y253" s="7"/>
      <c r="Z253" s="7"/>
      <c r="AA253" s="7"/>
      <c r="AB253" s="7"/>
      <c r="AC253" s="7"/>
      <c r="AD253" s="28"/>
      <c r="AE253" s="28"/>
    </row>
    <row r="254" spans="1:31" s="4" customFormat="1" ht="10.5" x14ac:dyDescent="0.25">
      <c r="A254" s="23">
        <v>46207</v>
      </c>
      <c r="B254" s="28" t="s">
        <v>212</v>
      </c>
      <c r="C254" s="38">
        <v>-2</v>
      </c>
      <c r="D254" s="38"/>
      <c r="E254" s="28"/>
      <c r="F254" s="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7"/>
      <c r="X254" s="7"/>
      <c r="Y254" s="7"/>
      <c r="Z254" s="7"/>
      <c r="AA254" s="7"/>
      <c r="AB254" s="7"/>
      <c r="AC254" s="7"/>
      <c r="AD254" s="28"/>
      <c r="AE254" s="28"/>
    </row>
    <row r="255" spans="1:31" s="4" customFormat="1" ht="10.5" x14ac:dyDescent="0.25">
      <c r="A255" s="23">
        <v>46207</v>
      </c>
      <c r="B255" s="28" t="s">
        <v>303</v>
      </c>
      <c r="C255" s="38"/>
      <c r="D255" s="38">
        <v>-1</v>
      </c>
      <c r="E255" s="28"/>
      <c r="F255" s="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7"/>
      <c r="X255" s="7"/>
      <c r="Y255" s="7"/>
      <c r="Z255" s="7"/>
      <c r="AA255" s="7"/>
      <c r="AB255" s="7"/>
      <c r="AC255" s="7"/>
      <c r="AD255" s="28"/>
      <c r="AE255" s="28"/>
    </row>
    <row r="256" spans="1:31" s="4" customFormat="1" ht="10.5" x14ac:dyDescent="0.25">
      <c r="A256" s="23">
        <v>46209</v>
      </c>
      <c r="B256" s="28" t="s">
        <v>308</v>
      </c>
      <c r="C256" s="38"/>
      <c r="D256" s="38"/>
      <c r="E256" s="28"/>
      <c r="F256" s="7"/>
      <c r="G256" s="28"/>
      <c r="H256" s="28"/>
      <c r="I256" s="28"/>
      <c r="J256" s="28"/>
      <c r="K256" s="28">
        <v>-2.4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7"/>
      <c r="X256" s="7"/>
      <c r="Y256" s="7"/>
      <c r="Z256" s="7"/>
      <c r="AA256" s="7"/>
      <c r="AB256" s="7"/>
      <c r="AC256" s="7"/>
      <c r="AD256" s="28"/>
      <c r="AE256" s="28"/>
    </row>
    <row r="257" spans="1:31" s="4" customFormat="1" ht="10.5" x14ac:dyDescent="0.25">
      <c r="A257" s="23">
        <v>46211</v>
      </c>
      <c r="B257" s="28" t="s">
        <v>333</v>
      </c>
      <c r="C257" s="38">
        <v>62</v>
      </c>
      <c r="D257" s="38"/>
      <c r="E257" s="28"/>
      <c r="F257" s="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7"/>
      <c r="X257" s="7"/>
      <c r="Y257" s="7"/>
      <c r="Z257" s="7"/>
      <c r="AA257" s="7"/>
      <c r="AB257" s="7"/>
      <c r="AC257" s="7"/>
      <c r="AD257" s="28"/>
      <c r="AE257" s="28"/>
    </row>
    <row r="258" spans="1:31" s="4" customFormat="1" ht="10.5" x14ac:dyDescent="0.25">
      <c r="A258" s="23">
        <v>46214</v>
      </c>
      <c r="B258" s="28" t="s">
        <v>334</v>
      </c>
      <c r="C258" s="38">
        <v>-15</v>
      </c>
      <c r="D258" s="38"/>
      <c r="E258" s="28"/>
      <c r="F258" s="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7"/>
      <c r="X258" s="7"/>
      <c r="Y258" s="7"/>
      <c r="Z258" s="7"/>
      <c r="AA258" s="7"/>
      <c r="AB258" s="7"/>
      <c r="AC258" s="7">
        <v>-1</v>
      </c>
      <c r="AD258" s="28"/>
      <c r="AE258" s="28"/>
    </row>
    <row r="259" spans="1:31" s="4" customFormat="1" ht="10.5" x14ac:dyDescent="0.25">
      <c r="A259" s="23">
        <v>46215</v>
      </c>
      <c r="B259" s="28" t="s">
        <v>334</v>
      </c>
      <c r="C259" s="38">
        <v>-35</v>
      </c>
      <c r="D259" s="38"/>
      <c r="E259" s="28"/>
      <c r="F259" s="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7"/>
      <c r="X259" s="7"/>
      <c r="Y259" s="7"/>
      <c r="Z259" s="7"/>
      <c r="AA259" s="7"/>
      <c r="AB259" s="7"/>
      <c r="AC259" s="7"/>
      <c r="AD259" s="28"/>
      <c r="AE259" s="28"/>
    </row>
    <row r="260" spans="1:31" s="4" customFormat="1" ht="10.5" x14ac:dyDescent="0.25">
      <c r="A260" s="23">
        <v>46216</v>
      </c>
      <c r="B260" s="28" t="s">
        <v>332</v>
      </c>
      <c r="C260" s="7">
        <v>-1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28"/>
      <c r="AE260" s="28"/>
    </row>
    <row r="261" spans="1:31" s="4" customFormat="1" ht="10.5" x14ac:dyDescent="0.25">
      <c r="A261" s="23">
        <v>46217</v>
      </c>
      <c r="B261" s="28" t="s">
        <v>334</v>
      </c>
      <c r="C261" s="7">
        <v>-35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28"/>
      <c r="AE261" s="28"/>
    </row>
    <row r="262" spans="1:31" s="4" customFormat="1" ht="10.5" x14ac:dyDescent="0.25">
      <c r="A262" s="23">
        <v>46217</v>
      </c>
      <c r="B262" s="28" t="s">
        <v>188</v>
      </c>
      <c r="C262" s="7"/>
      <c r="D262" s="7">
        <v>-0.78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28"/>
      <c r="AE262" s="28"/>
    </row>
    <row r="263" spans="1:31" s="4" customFormat="1" ht="10.5" x14ac:dyDescent="0.25">
      <c r="A263" s="23">
        <v>46217</v>
      </c>
      <c r="B263" s="28" t="s">
        <v>190</v>
      </c>
      <c r="C263" s="7"/>
      <c r="D263" s="7"/>
      <c r="E263" s="7"/>
      <c r="F263" s="7"/>
      <c r="G263" s="7"/>
      <c r="H263" s="7"/>
      <c r="I263" s="7"/>
      <c r="J263" s="7"/>
      <c r="K263" s="7"/>
      <c r="L263" s="7">
        <v>12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28"/>
      <c r="AE263" s="28"/>
    </row>
    <row r="264" spans="1:31" s="4" customFormat="1" ht="10.5" x14ac:dyDescent="0.25">
      <c r="A264" s="23">
        <v>46218</v>
      </c>
      <c r="B264" s="28" t="s">
        <v>334</v>
      </c>
      <c r="C264" s="7">
        <v>-18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28"/>
      <c r="AE264" s="28"/>
    </row>
    <row r="265" spans="1:31" s="4" customFormat="1" ht="10.5" x14ac:dyDescent="0.25">
      <c r="A265" s="23">
        <v>46220</v>
      </c>
      <c r="B265" s="28" t="s">
        <v>334</v>
      </c>
      <c r="C265" s="7">
        <v>-26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28"/>
      <c r="AE265" s="28"/>
    </row>
    <row r="266" spans="1:31" s="4" customFormat="1" ht="10.5" x14ac:dyDescent="0.25">
      <c r="A266" s="23">
        <v>46221</v>
      </c>
      <c r="B266" s="28" t="s">
        <v>206</v>
      </c>
      <c r="C266" s="7"/>
      <c r="D266" s="7"/>
      <c r="E266" s="7"/>
      <c r="F266" s="7"/>
      <c r="G266" s="7"/>
      <c r="H266" s="7"/>
      <c r="I266" s="7"/>
      <c r="J266" s="7"/>
      <c r="K266" s="7">
        <v>5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28"/>
      <c r="AE266" s="28"/>
    </row>
    <row r="267" spans="1:31" s="4" customFormat="1" ht="10.5" x14ac:dyDescent="0.25">
      <c r="A267" s="23">
        <v>46221</v>
      </c>
      <c r="B267" s="28" t="s">
        <v>167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>
        <v>5</v>
      </c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28"/>
      <c r="AE267" s="28"/>
    </row>
    <row r="268" spans="1:31" s="4" customFormat="1" ht="10.5" x14ac:dyDescent="0.25">
      <c r="A268" s="23">
        <v>46221</v>
      </c>
      <c r="B268" s="28" t="s">
        <v>207</v>
      </c>
      <c r="C268" s="7"/>
      <c r="D268" s="7"/>
      <c r="E268" s="7"/>
      <c r="F268" s="7"/>
      <c r="G268" s="7"/>
      <c r="H268" s="7"/>
      <c r="I268" s="7">
        <v>55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28"/>
      <c r="AE268" s="28"/>
    </row>
    <row r="269" spans="1:31" s="4" customFormat="1" ht="10.5" x14ac:dyDescent="0.25">
      <c r="A269" s="23">
        <v>46221</v>
      </c>
      <c r="B269" s="28" t="s">
        <v>334</v>
      </c>
      <c r="C269" s="7">
        <v>-18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28"/>
      <c r="AE269" s="28"/>
    </row>
    <row r="270" spans="1:31" s="4" customFormat="1" ht="10.5" x14ac:dyDescent="0.25">
      <c r="A270" s="23">
        <v>46221</v>
      </c>
      <c r="B270" s="28" t="s">
        <v>350</v>
      </c>
      <c r="C270" s="7"/>
      <c r="D270" s="7"/>
      <c r="E270" s="7"/>
      <c r="F270" s="7"/>
      <c r="G270" s="7"/>
      <c r="H270" s="7"/>
      <c r="I270" s="7"/>
      <c r="J270" s="7"/>
      <c r="K270" s="7"/>
      <c r="L270" s="7">
        <v>-9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28"/>
      <c r="AE270" s="28"/>
    </row>
    <row r="271" spans="1:31" s="4" customFormat="1" ht="10.5" x14ac:dyDescent="0.25">
      <c r="A271" s="23">
        <v>46221</v>
      </c>
      <c r="B271" s="28" t="s">
        <v>351</v>
      </c>
      <c r="C271" s="7"/>
      <c r="D271" s="7"/>
      <c r="E271" s="7"/>
      <c r="F271" s="7"/>
      <c r="G271" s="7"/>
      <c r="H271" s="7"/>
      <c r="I271" s="7"/>
      <c r="J271" s="7"/>
      <c r="K271" s="7"/>
      <c r="L271" s="7">
        <v>-4.5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28"/>
      <c r="AE271" s="28"/>
    </row>
    <row r="272" spans="1:31" s="4" customFormat="1" ht="10.5" x14ac:dyDescent="0.25">
      <c r="A272" s="23">
        <v>46223</v>
      </c>
      <c r="B272" s="28" t="s">
        <v>334</v>
      </c>
      <c r="C272" s="7">
        <v>-20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28"/>
      <c r="AE272" s="28"/>
    </row>
    <row r="273" spans="1:31" s="4" customFormat="1" ht="10.5" x14ac:dyDescent="0.25">
      <c r="A273" s="23">
        <v>46224</v>
      </c>
      <c r="B273" s="28" t="s">
        <v>228</v>
      </c>
      <c r="C273" s="7">
        <v>-1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28"/>
      <c r="AE273" s="28"/>
    </row>
    <row r="274" spans="1:31" s="4" customFormat="1" ht="10.5" x14ac:dyDescent="0.25">
      <c r="A274" s="23">
        <v>46226</v>
      </c>
      <c r="B274" s="28" t="s">
        <v>341</v>
      </c>
      <c r="C274" s="7">
        <v>-1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28"/>
      <c r="AE274" s="28"/>
    </row>
    <row r="275" spans="1:31" s="4" customFormat="1" ht="10.5" x14ac:dyDescent="0.25">
      <c r="A275" s="23">
        <v>46226</v>
      </c>
      <c r="B275" s="28" t="s">
        <v>352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>
        <v>-4.2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28"/>
      <c r="AE275" s="28"/>
    </row>
    <row r="276" spans="1:31" s="4" customFormat="1" ht="10.5" x14ac:dyDescent="0.25">
      <c r="A276" s="23">
        <v>46226</v>
      </c>
      <c r="B276" s="28" t="s">
        <v>353</v>
      </c>
      <c r="C276" s="7"/>
      <c r="D276" s="7"/>
      <c r="E276" s="7"/>
      <c r="F276" s="7"/>
      <c r="G276" s="7"/>
      <c r="H276" s="7"/>
      <c r="I276" s="7"/>
      <c r="J276" s="7"/>
      <c r="K276" s="7">
        <v>-4.5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28"/>
      <c r="AE276" s="28"/>
    </row>
    <row r="277" spans="1:31" s="4" customFormat="1" ht="10.5" x14ac:dyDescent="0.25">
      <c r="A277" s="23">
        <v>46228</v>
      </c>
      <c r="B277" s="28" t="s">
        <v>334</v>
      </c>
      <c r="C277" s="7">
        <v>-25.5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28"/>
      <c r="AE277" s="28"/>
    </row>
    <row r="278" spans="1:31" s="4" customFormat="1" ht="10.5" x14ac:dyDescent="0.25">
      <c r="A278" s="23">
        <v>46228</v>
      </c>
      <c r="B278" s="28" t="s">
        <v>344</v>
      </c>
      <c r="C278" s="7"/>
      <c r="D278" s="7">
        <v>-1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28"/>
      <c r="AE278" s="28"/>
    </row>
    <row r="279" spans="1:31" s="4" customFormat="1" ht="10.5" x14ac:dyDescent="0.25">
      <c r="A279" s="23">
        <v>46228</v>
      </c>
      <c r="B279" s="28" t="s">
        <v>230</v>
      </c>
      <c r="C279" s="7"/>
      <c r="D279" s="7">
        <v>4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28"/>
      <c r="AE279" s="28"/>
    </row>
    <row r="280" spans="1:31" s="4" customFormat="1" ht="10.5" x14ac:dyDescent="0.25">
      <c r="A280" s="23">
        <v>46230</v>
      </c>
      <c r="B280" s="28" t="s">
        <v>347</v>
      </c>
      <c r="C280" s="7">
        <v>82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28"/>
      <c r="AE280" s="28"/>
    </row>
    <row r="281" spans="1:31" s="4" customFormat="1" ht="10.5" x14ac:dyDescent="0.25">
      <c r="A281" s="23">
        <v>46230</v>
      </c>
      <c r="B281" s="28" t="s">
        <v>334</v>
      </c>
      <c r="C281" s="7">
        <v>-60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28"/>
      <c r="AE281" s="28"/>
    </row>
    <row r="282" spans="1:31" s="4" customFormat="1" ht="10.5" x14ac:dyDescent="0.25">
      <c r="A282" s="23">
        <v>46231</v>
      </c>
      <c r="B282" s="28" t="s">
        <v>228</v>
      </c>
      <c r="C282" s="7">
        <v>-1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28"/>
      <c r="AE282" s="28"/>
    </row>
    <row r="283" spans="1:31" s="4" customFormat="1" ht="10.5" x14ac:dyDescent="0.25">
      <c r="A283" s="23">
        <v>46231</v>
      </c>
      <c r="B283" s="28" t="s">
        <v>228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>
        <v>-4.6500000000000004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28"/>
      <c r="AE283" s="28"/>
    </row>
    <row r="284" spans="1:31" s="4" customFormat="1" ht="10.5" x14ac:dyDescent="0.25">
      <c r="A284" s="23">
        <v>46232</v>
      </c>
      <c r="B284" s="28" t="s">
        <v>188</v>
      </c>
      <c r="C284" s="7"/>
      <c r="D284" s="7">
        <v>-1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28"/>
      <c r="AE284" s="28"/>
    </row>
    <row r="285" spans="1:31" s="4" customFormat="1" ht="10.5" x14ac:dyDescent="0.25">
      <c r="A285" s="23">
        <v>46232</v>
      </c>
      <c r="B285" s="28" t="s">
        <v>348</v>
      </c>
      <c r="C285" s="7">
        <v>-1</v>
      </c>
      <c r="D285" s="7"/>
      <c r="E285" s="7"/>
      <c r="F285" s="7"/>
      <c r="G285" s="7"/>
      <c r="H285" s="7"/>
      <c r="I285" s="7"/>
      <c r="J285" s="7">
        <v>12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28"/>
      <c r="AE285" s="28"/>
    </row>
    <row r="286" spans="1:31" s="4" customFormat="1" ht="10.5" x14ac:dyDescent="0.25">
      <c r="A286" s="23">
        <v>46234</v>
      </c>
      <c r="B286" s="28" t="s">
        <v>309</v>
      </c>
      <c r="C286" s="7"/>
      <c r="D286" s="7"/>
      <c r="E286" s="7"/>
      <c r="F286" s="7"/>
      <c r="G286" s="7"/>
      <c r="H286" s="7"/>
      <c r="I286" s="7">
        <v>-27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28"/>
      <c r="AE286" s="28"/>
    </row>
    <row r="287" spans="1:31" s="4" customFormat="1" ht="10.5" x14ac:dyDescent="0.25">
      <c r="A287" s="23"/>
      <c r="B287" s="2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28"/>
      <c r="AE287" s="28"/>
    </row>
    <row r="288" spans="1:31" s="4" customFormat="1" ht="10.5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28"/>
      <c r="AE288" s="28"/>
    </row>
    <row r="289" spans="1:31" s="4" customFormat="1" ht="10.5" x14ac:dyDescent="0.25">
      <c r="A289" s="20"/>
      <c r="B289" s="21" t="s">
        <v>25</v>
      </c>
      <c r="C289" s="22">
        <f t="shared" ref="C289:AE289" si="10">SUM(C252:C288)</f>
        <v>82</v>
      </c>
      <c r="D289" s="22">
        <f t="shared" si="10"/>
        <v>4.22</v>
      </c>
      <c r="E289" s="22">
        <f t="shared" si="10"/>
        <v>6</v>
      </c>
      <c r="F289" s="22">
        <f t="shared" si="10"/>
        <v>0</v>
      </c>
      <c r="G289" s="22">
        <f t="shared" si="10"/>
        <v>0</v>
      </c>
      <c r="H289" s="22">
        <f t="shared" si="10"/>
        <v>0</v>
      </c>
      <c r="I289" s="22">
        <f t="shared" si="10"/>
        <v>36</v>
      </c>
      <c r="J289" s="22">
        <f t="shared" si="10"/>
        <v>12</v>
      </c>
      <c r="K289" s="22">
        <f t="shared" si="10"/>
        <v>0.59999999999999964</v>
      </c>
      <c r="L289" s="22">
        <f t="shared" si="10"/>
        <v>0</v>
      </c>
      <c r="M289" s="22">
        <f t="shared" si="10"/>
        <v>0.5</v>
      </c>
      <c r="N289" s="22">
        <f t="shared" si="10"/>
        <v>8.35</v>
      </c>
      <c r="O289" s="22">
        <f t="shared" si="10"/>
        <v>0</v>
      </c>
      <c r="P289" s="22">
        <f t="shared" si="10"/>
        <v>1.4500000000000002</v>
      </c>
      <c r="Q289" s="22">
        <f t="shared" si="10"/>
        <v>0</v>
      </c>
      <c r="R289" s="22">
        <f t="shared" si="10"/>
        <v>0.5</v>
      </c>
      <c r="S289" s="22">
        <f t="shared" si="10"/>
        <v>0</v>
      </c>
      <c r="T289" s="22">
        <f t="shared" si="10"/>
        <v>0</v>
      </c>
      <c r="U289" s="22">
        <f t="shared" si="10"/>
        <v>0</v>
      </c>
      <c r="V289" s="22">
        <f t="shared" si="10"/>
        <v>0</v>
      </c>
      <c r="W289" s="22">
        <f t="shared" si="10"/>
        <v>0</v>
      </c>
      <c r="X289" s="22">
        <f t="shared" si="10"/>
        <v>0</v>
      </c>
      <c r="Y289" s="22">
        <f t="shared" si="10"/>
        <v>10</v>
      </c>
      <c r="Z289" s="22">
        <f t="shared" si="10"/>
        <v>2</v>
      </c>
      <c r="AA289" s="22">
        <f t="shared" si="10"/>
        <v>0</v>
      </c>
      <c r="AB289" s="22">
        <f t="shared" si="10"/>
        <v>0</v>
      </c>
      <c r="AC289" s="22">
        <f t="shared" si="10"/>
        <v>1</v>
      </c>
      <c r="AD289" s="22">
        <f t="shared" si="10"/>
        <v>1.5</v>
      </c>
      <c r="AE289" s="22">
        <f t="shared" si="10"/>
        <v>5</v>
      </c>
    </row>
    <row r="290" spans="1:31" s="4" customFormat="1" ht="10.5" x14ac:dyDescent="0.25">
      <c r="A290" s="17"/>
      <c r="B290" s="17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21"/>
      <c r="X290" s="21"/>
      <c r="Y290" s="21"/>
      <c r="Z290" s="21"/>
      <c r="AA290" s="21"/>
      <c r="AB290" s="21"/>
      <c r="AC290" s="21"/>
      <c r="AD290" s="21"/>
      <c r="AE290" s="21"/>
    </row>
    <row r="291" spans="1:31" s="4" customFormat="1" ht="10.5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MATERIALS</vt:lpstr>
      <vt:lpstr>OTHER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accounts@busiachicken.com</cp:lastModifiedBy>
  <cp:lastPrinted>2025-03-18T15:36:59Z</cp:lastPrinted>
  <dcterms:created xsi:type="dcterms:W3CDTF">2015-06-05T18:17:20Z</dcterms:created>
  <dcterms:modified xsi:type="dcterms:W3CDTF">2026-08-01T18:11:21Z</dcterms:modified>
</cp:coreProperties>
</file>